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ue\Desktop\ACTL 4001\"/>
    </mc:Choice>
  </mc:AlternateContent>
  <xr:revisionPtr revIDLastSave="0" documentId="13_ncr:1_{597DE9FE-9A5A-48D3-A5EB-1189C2EE441E}" xr6:coauthVersionLast="47" xr6:coauthVersionMax="47" xr10:uidLastSave="{00000000-0000-0000-0000-000000000000}"/>
  <bookViews>
    <workbookView xWindow="-120" yWindow="-120" windowWidth="29040" windowHeight="15720" firstSheet="10" activeTab="10" xr2:uid="{00000000-000D-0000-FFFF-FFFF00000000}"/>
  </bookViews>
  <sheets>
    <sheet name="13.2b (2)" sheetId="10" r:id="rId1"/>
    <sheet name="Whole Life Lump Sum" sheetId="11" r:id="rId2"/>
    <sheet name="USE --&gt;" sheetId="21" r:id="rId3"/>
    <sheet name="M_NS " sheetId="18" r:id="rId4"/>
    <sheet name="M_NS_Int" sheetId="23" r:id="rId5"/>
    <sheet name="M_S" sheetId="16" r:id="rId6"/>
    <sheet name="M_S_Int" sheetId="24" r:id="rId7"/>
    <sheet name="FE_NS" sheetId="20" r:id="rId8"/>
    <sheet name="FE_NS_Int" sheetId="26" r:id="rId9"/>
    <sheet name="FE_S " sheetId="19" r:id="rId10"/>
    <sheet name="FE_S _Int" sheetId="25" r:id="rId11"/>
  </sheets>
  <definedNames>
    <definedName name="solver_adj" localSheetId="0" hidden="1">'13.2b (2)'!$H$3</definedName>
    <definedName name="solver_adj" localSheetId="7" hidden="1">FE_NS!$H$3</definedName>
    <definedName name="solver_adj" localSheetId="8" hidden="1">FE_NS_Int!$H$3</definedName>
    <definedName name="solver_adj" localSheetId="9" hidden="1">'FE_S '!$H$3</definedName>
    <definedName name="solver_adj" localSheetId="10" hidden="1">'FE_S _Int'!$H$3</definedName>
    <definedName name="solver_adj" localSheetId="3" hidden="1">'M_NS '!$H$3</definedName>
    <definedName name="solver_adj" localSheetId="4" hidden="1">M_NS_Int!$H$3</definedName>
    <definedName name="solver_adj" localSheetId="5" hidden="1">M_S!$H$3</definedName>
    <definedName name="solver_adj" localSheetId="6" hidden="1">M_S_Int!$H$3</definedName>
    <definedName name="solver_adj" localSheetId="1" hidden="1">'Whole Life Lump Sum'!$H$3</definedName>
    <definedName name="solver_cvg" localSheetId="0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1" hidden="1">0.0001</definedName>
    <definedName name="solver_drv" localSheetId="0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1" hidden="1">1</definedName>
    <definedName name="solver_eng" localSheetId="0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0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1" hidden="1">1</definedName>
    <definedName name="solver_est" localSheetId="0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1" hidden="1">1</definedName>
    <definedName name="solver_itr" localSheetId="0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0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1" hidden="1">2147483647</definedName>
    <definedName name="solver_mip" localSheetId="0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1" hidden="1">2147483647</definedName>
    <definedName name="solver_mni" localSheetId="0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1" hidden="1">30</definedName>
    <definedName name="solver_mrt" localSheetId="0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1" hidden="1">0.075</definedName>
    <definedName name="solver_msl" localSheetId="0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1" hidden="1">2</definedName>
    <definedName name="solver_neg" localSheetId="0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1" hidden="1">1</definedName>
    <definedName name="solver_nod" localSheetId="0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1" hidden="1">2147483647</definedName>
    <definedName name="solver_num" localSheetId="0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1" hidden="1">0</definedName>
    <definedName name="solver_nwt" localSheetId="0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1" hidden="1">1</definedName>
    <definedName name="solver_opt" localSheetId="0" hidden="1">'13.2b (2)'!$AO$133</definedName>
    <definedName name="solver_opt" localSheetId="7" hidden="1">FE_NS!$AZ$7</definedName>
    <definedName name="solver_opt" localSheetId="8" hidden="1">FE_NS_Int!$AO$133</definedName>
    <definedName name="solver_opt" localSheetId="9" hidden="1">'FE_S '!$AZ$7</definedName>
    <definedName name="solver_opt" localSheetId="10" hidden="1">'FE_S _Int'!$AZ$7</definedName>
    <definedName name="solver_opt" localSheetId="3" hidden="1">'M_NS '!$AZ$7</definedName>
    <definedName name="solver_opt" localSheetId="4" hidden="1">M_NS_Int!$AZ$7</definedName>
    <definedName name="solver_opt" localSheetId="5" hidden="1">M_S!$AZ$7</definedName>
    <definedName name="solver_opt" localSheetId="6" hidden="1">M_S_Int!$AO$133</definedName>
    <definedName name="solver_opt" localSheetId="1" hidden="1">'Whole Life Lump Sum'!$AO$133</definedName>
    <definedName name="solver_pre" localSheetId="0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1" hidden="1">0.000001</definedName>
    <definedName name="solver_rbv" localSheetId="0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0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1" hidden="1">1</definedName>
    <definedName name="solver_rlx" localSheetId="0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1" hidden="1">2</definedName>
    <definedName name="solver_rsd" localSheetId="0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1" hidden="1">0</definedName>
    <definedName name="solver_scl" localSheetId="0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0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1" hidden="1">1</definedName>
    <definedName name="solver_sho" localSheetId="0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1" hidden="1">2</definedName>
    <definedName name="solver_ssz" localSheetId="0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1" hidden="1">100</definedName>
    <definedName name="solver_tim" localSheetId="0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0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1" hidden="1">2147483647</definedName>
    <definedName name="solver_tol" localSheetId="0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0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1" hidden="1">0.01</definedName>
    <definedName name="solver_typ" localSheetId="0" hidden="1">3</definedName>
    <definedName name="solver_typ" localSheetId="7" hidden="1">3</definedName>
    <definedName name="solver_typ" localSheetId="8" hidden="1">3</definedName>
    <definedName name="solver_typ" localSheetId="9" hidden="1">3</definedName>
    <definedName name="solver_typ" localSheetId="10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typ" localSheetId="1" hidden="1">3</definedName>
    <definedName name="solver_val" localSheetId="0" hidden="1">0</definedName>
    <definedName name="solver_val" localSheetId="7" hidden="1">0.03</definedName>
    <definedName name="solver_val" localSheetId="8" hidden="1">0</definedName>
    <definedName name="solver_val" localSheetId="9" hidden="1">0.03</definedName>
    <definedName name="solver_val" localSheetId="10" hidden="1">0.03</definedName>
    <definedName name="solver_val" localSheetId="3" hidden="1">0.03</definedName>
    <definedName name="solver_val" localSheetId="4" hidden="1">0.03</definedName>
    <definedName name="solver_val" localSheetId="5" hidden="1">0.03</definedName>
    <definedName name="solver_val" localSheetId="6" hidden="1">0</definedName>
    <definedName name="solver_val" localSheetId="1" hidden="1">0</definedName>
    <definedName name="solver_ver" localSheetId="0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4" i="23" l="1"/>
  <c r="S123" i="23"/>
  <c r="S122" i="23"/>
  <c r="S121" i="23"/>
  <c r="S120" i="23"/>
  <c r="S119" i="23"/>
  <c r="S118" i="23"/>
  <c r="S117" i="23"/>
  <c r="S116" i="23"/>
  <c r="S115" i="23"/>
  <c r="S114" i="23"/>
  <c r="S113" i="23"/>
  <c r="S112" i="23"/>
  <c r="S111" i="23"/>
  <c r="S110" i="23"/>
  <c r="S109" i="23"/>
  <c r="S108" i="23"/>
  <c r="S107" i="23"/>
  <c r="S106" i="23"/>
  <c r="S105" i="23"/>
  <c r="S104" i="23"/>
  <c r="S103" i="23"/>
  <c r="S102" i="23"/>
  <c r="S101" i="23"/>
  <c r="S100" i="23"/>
  <c r="S99" i="23"/>
  <c r="S98" i="23"/>
  <c r="S97" i="23"/>
  <c r="S96" i="23"/>
  <c r="S95" i="23"/>
  <c r="S94" i="23"/>
  <c r="S93" i="23"/>
  <c r="S92" i="23"/>
  <c r="S91" i="23"/>
  <c r="I4" i="23" a="1"/>
  <c r="S70" i="23" s="1"/>
  <c r="I4" i="18" a="1"/>
  <c r="S124" i="18"/>
  <c r="S123" i="18"/>
  <c r="S122" i="18"/>
  <c r="S121" i="18"/>
  <c r="S120" i="18"/>
  <c r="S119" i="18"/>
  <c r="S118" i="18"/>
  <c r="S117" i="18"/>
  <c r="S116" i="18"/>
  <c r="S115" i="18"/>
  <c r="S114" i="18"/>
  <c r="S113" i="18"/>
  <c r="S112" i="18"/>
  <c r="S111" i="18"/>
  <c r="S110" i="18"/>
  <c r="S109" i="18"/>
  <c r="S108" i="18"/>
  <c r="S107" i="18"/>
  <c r="S106" i="18"/>
  <c r="S105" i="18"/>
  <c r="S104" i="18"/>
  <c r="S103" i="18"/>
  <c r="S102" i="18"/>
  <c r="S101" i="18"/>
  <c r="S100" i="18"/>
  <c r="S99" i="18"/>
  <c r="S98" i="18"/>
  <c r="S97" i="18"/>
  <c r="S96" i="18"/>
  <c r="S95" i="18"/>
  <c r="S94" i="18"/>
  <c r="S93" i="18"/>
  <c r="S92" i="18"/>
  <c r="S91" i="18"/>
  <c r="C35" i="16"/>
  <c r="C37" i="16"/>
  <c r="C26" i="16"/>
  <c r="S84" i="23" l="1"/>
  <c r="S63" i="23"/>
  <c r="S62" i="23"/>
  <c r="S87" i="23"/>
  <c r="S71" i="23"/>
  <c r="S78" i="23"/>
  <c r="S79" i="23"/>
  <c r="S86" i="23"/>
  <c r="S61" i="23"/>
  <c r="S69" i="23"/>
  <c r="S77" i="23"/>
  <c r="S85" i="23"/>
  <c r="S64" i="23"/>
  <c r="S72" i="23"/>
  <c r="S80" i="23"/>
  <c r="S88" i="23"/>
  <c r="S65" i="23"/>
  <c r="S73" i="23"/>
  <c r="S81" i="23"/>
  <c r="S89" i="23"/>
  <c r="S66" i="23"/>
  <c r="S74" i="23"/>
  <c r="S82" i="23"/>
  <c r="S90" i="23"/>
  <c r="S67" i="23"/>
  <c r="S75" i="23"/>
  <c r="S83" i="23"/>
  <c r="S68" i="23"/>
  <c r="S76" i="23"/>
  <c r="I4" i="23"/>
  <c r="S5" i="23" s="1"/>
  <c r="S7" i="23"/>
  <c r="S53" i="23"/>
  <c r="S45" i="23"/>
  <c r="S37" i="23"/>
  <c r="S29" i="23"/>
  <c r="S21" i="23"/>
  <c r="S13" i="23"/>
  <c r="S14" i="23"/>
  <c r="S22" i="23"/>
  <c r="S30" i="23"/>
  <c r="S38" i="23"/>
  <c r="S46" i="23"/>
  <c r="S54" i="23"/>
  <c r="S6" i="23"/>
  <c r="S15" i="23"/>
  <c r="S23" i="23"/>
  <c r="S31" i="23"/>
  <c r="S39" i="23"/>
  <c r="S47" i="23"/>
  <c r="S55" i="23"/>
  <c r="S8" i="23"/>
  <c r="S16" i="23"/>
  <c r="S24" i="23"/>
  <c r="S32" i="23"/>
  <c r="S40" i="23"/>
  <c r="S48" i="23"/>
  <c r="S56" i="23"/>
  <c r="S9" i="23"/>
  <c r="S17" i="23"/>
  <c r="S25" i="23"/>
  <c r="S33" i="23"/>
  <c r="S41" i="23"/>
  <c r="S49" i="23"/>
  <c r="S57" i="23"/>
  <c r="S10" i="23"/>
  <c r="S18" i="23"/>
  <c r="S26" i="23"/>
  <c r="S34" i="23"/>
  <c r="S42" i="23"/>
  <c r="S50" i="23"/>
  <c r="S58" i="23"/>
  <c r="S11" i="23"/>
  <c r="S19" i="23"/>
  <c r="S27" i="23"/>
  <c r="S35" i="23"/>
  <c r="S43" i="23"/>
  <c r="S51" i="23"/>
  <c r="S59" i="23"/>
  <c r="S12" i="23"/>
  <c r="S20" i="23"/>
  <c r="S28" i="23"/>
  <c r="S36" i="23"/>
  <c r="S44" i="23"/>
  <c r="S52" i="23"/>
  <c r="S60" i="23"/>
  <c r="S62" i="18"/>
  <c r="S41" i="18"/>
  <c r="S70" i="18"/>
  <c r="S78" i="18"/>
  <c r="S86" i="18"/>
  <c r="S22" i="18"/>
  <c r="S87" i="18"/>
  <c r="S79" i="18"/>
  <c r="S71" i="18"/>
  <c r="S63" i="18"/>
  <c r="S46" i="18"/>
  <c r="S24" i="18"/>
  <c r="S6" i="18"/>
  <c r="S25" i="18"/>
  <c r="S48" i="18"/>
  <c r="S64" i="18"/>
  <c r="S72" i="18"/>
  <c r="S80" i="18"/>
  <c r="S88" i="18"/>
  <c r="S8" i="18"/>
  <c r="S30" i="18"/>
  <c r="S49" i="18"/>
  <c r="S65" i="18"/>
  <c r="S73" i="18"/>
  <c r="S81" i="18"/>
  <c r="S89" i="18"/>
  <c r="S9" i="18"/>
  <c r="S32" i="18"/>
  <c r="S54" i="18"/>
  <c r="S66" i="18"/>
  <c r="S74" i="18"/>
  <c r="S82" i="18"/>
  <c r="S90" i="18"/>
  <c r="S14" i="18"/>
  <c r="S33" i="18"/>
  <c r="S56" i="18"/>
  <c r="S67" i="18"/>
  <c r="S75" i="18"/>
  <c r="S83" i="18"/>
  <c r="S16" i="18"/>
  <c r="S38" i="18"/>
  <c r="S57" i="18"/>
  <c r="S68" i="18"/>
  <c r="S76" i="18"/>
  <c r="S84" i="18"/>
  <c r="S17" i="18"/>
  <c r="S40" i="18"/>
  <c r="S61" i="18"/>
  <c r="S69" i="18"/>
  <c r="S77" i="18"/>
  <c r="S85" i="18"/>
  <c r="I4" i="18"/>
  <c r="S5" i="18" s="1"/>
  <c r="S55" i="18"/>
  <c r="S47" i="18"/>
  <c r="S39" i="18"/>
  <c r="S31" i="18"/>
  <c r="S23" i="18"/>
  <c r="S15" i="18"/>
  <c r="S7" i="18"/>
  <c r="S10" i="18"/>
  <c r="S18" i="18"/>
  <c r="S26" i="18"/>
  <c r="S34" i="18"/>
  <c r="S42" i="18"/>
  <c r="S50" i="18"/>
  <c r="S58" i="18"/>
  <c r="S11" i="18"/>
  <c r="S19" i="18"/>
  <c r="S27" i="18"/>
  <c r="S35" i="18"/>
  <c r="S43" i="18"/>
  <c r="S51" i="18"/>
  <c r="S59" i="18"/>
  <c r="S12" i="18"/>
  <c r="S20" i="18"/>
  <c r="S28" i="18"/>
  <c r="S36" i="18"/>
  <c r="S44" i="18"/>
  <c r="S52" i="18"/>
  <c r="S60" i="18"/>
  <c r="S13" i="18"/>
  <c r="S21" i="18"/>
  <c r="S29" i="18"/>
  <c r="S37" i="18"/>
  <c r="S45" i="18"/>
  <c r="S53" i="18"/>
  <c r="L4" i="18" l="1"/>
  <c r="S124" i="26"/>
  <c r="S123" i="26"/>
  <c r="S122" i="26"/>
  <c r="S121" i="26"/>
  <c r="S120" i="26"/>
  <c r="S119" i="26"/>
  <c r="S118" i="26"/>
  <c r="S117" i="26"/>
  <c r="S116" i="26"/>
  <c r="S115" i="26"/>
  <c r="S114" i="26"/>
  <c r="S113" i="26"/>
  <c r="S112" i="26"/>
  <c r="S111" i="26"/>
  <c r="S110" i="26"/>
  <c r="S109" i="26"/>
  <c r="S108" i="26"/>
  <c r="S107" i="26"/>
  <c r="S106" i="26"/>
  <c r="S105" i="26"/>
  <c r="S104" i="26"/>
  <c r="S103" i="26"/>
  <c r="S102" i="26"/>
  <c r="S101" i="26"/>
  <c r="S100" i="26"/>
  <c r="S99" i="26"/>
  <c r="S98" i="26"/>
  <c r="S97" i="26"/>
  <c r="S96" i="26"/>
  <c r="S95" i="26"/>
  <c r="S94" i="26"/>
  <c r="S93" i="26"/>
  <c r="S92" i="26"/>
  <c r="S91" i="26"/>
  <c r="S90" i="26"/>
  <c r="S124" i="25"/>
  <c r="S123" i="25"/>
  <c r="S122" i="25"/>
  <c r="S121" i="25"/>
  <c r="S120" i="25"/>
  <c r="S119" i="25"/>
  <c r="S118" i="25"/>
  <c r="S117" i="25"/>
  <c r="S116" i="25"/>
  <c r="S115" i="25"/>
  <c r="S114" i="25"/>
  <c r="S113" i="25"/>
  <c r="S112" i="25"/>
  <c r="S111" i="25"/>
  <c r="S110" i="25"/>
  <c r="S109" i="25"/>
  <c r="S108" i="25"/>
  <c r="S107" i="25"/>
  <c r="S106" i="25"/>
  <c r="S105" i="25"/>
  <c r="S104" i="25"/>
  <c r="S103" i="25"/>
  <c r="S102" i="25"/>
  <c r="S101" i="25"/>
  <c r="S100" i="25"/>
  <c r="S99" i="25"/>
  <c r="S98" i="25"/>
  <c r="S97" i="25"/>
  <c r="S96" i="25"/>
  <c r="S95" i="25"/>
  <c r="S94" i="25"/>
  <c r="S93" i="25"/>
  <c r="S92" i="25"/>
  <c r="S91" i="25"/>
  <c r="S90" i="25"/>
  <c r="S124" i="24"/>
  <c r="S123" i="24"/>
  <c r="S122" i="24"/>
  <c r="S121" i="24"/>
  <c r="S120" i="24"/>
  <c r="S119" i="24"/>
  <c r="S118" i="24"/>
  <c r="S117" i="24"/>
  <c r="S116" i="24"/>
  <c r="S115" i="24"/>
  <c r="S114" i="24"/>
  <c r="S113" i="24"/>
  <c r="S112" i="24"/>
  <c r="S111" i="24"/>
  <c r="S110" i="24"/>
  <c r="S109" i="24"/>
  <c r="S108" i="24"/>
  <c r="S107" i="24"/>
  <c r="S106" i="24"/>
  <c r="S105" i="24"/>
  <c r="S104" i="24"/>
  <c r="S103" i="24"/>
  <c r="S102" i="24"/>
  <c r="S101" i="24"/>
  <c r="S100" i="24"/>
  <c r="S99" i="24"/>
  <c r="S98" i="24"/>
  <c r="S97" i="24"/>
  <c r="S96" i="24"/>
  <c r="S95" i="24"/>
  <c r="S94" i="24"/>
  <c r="S93" i="24"/>
  <c r="S92" i="24"/>
  <c r="S91" i="24"/>
  <c r="S90" i="24"/>
  <c r="S124" i="20"/>
  <c r="S123" i="20"/>
  <c r="S122" i="20"/>
  <c r="S121" i="20"/>
  <c r="S120" i="20"/>
  <c r="S119" i="20"/>
  <c r="S118" i="20"/>
  <c r="S117" i="20"/>
  <c r="S116" i="20"/>
  <c r="S115" i="20"/>
  <c r="S114" i="20"/>
  <c r="S113" i="20"/>
  <c r="S112" i="20"/>
  <c r="S111" i="20"/>
  <c r="S110" i="20"/>
  <c r="S109" i="20"/>
  <c r="S108" i="20"/>
  <c r="S107" i="20"/>
  <c r="S106" i="20"/>
  <c r="S105" i="20"/>
  <c r="S104" i="20"/>
  <c r="S103" i="20"/>
  <c r="S102" i="20"/>
  <c r="S101" i="20"/>
  <c r="S100" i="20"/>
  <c r="S99" i="20"/>
  <c r="S98" i="20"/>
  <c r="S97" i="20"/>
  <c r="S96" i="20"/>
  <c r="S95" i="20"/>
  <c r="S94" i="20"/>
  <c r="S93" i="20"/>
  <c r="S92" i="20"/>
  <c r="S91" i="20"/>
  <c r="S90" i="20"/>
  <c r="S124" i="19"/>
  <c r="S123" i="19"/>
  <c r="S122" i="19"/>
  <c r="S121" i="19"/>
  <c r="S120" i="19"/>
  <c r="S119" i="19"/>
  <c r="S118" i="19"/>
  <c r="S117" i="19"/>
  <c r="S116" i="19"/>
  <c r="S115" i="19"/>
  <c r="S114" i="19"/>
  <c r="S113" i="19"/>
  <c r="S112" i="19"/>
  <c r="S111" i="19"/>
  <c r="S110" i="19"/>
  <c r="S109" i="19"/>
  <c r="S108" i="19"/>
  <c r="S107" i="19"/>
  <c r="S106" i="19"/>
  <c r="S105" i="19"/>
  <c r="S104" i="19"/>
  <c r="S103" i="19"/>
  <c r="S102" i="19"/>
  <c r="S101" i="19"/>
  <c r="S100" i="19"/>
  <c r="S99" i="19"/>
  <c r="S98" i="19"/>
  <c r="S97" i="19"/>
  <c r="S96" i="19"/>
  <c r="S95" i="19"/>
  <c r="S94" i="19"/>
  <c r="S93" i="19"/>
  <c r="S92" i="19"/>
  <c r="S91" i="19"/>
  <c r="S90" i="19"/>
  <c r="S124" i="16"/>
  <c r="S123" i="16"/>
  <c r="S122" i="16"/>
  <c r="S121" i="16"/>
  <c r="S120" i="16"/>
  <c r="S119" i="16"/>
  <c r="S118" i="16"/>
  <c r="S117" i="16"/>
  <c r="S116" i="16"/>
  <c r="S115" i="16"/>
  <c r="S114" i="16"/>
  <c r="S113" i="16"/>
  <c r="S112" i="16"/>
  <c r="S111" i="16"/>
  <c r="S110" i="16"/>
  <c r="S109" i="16"/>
  <c r="S108" i="1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C144" i="26"/>
  <c r="C143" i="26"/>
  <c r="C142" i="26"/>
  <c r="C141" i="26"/>
  <c r="C140" i="26"/>
  <c r="C139" i="26"/>
  <c r="C138" i="26"/>
  <c r="C137" i="26"/>
  <c r="C136" i="26"/>
  <c r="C135" i="26"/>
  <c r="C134" i="26"/>
  <c r="AD133" i="26"/>
  <c r="C133" i="26"/>
  <c r="C132" i="26"/>
  <c r="AD131" i="26"/>
  <c r="C131" i="26"/>
  <c r="C130" i="26"/>
  <c r="C129" i="26"/>
  <c r="C128" i="26"/>
  <c r="C127" i="26"/>
  <c r="C126" i="26"/>
  <c r="C125" i="26"/>
  <c r="AV124" i="26"/>
  <c r="AU124" i="26"/>
  <c r="AN124" i="26"/>
  <c r="AK124" i="26"/>
  <c r="AI124" i="26"/>
  <c r="AH124" i="26"/>
  <c r="AG124" i="26"/>
  <c r="AE124" i="26"/>
  <c r="AC124" i="26"/>
  <c r="AB124" i="26"/>
  <c r="AA124" i="26"/>
  <c r="Z124" i="26"/>
  <c r="X124" i="26"/>
  <c r="W124" i="26"/>
  <c r="V124" i="26"/>
  <c r="U124" i="26"/>
  <c r="T124" i="26"/>
  <c r="Q124" i="26"/>
  <c r="P124" i="26"/>
  <c r="M124" i="26"/>
  <c r="L124" i="26"/>
  <c r="K124" i="26"/>
  <c r="C124" i="26"/>
  <c r="AV123" i="26"/>
  <c r="AU123" i="26"/>
  <c r="AN123" i="26"/>
  <c r="AK123" i="26"/>
  <c r="AI123" i="26"/>
  <c r="AH123" i="26"/>
  <c r="AG123" i="26"/>
  <c r="AE123" i="26"/>
  <c r="AC123" i="26"/>
  <c r="AB123" i="26"/>
  <c r="AA123" i="26"/>
  <c r="Z123" i="26"/>
  <c r="X123" i="26"/>
  <c r="W123" i="26"/>
  <c r="V123" i="26"/>
  <c r="U123" i="26"/>
  <c r="T123" i="26"/>
  <c r="Q123" i="26"/>
  <c r="P123" i="26"/>
  <c r="M123" i="26"/>
  <c r="L123" i="26"/>
  <c r="K123" i="26"/>
  <c r="C123" i="26"/>
  <c r="AV122" i="26"/>
  <c r="AU122" i="26"/>
  <c r="AN122" i="26"/>
  <c r="AK122" i="26"/>
  <c r="AI122" i="26"/>
  <c r="AH122" i="26"/>
  <c r="AG122" i="26"/>
  <c r="AE122" i="26"/>
  <c r="AC122" i="26"/>
  <c r="AB122" i="26"/>
  <c r="AA122" i="26"/>
  <c r="Z122" i="26"/>
  <c r="X122" i="26"/>
  <c r="W122" i="26"/>
  <c r="V122" i="26"/>
  <c r="U122" i="26"/>
  <c r="T122" i="26"/>
  <c r="Q122" i="26"/>
  <c r="P122" i="26"/>
  <c r="M122" i="26"/>
  <c r="L122" i="26"/>
  <c r="K122" i="26"/>
  <c r="C122" i="26"/>
  <c r="AV121" i="26"/>
  <c r="AU121" i="26"/>
  <c r="AN121" i="26"/>
  <c r="AK121" i="26"/>
  <c r="AI121" i="26"/>
  <c r="AH121" i="26"/>
  <c r="AG121" i="26"/>
  <c r="AE121" i="26"/>
  <c r="AC121" i="26"/>
  <c r="AB121" i="26"/>
  <c r="AA121" i="26"/>
  <c r="Z121" i="26"/>
  <c r="X121" i="26"/>
  <c r="W121" i="26"/>
  <c r="V121" i="26"/>
  <c r="U121" i="26"/>
  <c r="T121" i="26"/>
  <c r="Q121" i="26"/>
  <c r="P121" i="26"/>
  <c r="M121" i="26"/>
  <c r="L121" i="26"/>
  <c r="K121" i="26"/>
  <c r="C121" i="26"/>
  <c r="AV120" i="26"/>
  <c r="AU120" i="26"/>
  <c r="AN120" i="26"/>
  <c r="AK120" i="26"/>
  <c r="AI120" i="26"/>
  <c r="AH120" i="26"/>
  <c r="AG120" i="26"/>
  <c r="AE120" i="26"/>
  <c r="AC120" i="26"/>
  <c r="AB120" i="26"/>
  <c r="AA120" i="26"/>
  <c r="Z120" i="26"/>
  <c r="X120" i="26"/>
  <c r="W120" i="26"/>
  <c r="V120" i="26"/>
  <c r="U120" i="26"/>
  <c r="T120" i="26"/>
  <c r="Q120" i="26"/>
  <c r="P120" i="26"/>
  <c r="M120" i="26"/>
  <c r="L120" i="26"/>
  <c r="K120" i="26"/>
  <c r="C120" i="26"/>
  <c r="AV119" i="26"/>
  <c r="AU119" i="26"/>
  <c r="AN119" i="26"/>
  <c r="AK119" i="26"/>
  <c r="AI119" i="26"/>
  <c r="AH119" i="26"/>
  <c r="AG119" i="26"/>
  <c r="AE119" i="26"/>
  <c r="AC119" i="26"/>
  <c r="AB119" i="26"/>
  <c r="AA119" i="26"/>
  <c r="Z119" i="26"/>
  <c r="X119" i="26"/>
  <c r="W119" i="26"/>
  <c r="V119" i="26"/>
  <c r="U119" i="26"/>
  <c r="T119" i="26"/>
  <c r="Q119" i="26"/>
  <c r="P119" i="26"/>
  <c r="M119" i="26"/>
  <c r="L119" i="26"/>
  <c r="K119" i="26"/>
  <c r="C119" i="26"/>
  <c r="AV118" i="26"/>
  <c r="AU118" i="26"/>
  <c r="AN118" i="26"/>
  <c r="AK118" i="26"/>
  <c r="AI118" i="26"/>
  <c r="AH118" i="26"/>
  <c r="AG118" i="26"/>
  <c r="AE118" i="26"/>
  <c r="AC118" i="26"/>
  <c r="AB118" i="26"/>
  <c r="AA118" i="26"/>
  <c r="Z118" i="26"/>
  <c r="X118" i="26"/>
  <c r="W118" i="26"/>
  <c r="V118" i="26"/>
  <c r="U118" i="26"/>
  <c r="T118" i="26"/>
  <c r="Q118" i="26"/>
  <c r="P118" i="26"/>
  <c r="M118" i="26"/>
  <c r="L118" i="26"/>
  <c r="K118" i="26"/>
  <c r="C118" i="26"/>
  <c r="AV117" i="26"/>
  <c r="AU117" i="26"/>
  <c r="AN117" i="26"/>
  <c r="AK117" i="26"/>
  <c r="AI117" i="26"/>
  <c r="AH117" i="26"/>
  <c r="AG117" i="26"/>
  <c r="AE117" i="26"/>
  <c r="AC117" i="26"/>
  <c r="AB117" i="26"/>
  <c r="AA117" i="26"/>
  <c r="Z117" i="26"/>
  <c r="X117" i="26"/>
  <c r="W117" i="26"/>
  <c r="V117" i="26"/>
  <c r="U117" i="26"/>
  <c r="T117" i="26"/>
  <c r="Q117" i="26"/>
  <c r="P117" i="26"/>
  <c r="M117" i="26"/>
  <c r="L117" i="26"/>
  <c r="K117" i="26"/>
  <c r="C117" i="26"/>
  <c r="AV116" i="26"/>
  <c r="AU116" i="26"/>
  <c r="AN116" i="26"/>
  <c r="AK116" i="26"/>
  <c r="AI116" i="26"/>
  <c r="AH116" i="26"/>
  <c r="AG116" i="26"/>
  <c r="AE116" i="26"/>
  <c r="AC116" i="26"/>
  <c r="AB116" i="26"/>
  <c r="AA116" i="26"/>
  <c r="Z116" i="26"/>
  <c r="X116" i="26"/>
  <c r="W116" i="26"/>
  <c r="V116" i="26"/>
  <c r="U116" i="26"/>
  <c r="T116" i="26"/>
  <c r="Q116" i="26"/>
  <c r="P116" i="26"/>
  <c r="M116" i="26"/>
  <c r="L116" i="26"/>
  <c r="K116" i="26"/>
  <c r="C116" i="26"/>
  <c r="AV115" i="26"/>
  <c r="AU115" i="26"/>
  <c r="AN115" i="26"/>
  <c r="AK115" i="26"/>
  <c r="AI115" i="26"/>
  <c r="AH115" i="26"/>
  <c r="AG115" i="26"/>
  <c r="AE115" i="26"/>
  <c r="AC115" i="26"/>
  <c r="AB115" i="26"/>
  <c r="AA115" i="26"/>
  <c r="Z115" i="26"/>
  <c r="X115" i="26"/>
  <c r="W115" i="26"/>
  <c r="V115" i="26"/>
  <c r="U115" i="26"/>
  <c r="T115" i="26"/>
  <c r="Q115" i="26"/>
  <c r="P115" i="26"/>
  <c r="M115" i="26"/>
  <c r="L115" i="26"/>
  <c r="K115" i="26"/>
  <c r="C115" i="26"/>
  <c r="AV114" i="26"/>
  <c r="AU114" i="26"/>
  <c r="AN114" i="26"/>
  <c r="AK114" i="26"/>
  <c r="AI114" i="26"/>
  <c r="AH114" i="26"/>
  <c r="AG114" i="26"/>
  <c r="AE114" i="26"/>
  <c r="AC114" i="26"/>
  <c r="AB114" i="26"/>
  <c r="AA114" i="26"/>
  <c r="Z114" i="26"/>
  <c r="X114" i="26"/>
  <c r="W114" i="26"/>
  <c r="V114" i="26"/>
  <c r="U114" i="26"/>
  <c r="T114" i="26"/>
  <c r="Q114" i="26"/>
  <c r="P114" i="26"/>
  <c r="M114" i="26"/>
  <c r="L114" i="26"/>
  <c r="K114" i="26"/>
  <c r="C114" i="26"/>
  <c r="AV113" i="26"/>
  <c r="AU113" i="26"/>
  <c r="AN113" i="26"/>
  <c r="AK113" i="26"/>
  <c r="AI113" i="26"/>
  <c r="AH113" i="26"/>
  <c r="AG113" i="26"/>
  <c r="AE113" i="26"/>
  <c r="AC113" i="26"/>
  <c r="AB113" i="26"/>
  <c r="AA113" i="26"/>
  <c r="Z113" i="26"/>
  <c r="X113" i="26"/>
  <c r="W113" i="26"/>
  <c r="V113" i="26"/>
  <c r="U113" i="26"/>
  <c r="T113" i="26"/>
  <c r="Q113" i="26"/>
  <c r="P113" i="26"/>
  <c r="M113" i="26"/>
  <c r="L113" i="26"/>
  <c r="K113" i="26"/>
  <c r="C113" i="26"/>
  <c r="AV112" i="26"/>
  <c r="AU112" i="26"/>
  <c r="AN112" i="26"/>
  <c r="AK112" i="26"/>
  <c r="AI112" i="26"/>
  <c r="AH112" i="26"/>
  <c r="AG112" i="26"/>
  <c r="AE112" i="26"/>
  <c r="AC112" i="26"/>
  <c r="AB112" i="26"/>
  <c r="AA112" i="26"/>
  <c r="Z112" i="26"/>
  <c r="X112" i="26"/>
  <c r="W112" i="26"/>
  <c r="V112" i="26"/>
  <c r="U112" i="26"/>
  <c r="T112" i="26"/>
  <c r="Q112" i="26"/>
  <c r="P112" i="26"/>
  <c r="M112" i="26"/>
  <c r="L112" i="26"/>
  <c r="K112" i="26"/>
  <c r="C112" i="26"/>
  <c r="AV111" i="26"/>
  <c r="AU111" i="26"/>
  <c r="AN111" i="26"/>
  <c r="AK111" i="26"/>
  <c r="AI111" i="26"/>
  <c r="AH111" i="26"/>
  <c r="AG111" i="26"/>
  <c r="AE111" i="26"/>
  <c r="AC111" i="26"/>
  <c r="AB111" i="26"/>
  <c r="AA111" i="26"/>
  <c r="Z111" i="26"/>
  <c r="X111" i="26"/>
  <c r="W111" i="26"/>
  <c r="V111" i="26"/>
  <c r="U111" i="26"/>
  <c r="T111" i="26"/>
  <c r="Q111" i="26"/>
  <c r="P111" i="26"/>
  <c r="M111" i="26"/>
  <c r="L111" i="26"/>
  <c r="K111" i="26"/>
  <c r="C111" i="26"/>
  <c r="AV110" i="26"/>
  <c r="AU110" i="26"/>
  <c r="AN110" i="26"/>
  <c r="AK110" i="26"/>
  <c r="AI110" i="26"/>
  <c r="AH110" i="26"/>
  <c r="AG110" i="26"/>
  <c r="AE110" i="26"/>
  <c r="AC110" i="26"/>
  <c r="AB110" i="26"/>
  <c r="AA110" i="26"/>
  <c r="Z110" i="26"/>
  <c r="X110" i="26"/>
  <c r="W110" i="26"/>
  <c r="V110" i="26"/>
  <c r="U110" i="26"/>
  <c r="T110" i="26"/>
  <c r="Q110" i="26"/>
  <c r="P110" i="26"/>
  <c r="M110" i="26"/>
  <c r="L110" i="26"/>
  <c r="K110" i="26"/>
  <c r="C110" i="26"/>
  <c r="AV109" i="26"/>
  <c r="AU109" i="26"/>
  <c r="AN109" i="26"/>
  <c r="AK109" i="26"/>
  <c r="AI109" i="26"/>
  <c r="AH109" i="26"/>
  <c r="AG109" i="26"/>
  <c r="AE109" i="26"/>
  <c r="AC109" i="26"/>
  <c r="AB109" i="26"/>
  <c r="AA109" i="26"/>
  <c r="Z109" i="26"/>
  <c r="X109" i="26"/>
  <c r="W109" i="26"/>
  <c r="V109" i="26"/>
  <c r="U109" i="26"/>
  <c r="T109" i="26"/>
  <c r="Q109" i="26"/>
  <c r="P109" i="26"/>
  <c r="M109" i="26"/>
  <c r="L109" i="26"/>
  <c r="K109" i="26"/>
  <c r="C109" i="26"/>
  <c r="AV108" i="26"/>
  <c r="AU108" i="26"/>
  <c r="AN108" i="26"/>
  <c r="AK108" i="26"/>
  <c r="AI108" i="26"/>
  <c r="AH108" i="26"/>
  <c r="AG108" i="26"/>
  <c r="AE108" i="26"/>
  <c r="AC108" i="26"/>
  <c r="AB108" i="26"/>
  <c r="AA108" i="26"/>
  <c r="Z108" i="26"/>
  <c r="X108" i="26"/>
  <c r="W108" i="26"/>
  <c r="V108" i="26"/>
  <c r="U108" i="26"/>
  <c r="T108" i="26"/>
  <c r="Q108" i="26"/>
  <c r="P108" i="26"/>
  <c r="M108" i="26"/>
  <c r="L108" i="26"/>
  <c r="K108" i="26"/>
  <c r="C108" i="26"/>
  <c r="AV107" i="26"/>
  <c r="AU107" i="26"/>
  <c r="AN107" i="26"/>
  <c r="AK107" i="26"/>
  <c r="AI107" i="26"/>
  <c r="AH107" i="26"/>
  <c r="AG107" i="26"/>
  <c r="AE107" i="26"/>
  <c r="AC107" i="26"/>
  <c r="AB107" i="26"/>
  <c r="AA107" i="26"/>
  <c r="Z107" i="26"/>
  <c r="X107" i="26"/>
  <c r="W107" i="26"/>
  <c r="V107" i="26"/>
  <c r="U107" i="26"/>
  <c r="T107" i="26"/>
  <c r="Q107" i="26"/>
  <c r="P107" i="26"/>
  <c r="M107" i="26"/>
  <c r="L107" i="26"/>
  <c r="K107" i="26"/>
  <c r="C107" i="26"/>
  <c r="AV106" i="26"/>
  <c r="AU106" i="26"/>
  <c r="AN106" i="26"/>
  <c r="AK106" i="26"/>
  <c r="AI106" i="26"/>
  <c r="AH106" i="26"/>
  <c r="AG106" i="26"/>
  <c r="AE106" i="26"/>
  <c r="AC106" i="26"/>
  <c r="AB106" i="26"/>
  <c r="AA106" i="26"/>
  <c r="Z106" i="26"/>
  <c r="X106" i="26"/>
  <c r="W106" i="26"/>
  <c r="V106" i="26"/>
  <c r="U106" i="26"/>
  <c r="T106" i="26"/>
  <c r="Q106" i="26"/>
  <c r="P106" i="26"/>
  <c r="M106" i="26"/>
  <c r="L106" i="26"/>
  <c r="K106" i="26"/>
  <c r="C106" i="26"/>
  <c r="AV105" i="26"/>
  <c r="AU105" i="26"/>
  <c r="AN105" i="26"/>
  <c r="AK105" i="26"/>
  <c r="AI105" i="26"/>
  <c r="AH105" i="26"/>
  <c r="AG105" i="26"/>
  <c r="AE105" i="26"/>
  <c r="AC105" i="26"/>
  <c r="AB105" i="26"/>
  <c r="AA105" i="26"/>
  <c r="Z105" i="26"/>
  <c r="X105" i="26"/>
  <c r="W105" i="26"/>
  <c r="V105" i="26"/>
  <c r="U105" i="26"/>
  <c r="T105" i="26"/>
  <c r="Q105" i="26"/>
  <c r="P105" i="26"/>
  <c r="M105" i="26"/>
  <c r="L105" i="26"/>
  <c r="K105" i="26"/>
  <c r="C105" i="26"/>
  <c r="AV104" i="26"/>
  <c r="AU104" i="26"/>
  <c r="AN104" i="26"/>
  <c r="AK104" i="26"/>
  <c r="AI104" i="26"/>
  <c r="AH104" i="26"/>
  <c r="AG104" i="26"/>
  <c r="AE104" i="26"/>
  <c r="AC104" i="26"/>
  <c r="AB104" i="26"/>
  <c r="AA104" i="26"/>
  <c r="Z104" i="26"/>
  <c r="X104" i="26"/>
  <c r="W104" i="26"/>
  <c r="V104" i="26"/>
  <c r="U104" i="26"/>
  <c r="T104" i="26"/>
  <c r="Q104" i="26"/>
  <c r="P104" i="26"/>
  <c r="M104" i="26"/>
  <c r="L104" i="26"/>
  <c r="K104" i="26"/>
  <c r="C104" i="26"/>
  <c r="AV103" i="26"/>
  <c r="AU103" i="26"/>
  <c r="AN103" i="26"/>
  <c r="AK103" i="26"/>
  <c r="AI103" i="26"/>
  <c r="AH103" i="26"/>
  <c r="AG103" i="26"/>
  <c r="AE103" i="26"/>
  <c r="AC103" i="26"/>
  <c r="AB103" i="26"/>
  <c r="AA103" i="26"/>
  <c r="Z103" i="26"/>
  <c r="X103" i="26"/>
  <c r="W103" i="26"/>
  <c r="V103" i="26"/>
  <c r="U103" i="26"/>
  <c r="T103" i="26"/>
  <c r="Q103" i="26"/>
  <c r="P103" i="26"/>
  <c r="M103" i="26"/>
  <c r="L103" i="26"/>
  <c r="K103" i="26"/>
  <c r="C103" i="26"/>
  <c r="AV102" i="26"/>
  <c r="AU102" i="26"/>
  <c r="AN102" i="26"/>
  <c r="AK102" i="26"/>
  <c r="AI102" i="26"/>
  <c r="AH102" i="26"/>
  <c r="AG102" i="26"/>
  <c r="AE102" i="26"/>
  <c r="AC102" i="26"/>
  <c r="AB102" i="26"/>
  <c r="AA102" i="26"/>
  <c r="Z102" i="26"/>
  <c r="X102" i="26"/>
  <c r="W102" i="26"/>
  <c r="V102" i="26"/>
  <c r="U102" i="26"/>
  <c r="T102" i="26"/>
  <c r="Q102" i="26"/>
  <c r="P102" i="26"/>
  <c r="M102" i="26"/>
  <c r="L102" i="26"/>
  <c r="K102" i="26"/>
  <c r="C102" i="26"/>
  <c r="AV101" i="26"/>
  <c r="AU101" i="26"/>
  <c r="AN101" i="26"/>
  <c r="AK101" i="26"/>
  <c r="AI101" i="26"/>
  <c r="AH101" i="26"/>
  <c r="AG101" i="26"/>
  <c r="AE101" i="26"/>
  <c r="AC101" i="26"/>
  <c r="AB101" i="26"/>
  <c r="AA101" i="26"/>
  <c r="Z101" i="26"/>
  <c r="X101" i="26"/>
  <c r="W101" i="26"/>
  <c r="V101" i="26"/>
  <c r="U101" i="26"/>
  <c r="T101" i="26"/>
  <c r="Q101" i="26"/>
  <c r="P101" i="26"/>
  <c r="M101" i="26"/>
  <c r="L101" i="26"/>
  <c r="K101" i="26"/>
  <c r="C101" i="26"/>
  <c r="AV100" i="26"/>
  <c r="AU100" i="26"/>
  <c r="AN100" i="26"/>
  <c r="AK100" i="26"/>
  <c r="AI100" i="26"/>
  <c r="AH100" i="26"/>
  <c r="AG100" i="26"/>
  <c r="AE100" i="26"/>
  <c r="AC100" i="26"/>
  <c r="AB100" i="26"/>
  <c r="AA100" i="26"/>
  <c r="Z100" i="26"/>
  <c r="X100" i="26"/>
  <c r="W100" i="26"/>
  <c r="V100" i="26"/>
  <c r="U100" i="26"/>
  <c r="T100" i="26"/>
  <c r="Q100" i="26"/>
  <c r="P100" i="26"/>
  <c r="M100" i="26"/>
  <c r="L100" i="26"/>
  <c r="K100" i="26"/>
  <c r="C100" i="26"/>
  <c r="AV99" i="26"/>
  <c r="AU99" i="26"/>
  <c r="AN99" i="26"/>
  <c r="AK99" i="26"/>
  <c r="AI99" i="26"/>
  <c r="AH99" i="26"/>
  <c r="AG99" i="26"/>
  <c r="AE99" i="26"/>
  <c r="AC99" i="26"/>
  <c r="AB99" i="26"/>
  <c r="AA99" i="26"/>
  <c r="Z99" i="26"/>
  <c r="X99" i="26"/>
  <c r="W99" i="26"/>
  <c r="V99" i="26"/>
  <c r="U99" i="26"/>
  <c r="T99" i="26"/>
  <c r="Q99" i="26"/>
  <c r="P99" i="26"/>
  <c r="M99" i="26"/>
  <c r="L99" i="26"/>
  <c r="K99" i="26"/>
  <c r="C99" i="26"/>
  <c r="AV98" i="26"/>
  <c r="AU98" i="26"/>
  <c r="AN98" i="26"/>
  <c r="AK98" i="26"/>
  <c r="AI98" i="26"/>
  <c r="AH98" i="26"/>
  <c r="AG98" i="26"/>
  <c r="AE98" i="26"/>
  <c r="AC98" i="26"/>
  <c r="AB98" i="26"/>
  <c r="AA98" i="26"/>
  <c r="Z98" i="26"/>
  <c r="X98" i="26"/>
  <c r="W98" i="26"/>
  <c r="V98" i="26"/>
  <c r="U98" i="26"/>
  <c r="T98" i="26"/>
  <c r="Q98" i="26"/>
  <c r="P98" i="26"/>
  <c r="M98" i="26"/>
  <c r="L98" i="26"/>
  <c r="K98" i="26"/>
  <c r="C98" i="26"/>
  <c r="AV97" i="26"/>
  <c r="AU97" i="26"/>
  <c r="AN97" i="26"/>
  <c r="AK97" i="26"/>
  <c r="AI97" i="26"/>
  <c r="AH97" i="26"/>
  <c r="AG97" i="26"/>
  <c r="AE97" i="26"/>
  <c r="AC97" i="26"/>
  <c r="AB97" i="26"/>
  <c r="AA97" i="26"/>
  <c r="Z97" i="26"/>
  <c r="X97" i="26"/>
  <c r="W97" i="26"/>
  <c r="V97" i="26"/>
  <c r="U97" i="26"/>
  <c r="T97" i="26"/>
  <c r="Q97" i="26"/>
  <c r="P97" i="26"/>
  <c r="M97" i="26"/>
  <c r="L97" i="26"/>
  <c r="K97" i="26"/>
  <c r="C97" i="26"/>
  <c r="AV96" i="26"/>
  <c r="AU96" i="26"/>
  <c r="AN96" i="26"/>
  <c r="AK96" i="26"/>
  <c r="AI96" i="26"/>
  <c r="AH96" i="26"/>
  <c r="AG96" i="26"/>
  <c r="AE96" i="26"/>
  <c r="AC96" i="26"/>
  <c r="AB96" i="26"/>
  <c r="AA96" i="26"/>
  <c r="Z96" i="26"/>
  <c r="X96" i="26"/>
  <c r="W96" i="26"/>
  <c r="V96" i="26"/>
  <c r="U96" i="26"/>
  <c r="T96" i="26"/>
  <c r="Q96" i="26"/>
  <c r="P96" i="26"/>
  <c r="M96" i="26"/>
  <c r="L96" i="26"/>
  <c r="K96" i="26"/>
  <c r="C96" i="26"/>
  <c r="AV95" i="26"/>
  <c r="AU95" i="26"/>
  <c r="AN95" i="26"/>
  <c r="AK95" i="26"/>
  <c r="AI95" i="26"/>
  <c r="AH95" i="26"/>
  <c r="AG95" i="26"/>
  <c r="AE95" i="26"/>
  <c r="AC95" i="26"/>
  <c r="AB95" i="26"/>
  <c r="AA95" i="26"/>
  <c r="Z95" i="26"/>
  <c r="X95" i="26"/>
  <c r="W95" i="26"/>
  <c r="V95" i="26"/>
  <c r="U95" i="26"/>
  <c r="T95" i="26"/>
  <c r="Q95" i="26"/>
  <c r="P95" i="26"/>
  <c r="M95" i="26"/>
  <c r="L95" i="26"/>
  <c r="K95" i="26"/>
  <c r="C95" i="26"/>
  <c r="AV94" i="26"/>
  <c r="AU94" i="26"/>
  <c r="AN94" i="26"/>
  <c r="AK94" i="26"/>
  <c r="AI94" i="26"/>
  <c r="AH94" i="26"/>
  <c r="AG94" i="26"/>
  <c r="AE94" i="26"/>
  <c r="AC94" i="26"/>
  <c r="AB94" i="26"/>
  <c r="AA94" i="26"/>
  <c r="Z94" i="26"/>
  <c r="X94" i="26"/>
  <c r="W94" i="26"/>
  <c r="V94" i="26"/>
  <c r="U94" i="26"/>
  <c r="T94" i="26"/>
  <c r="Q94" i="26"/>
  <c r="P94" i="26"/>
  <c r="M94" i="26"/>
  <c r="L94" i="26"/>
  <c r="K94" i="26"/>
  <c r="C94" i="26"/>
  <c r="AV93" i="26"/>
  <c r="AU93" i="26"/>
  <c r="AN93" i="26"/>
  <c r="AK93" i="26"/>
  <c r="AI93" i="26"/>
  <c r="AH93" i="26"/>
  <c r="AG93" i="26"/>
  <c r="AE93" i="26"/>
  <c r="AC93" i="26"/>
  <c r="AB93" i="26"/>
  <c r="AA93" i="26"/>
  <c r="Z93" i="26"/>
  <c r="X93" i="26"/>
  <c r="W93" i="26"/>
  <c r="V93" i="26"/>
  <c r="U93" i="26"/>
  <c r="T93" i="26"/>
  <c r="Q93" i="26"/>
  <c r="P93" i="26"/>
  <c r="M93" i="26"/>
  <c r="L93" i="26"/>
  <c r="K93" i="26"/>
  <c r="C93" i="26"/>
  <c r="AV92" i="26"/>
  <c r="AU92" i="26"/>
  <c r="AN92" i="26"/>
  <c r="AK92" i="26"/>
  <c r="AI92" i="26"/>
  <c r="AH92" i="26"/>
  <c r="AG92" i="26"/>
  <c r="AE92" i="26"/>
  <c r="AC92" i="26"/>
  <c r="AB92" i="26"/>
  <c r="AA92" i="26"/>
  <c r="Z92" i="26"/>
  <c r="X92" i="26"/>
  <c r="W92" i="26"/>
  <c r="V92" i="26"/>
  <c r="U92" i="26"/>
  <c r="T92" i="26"/>
  <c r="Q92" i="26"/>
  <c r="P92" i="26"/>
  <c r="M92" i="26"/>
  <c r="L92" i="26"/>
  <c r="K92" i="26"/>
  <c r="C92" i="26"/>
  <c r="AV91" i="26"/>
  <c r="AU91" i="26"/>
  <c r="AN91" i="26"/>
  <c r="AK91" i="26"/>
  <c r="AI91" i="26"/>
  <c r="AH91" i="26"/>
  <c r="AG91" i="26"/>
  <c r="AE91" i="26"/>
  <c r="AC91" i="26"/>
  <c r="AB91" i="26"/>
  <c r="AA91" i="26"/>
  <c r="Z91" i="26"/>
  <c r="X91" i="26"/>
  <c r="W91" i="26"/>
  <c r="V91" i="26"/>
  <c r="U91" i="26"/>
  <c r="T91" i="26"/>
  <c r="Q91" i="26"/>
  <c r="P91" i="26"/>
  <c r="M91" i="26"/>
  <c r="L91" i="26"/>
  <c r="K91" i="26"/>
  <c r="C91" i="26"/>
  <c r="AV90" i="26"/>
  <c r="AU90" i="26"/>
  <c r="AN90" i="26"/>
  <c r="AK90" i="26"/>
  <c r="AI90" i="26"/>
  <c r="AH90" i="26"/>
  <c r="AG90" i="26"/>
  <c r="AE90" i="26"/>
  <c r="AC90" i="26"/>
  <c r="AB90" i="26"/>
  <c r="AA90" i="26"/>
  <c r="Z90" i="26"/>
  <c r="X90" i="26"/>
  <c r="W90" i="26"/>
  <c r="V90" i="26"/>
  <c r="U90" i="26"/>
  <c r="T90" i="26"/>
  <c r="Q90" i="26"/>
  <c r="P90" i="26"/>
  <c r="M90" i="26"/>
  <c r="L90" i="26"/>
  <c r="K90" i="26"/>
  <c r="C90" i="26"/>
  <c r="T89" i="26"/>
  <c r="K89" i="26"/>
  <c r="C89" i="26"/>
  <c r="T88" i="26"/>
  <c r="K88" i="26"/>
  <c r="C88" i="26"/>
  <c r="T87" i="26"/>
  <c r="K87" i="26"/>
  <c r="C87" i="26"/>
  <c r="T86" i="26"/>
  <c r="K86" i="26"/>
  <c r="C86" i="26"/>
  <c r="T85" i="26"/>
  <c r="K85" i="26"/>
  <c r="C85" i="26"/>
  <c r="T84" i="26"/>
  <c r="K84" i="26"/>
  <c r="C84" i="26"/>
  <c r="T83" i="26"/>
  <c r="K83" i="26"/>
  <c r="C83" i="26"/>
  <c r="T82" i="26"/>
  <c r="K82" i="26"/>
  <c r="C82" i="26"/>
  <c r="T81" i="26"/>
  <c r="K81" i="26"/>
  <c r="C81" i="26"/>
  <c r="T80" i="26"/>
  <c r="K80" i="26"/>
  <c r="C80" i="26"/>
  <c r="T79" i="26"/>
  <c r="K79" i="26"/>
  <c r="C79" i="26"/>
  <c r="T78" i="26"/>
  <c r="K78" i="26"/>
  <c r="C78" i="26"/>
  <c r="T77" i="26"/>
  <c r="K77" i="26"/>
  <c r="C77" i="26"/>
  <c r="T76" i="26"/>
  <c r="K76" i="26"/>
  <c r="C76" i="26"/>
  <c r="T75" i="26"/>
  <c r="K75" i="26"/>
  <c r="C75" i="26"/>
  <c r="T74" i="26"/>
  <c r="K74" i="26"/>
  <c r="C74" i="26"/>
  <c r="T73" i="26"/>
  <c r="K73" i="26"/>
  <c r="C73" i="26"/>
  <c r="T72" i="26"/>
  <c r="K72" i="26"/>
  <c r="C72" i="26"/>
  <c r="T71" i="26"/>
  <c r="K71" i="26"/>
  <c r="C71" i="26"/>
  <c r="T70" i="26"/>
  <c r="K70" i="26"/>
  <c r="C70" i="26"/>
  <c r="T69" i="26"/>
  <c r="K69" i="26"/>
  <c r="C69" i="26"/>
  <c r="T68" i="26"/>
  <c r="K68" i="26"/>
  <c r="C68" i="26"/>
  <c r="T67" i="26"/>
  <c r="K67" i="26"/>
  <c r="C67" i="26"/>
  <c r="T66" i="26"/>
  <c r="K66" i="26"/>
  <c r="C66" i="26"/>
  <c r="T65" i="26"/>
  <c r="K65" i="26"/>
  <c r="C65" i="26"/>
  <c r="T64" i="26"/>
  <c r="K64" i="26"/>
  <c r="C64" i="26"/>
  <c r="T63" i="26"/>
  <c r="K63" i="26"/>
  <c r="C63" i="26"/>
  <c r="T62" i="26"/>
  <c r="K62" i="26"/>
  <c r="C62" i="26"/>
  <c r="T61" i="26"/>
  <c r="K61" i="26"/>
  <c r="C61" i="26"/>
  <c r="T60" i="26"/>
  <c r="K60" i="26"/>
  <c r="C60" i="26"/>
  <c r="T59" i="26"/>
  <c r="K59" i="26"/>
  <c r="C59" i="26"/>
  <c r="T58" i="26"/>
  <c r="K58" i="26"/>
  <c r="C58" i="26"/>
  <c r="T57" i="26"/>
  <c r="K57" i="26"/>
  <c r="C57" i="26"/>
  <c r="T56" i="26"/>
  <c r="K56" i="26"/>
  <c r="C56" i="26"/>
  <c r="T55" i="26"/>
  <c r="K55" i="26"/>
  <c r="C55" i="26"/>
  <c r="T54" i="26"/>
  <c r="K54" i="26"/>
  <c r="C54" i="26"/>
  <c r="T53" i="26"/>
  <c r="K53" i="26"/>
  <c r="C53" i="26"/>
  <c r="T52" i="26"/>
  <c r="K52" i="26"/>
  <c r="C52" i="26"/>
  <c r="T51" i="26"/>
  <c r="K51" i="26"/>
  <c r="C51" i="26"/>
  <c r="T50" i="26"/>
  <c r="K50" i="26"/>
  <c r="C50" i="26"/>
  <c r="T49" i="26"/>
  <c r="K49" i="26"/>
  <c r="C49" i="26"/>
  <c r="T48" i="26"/>
  <c r="K48" i="26"/>
  <c r="C48" i="26"/>
  <c r="T47" i="26"/>
  <c r="K47" i="26"/>
  <c r="C47" i="26"/>
  <c r="T46" i="26"/>
  <c r="K46" i="26"/>
  <c r="C46" i="26"/>
  <c r="T45" i="26"/>
  <c r="K45" i="26"/>
  <c r="C45" i="26"/>
  <c r="T44" i="26"/>
  <c r="K44" i="26"/>
  <c r="C44" i="26"/>
  <c r="T43" i="26"/>
  <c r="K43" i="26"/>
  <c r="C43" i="26"/>
  <c r="T42" i="26"/>
  <c r="K42" i="26"/>
  <c r="C42" i="26"/>
  <c r="T41" i="26"/>
  <c r="K41" i="26"/>
  <c r="C41" i="26"/>
  <c r="T40" i="26"/>
  <c r="K40" i="26"/>
  <c r="C40" i="26"/>
  <c r="T39" i="26"/>
  <c r="K39" i="26"/>
  <c r="C39" i="26"/>
  <c r="T38" i="26"/>
  <c r="K38" i="26"/>
  <c r="C38" i="26"/>
  <c r="T37" i="26"/>
  <c r="K37" i="26"/>
  <c r="C37" i="26"/>
  <c r="T36" i="26"/>
  <c r="K36" i="26"/>
  <c r="C36" i="26"/>
  <c r="T35" i="26"/>
  <c r="K35" i="26"/>
  <c r="C35" i="26"/>
  <c r="T34" i="26"/>
  <c r="K34" i="26"/>
  <c r="C34" i="26"/>
  <c r="T33" i="26"/>
  <c r="K33" i="26"/>
  <c r="C33" i="26"/>
  <c r="T32" i="26"/>
  <c r="K32" i="26"/>
  <c r="C32" i="26"/>
  <c r="T31" i="26"/>
  <c r="K31" i="26"/>
  <c r="C31" i="26"/>
  <c r="T30" i="26"/>
  <c r="K30" i="26"/>
  <c r="C30" i="26"/>
  <c r="T29" i="26"/>
  <c r="K29" i="26"/>
  <c r="C29" i="26"/>
  <c r="T28" i="26"/>
  <c r="K28" i="26"/>
  <c r="C28" i="26"/>
  <c r="T27" i="26"/>
  <c r="K27" i="26"/>
  <c r="C27" i="26"/>
  <c r="T26" i="26"/>
  <c r="K26" i="26"/>
  <c r="C26" i="26"/>
  <c r="T25" i="26"/>
  <c r="K25" i="26"/>
  <c r="T24" i="26"/>
  <c r="K24" i="26"/>
  <c r="T23" i="26"/>
  <c r="K23" i="26"/>
  <c r="T22" i="26"/>
  <c r="K22" i="26"/>
  <c r="T21" i="26"/>
  <c r="K21" i="26"/>
  <c r="T20" i="26"/>
  <c r="K20" i="26"/>
  <c r="T19" i="26"/>
  <c r="K19" i="26"/>
  <c r="T18" i="26"/>
  <c r="K18" i="26"/>
  <c r="T17" i="26"/>
  <c r="K17" i="26"/>
  <c r="T16" i="26"/>
  <c r="K16" i="26"/>
  <c r="T15" i="26"/>
  <c r="K15" i="26"/>
  <c r="T14" i="26"/>
  <c r="K14" i="26"/>
  <c r="T13" i="26"/>
  <c r="K13" i="26"/>
  <c r="T12" i="26"/>
  <c r="K12" i="26"/>
  <c r="T11" i="26"/>
  <c r="K11" i="26"/>
  <c r="T10" i="26"/>
  <c r="K10" i="26"/>
  <c r="T9" i="26"/>
  <c r="K9" i="26"/>
  <c r="T8" i="26"/>
  <c r="K8" i="26"/>
  <c r="T7" i="26"/>
  <c r="K7" i="26"/>
  <c r="AT6" i="26"/>
  <c r="AT7" i="26" s="1"/>
  <c r="AT8" i="26" s="1"/>
  <c r="AT9" i="26" s="1"/>
  <c r="AT10" i="26" s="1"/>
  <c r="AT11" i="26" s="1"/>
  <c r="AT12" i="26" s="1"/>
  <c r="AT13" i="26" s="1"/>
  <c r="AT14" i="26" s="1"/>
  <c r="AT15" i="26" s="1"/>
  <c r="AT16" i="26" s="1"/>
  <c r="AT17" i="26" s="1"/>
  <c r="AT18" i="26" s="1"/>
  <c r="AT19" i="26" s="1"/>
  <c r="AT20" i="26" s="1"/>
  <c r="AT21" i="26" s="1"/>
  <c r="AT22" i="26" s="1"/>
  <c r="AT23" i="26" s="1"/>
  <c r="AT24" i="26" s="1"/>
  <c r="AT25" i="26" s="1"/>
  <c r="AT26" i="26" s="1"/>
  <c r="AT27" i="26" s="1"/>
  <c r="AT28" i="26" s="1"/>
  <c r="AT29" i="26" s="1"/>
  <c r="AT30" i="26" s="1"/>
  <c r="AT31" i="26" s="1"/>
  <c r="AT32" i="26" s="1"/>
  <c r="AT33" i="26" s="1"/>
  <c r="AT34" i="26" s="1"/>
  <c r="AT35" i="26" s="1"/>
  <c r="AT36" i="26" s="1"/>
  <c r="AT37" i="26" s="1"/>
  <c r="AT38" i="26" s="1"/>
  <c r="AT39" i="26" s="1"/>
  <c r="AT40" i="26" s="1"/>
  <c r="AT41" i="26" s="1"/>
  <c r="AT42" i="26" s="1"/>
  <c r="AT43" i="26" s="1"/>
  <c r="AT44" i="26" s="1"/>
  <c r="AT45" i="26" s="1"/>
  <c r="AT46" i="26" s="1"/>
  <c r="AT47" i="26" s="1"/>
  <c r="AT48" i="26" s="1"/>
  <c r="AT49" i="26" s="1"/>
  <c r="AT50" i="26" s="1"/>
  <c r="AT51" i="26" s="1"/>
  <c r="AT52" i="26" s="1"/>
  <c r="AT53" i="26" s="1"/>
  <c r="AT54" i="26" s="1"/>
  <c r="AT55" i="26" s="1"/>
  <c r="AT56" i="26" s="1"/>
  <c r="AT57" i="26" s="1"/>
  <c r="AT58" i="26" s="1"/>
  <c r="AT59" i="26" s="1"/>
  <c r="AT60" i="26" s="1"/>
  <c r="AT61" i="26" s="1"/>
  <c r="AT62" i="26" s="1"/>
  <c r="AT63" i="26" s="1"/>
  <c r="AT64" i="26" s="1"/>
  <c r="AT65" i="26" s="1"/>
  <c r="AT66" i="26" s="1"/>
  <c r="AT67" i="26" s="1"/>
  <c r="AT68" i="26" s="1"/>
  <c r="AT69" i="26" s="1"/>
  <c r="AT70" i="26" s="1"/>
  <c r="AT71" i="26" s="1"/>
  <c r="AT72" i="26" s="1"/>
  <c r="AT73" i="26" s="1"/>
  <c r="AT74" i="26" s="1"/>
  <c r="AT75" i="26" s="1"/>
  <c r="AT76" i="26" s="1"/>
  <c r="AT77" i="26" s="1"/>
  <c r="AT78" i="26" s="1"/>
  <c r="AT79" i="26" s="1"/>
  <c r="AT80" i="26" s="1"/>
  <c r="AT81" i="26" s="1"/>
  <c r="AT82" i="26" s="1"/>
  <c r="AT83" i="26" s="1"/>
  <c r="AT84" i="26" s="1"/>
  <c r="AT85" i="26" s="1"/>
  <c r="AT86" i="26" s="1"/>
  <c r="AT87" i="26" s="1"/>
  <c r="AT88" i="26" s="1"/>
  <c r="AT89" i="26" s="1"/>
  <c r="AT90" i="26" s="1"/>
  <c r="AT91" i="26" s="1"/>
  <c r="AT92" i="26" s="1"/>
  <c r="AT93" i="26" s="1"/>
  <c r="AT94" i="26" s="1"/>
  <c r="AT95" i="26" s="1"/>
  <c r="AT96" i="26" s="1"/>
  <c r="AT97" i="26" s="1"/>
  <c r="AT98" i="26" s="1"/>
  <c r="AT99" i="26" s="1"/>
  <c r="AT100" i="26" s="1"/>
  <c r="AT101" i="26" s="1"/>
  <c r="AT102" i="26" s="1"/>
  <c r="AT103" i="26" s="1"/>
  <c r="AT104" i="26" s="1"/>
  <c r="AT105" i="26" s="1"/>
  <c r="AT106" i="26" s="1"/>
  <c r="AT107" i="26" s="1"/>
  <c r="AT108" i="26" s="1"/>
  <c r="AT109" i="26" s="1"/>
  <c r="AT110" i="26" s="1"/>
  <c r="AT111" i="26" s="1"/>
  <c r="AT112" i="26" s="1"/>
  <c r="AT113" i="26" s="1"/>
  <c r="AT114" i="26" s="1"/>
  <c r="AT115" i="26" s="1"/>
  <c r="AT116" i="26" s="1"/>
  <c r="AT117" i="26" s="1"/>
  <c r="AT118" i="26" s="1"/>
  <c r="AT119" i="26" s="1"/>
  <c r="AT120" i="26" s="1"/>
  <c r="AT121" i="26" s="1"/>
  <c r="AT122" i="26" s="1"/>
  <c r="AT123" i="26" s="1"/>
  <c r="AT124" i="26" s="1"/>
  <c r="T6" i="26"/>
  <c r="K6" i="26"/>
  <c r="AT5" i="26"/>
  <c r="T5" i="26"/>
  <c r="M5" i="26"/>
  <c r="M4" i="26"/>
  <c r="J4" i="26"/>
  <c r="I4" i="26" a="1"/>
  <c r="S62" i="26" s="1"/>
  <c r="C144" i="25"/>
  <c r="C143" i="25"/>
  <c r="C142" i="25"/>
  <c r="C141" i="25"/>
  <c r="C140" i="25"/>
  <c r="C139" i="25"/>
  <c r="C138" i="25"/>
  <c r="C137" i="25"/>
  <c r="C136" i="25"/>
  <c r="C135" i="25"/>
  <c r="C134" i="25"/>
  <c r="AD133" i="25"/>
  <c r="C133" i="25"/>
  <c r="C132" i="25"/>
  <c r="AD131" i="25"/>
  <c r="C131" i="25"/>
  <c r="C130" i="25"/>
  <c r="C129" i="25"/>
  <c r="C128" i="25"/>
  <c r="C127" i="25"/>
  <c r="C126" i="25"/>
  <c r="C125" i="25"/>
  <c r="AV124" i="25"/>
  <c r="AU124" i="25"/>
  <c r="AN124" i="25"/>
  <c r="AK124" i="25"/>
  <c r="AI124" i="25"/>
  <c r="AH124" i="25"/>
  <c r="AG124" i="25"/>
  <c r="AE124" i="25"/>
  <c r="AC124" i="25"/>
  <c r="AB124" i="25"/>
  <c r="AA124" i="25"/>
  <c r="Z124" i="25"/>
  <c r="X124" i="25"/>
  <c r="W124" i="25"/>
  <c r="V124" i="25"/>
  <c r="U124" i="25"/>
  <c r="T124" i="25"/>
  <c r="Q124" i="25"/>
  <c r="P124" i="25"/>
  <c r="M124" i="25"/>
  <c r="L124" i="25"/>
  <c r="K124" i="25"/>
  <c r="C124" i="25"/>
  <c r="AV123" i="25"/>
  <c r="AU123" i="25"/>
  <c r="AN123" i="25"/>
  <c r="AK123" i="25"/>
  <c r="AI123" i="25"/>
  <c r="AH123" i="25"/>
  <c r="AG123" i="25"/>
  <c r="AE123" i="25"/>
  <c r="AC123" i="25"/>
  <c r="AB123" i="25"/>
  <c r="AA123" i="25"/>
  <c r="Z123" i="25"/>
  <c r="X123" i="25"/>
  <c r="W123" i="25"/>
  <c r="V123" i="25"/>
  <c r="U123" i="25"/>
  <c r="T123" i="25"/>
  <c r="Q123" i="25"/>
  <c r="P123" i="25"/>
  <c r="M123" i="25"/>
  <c r="L123" i="25"/>
  <c r="K123" i="25"/>
  <c r="C123" i="25"/>
  <c r="AV122" i="25"/>
  <c r="AU122" i="25"/>
  <c r="AN122" i="25"/>
  <c r="AK122" i="25"/>
  <c r="AI122" i="25"/>
  <c r="AH122" i="25"/>
  <c r="AG122" i="25"/>
  <c r="AE122" i="25"/>
  <c r="AC122" i="25"/>
  <c r="AB122" i="25"/>
  <c r="AA122" i="25"/>
  <c r="Z122" i="25"/>
  <c r="X122" i="25"/>
  <c r="W122" i="25"/>
  <c r="V122" i="25"/>
  <c r="U122" i="25"/>
  <c r="T122" i="25"/>
  <c r="Q122" i="25"/>
  <c r="P122" i="25"/>
  <c r="M122" i="25"/>
  <c r="L122" i="25"/>
  <c r="K122" i="25"/>
  <c r="C122" i="25"/>
  <c r="AV121" i="25"/>
  <c r="AU121" i="25"/>
  <c r="AN121" i="25"/>
  <c r="AK121" i="25"/>
  <c r="AI121" i="25"/>
  <c r="AH121" i="25"/>
  <c r="AG121" i="25"/>
  <c r="AE121" i="25"/>
  <c r="AC121" i="25"/>
  <c r="AB121" i="25"/>
  <c r="AA121" i="25"/>
  <c r="Z121" i="25"/>
  <c r="X121" i="25"/>
  <c r="W121" i="25"/>
  <c r="V121" i="25"/>
  <c r="U121" i="25"/>
  <c r="T121" i="25"/>
  <c r="Q121" i="25"/>
  <c r="P121" i="25"/>
  <c r="M121" i="25"/>
  <c r="L121" i="25"/>
  <c r="K121" i="25"/>
  <c r="C121" i="25"/>
  <c r="AV120" i="25"/>
  <c r="AU120" i="25"/>
  <c r="AN120" i="25"/>
  <c r="AK120" i="25"/>
  <c r="AI120" i="25"/>
  <c r="AH120" i="25"/>
  <c r="AG120" i="25"/>
  <c r="AE120" i="25"/>
  <c r="AC120" i="25"/>
  <c r="AB120" i="25"/>
  <c r="AA120" i="25"/>
  <c r="Z120" i="25"/>
  <c r="X120" i="25"/>
  <c r="W120" i="25"/>
  <c r="V120" i="25"/>
  <c r="U120" i="25"/>
  <c r="T120" i="25"/>
  <c r="Q120" i="25"/>
  <c r="P120" i="25"/>
  <c r="M120" i="25"/>
  <c r="L120" i="25"/>
  <c r="K120" i="25"/>
  <c r="C120" i="25"/>
  <c r="AV119" i="25"/>
  <c r="AU119" i="25"/>
  <c r="AN119" i="25"/>
  <c r="AK119" i="25"/>
  <c r="AI119" i="25"/>
  <c r="AH119" i="25"/>
  <c r="AG119" i="25"/>
  <c r="AE119" i="25"/>
  <c r="AC119" i="25"/>
  <c r="AB119" i="25"/>
  <c r="AA119" i="25"/>
  <c r="Z119" i="25"/>
  <c r="X119" i="25"/>
  <c r="W119" i="25"/>
  <c r="V119" i="25"/>
  <c r="U119" i="25"/>
  <c r="T119" i="25"/>
  <c r="Q119" i="25"/>
  <c r="P119" i="25"/>
  <c r="M119" i="25"/>
  <c r="L119" i="25"/>
  <c r="K119" i="25"/>
  <c r="C119" i="25"/>
  <c r="AV118" i="25"/>
  <c r="AU118" i="25"/>
  <c r="AN118" i="25"/>
  <c r="AK118" i="25"/>
  <c r="AI118" i="25"/>
  <c r="AH118" i="25"/>
  <c r="AG118" i="25"/>
  <c r="AE118" i="25"/>
  <c r="AC118" i="25"/>
  <c r="AB118" i="25"/>
  <c r="AA118" i="25"/>
  <c r="Z118" i="25"/>
  <c r="X118" i="25"/>
  <c r="W118" i="25"/>
  <c r="V118" i="25"/>
  <c r="U118" i="25"/>
  <c r="T118" i="25"/>
  <c r="Q118" i="25"/>
  <c r="P118" i="25"/>
  <c r="M118" i="25"/>
  <c r="L118" i="25"/>
  <c r="K118" i="25"/>
  <c r="C118" i="25"/>
  <c r="AV117" i="25"/>
  <c r="AU117" i="25"/>
  <c r="AN117" i="25"/>
  <c r="AK117" i="25"/>
  <c r="AI117" i="25"/>
  <c r="AH117" i="25"/>
  <c r="AG117" i="25"/>
  <c r="AE117" i="25"/>
  <c r="AC117" i="25"/>
  <c r="AB117" i="25"/>
  <c r="AA117" i="25"/>
  <c r="Z117" i="25"/>
  <c r="X117" i="25"/>
  <c r="W117" i="25"/>
  <c r="V117" i="25"/>
  <c r="U117" i="25"/>
  <c r="T117" i="25"/>
  <c r="Q117" i="25"/>
  <c r="P117" i="25"/>
  <c r="M117" i="25"/>
  <c r="L117" i="25"/>
  <c r="K117" i="25"/>
  <c r="C117" i="25"/>
  <c r="AV116" i="25"/>
  <c r="AU116" i="25"/>
  <c r="AN116" i="25"/>
  <c r="AK116" i="25"/>
  <c r="AI116" i="25"/>
  <c r="AH116" i="25"/>
  <c r="AG116" i="25"/>
  <c r="AE116" i="25"/>
  <c r="AC116" i="25"/>
  <c r="AB116" i="25"/>
  <c r="AA116" i="25"/>
  <c r="Z116" i="25"/>
  <c r="X116" i="25"/>
  <c r="W116" i="25"/>
  <c r="V116" i="25"/>
  <c r="U116" i="25"/>
  <c r="T116" i="25"/>
  <c r="Q116" i="25"/>
  <c r="P116" i="25"/>
  <c r="M116" i="25"/>
  <c r="L116" i="25"/>
  <c r="K116" i="25"/>
  <c r="C116" i="25"/>
  <c r="AV115" i="25"/>
  <c r="AU115" i="25"/>
  <c r="AN115" i="25"/>
  <c r="AK115" i="25"/>
  <c r="AI115" i="25"/>
  <c r="AH115" i="25"/>
  <c r="AG115" i="25"/>
  <c r="AE115" i="25"/>
  <c r="AC115" i="25"/>
  <c r="AB115" i="25"/>
  <c r="AA115" i="25"/>
  <c r="Z115" i="25"/>
  <c r="X115" i="25"/>
  <c r="W115" i="25"/>
  <c r="V115" i="25"/>
  <c r="U115" i="25"/>
  <c r="T115" i="25"/>
  <c r="Q115" i="25"/>
  <c r="P115" i="25"/>
  <c r="M115" i="25"/>
  <c r="L115" i="25"/>
  <c r="K115" i="25"/>
  <c r="C115" i="25"/>
  <c r="AV114" i="25"/>
  <c r="AU114" i="25"/>
  <c r="AN114" i="25"/>
  <c r="AK114" i="25"/>
  <c r="AI114" i="25"/>
  <c r="AH114" i="25"/>
  <c r="AG114" i="25"/>
  <c r="AE114" i="25"/>
  <c r="AC114" i="25"/>
  <c r="AB114" i="25"/>
  <c r="AA114" i="25"/>
  <c r="Z114" i="25"/>
  <c r="X114" i="25"/>
  <c r="W114" i="25"/>
  <c r="V114" i="25"/>
  <c r="U114" i="25"/>
  <c r="T114" i="25"/>
  <c r="Q114" i="25"/>
  <c r="P114" i="25"/>
  <c r="M114" i="25"/>
  <c r="L114" i="25"/>
  <c r="K114" i="25"/>
  <c r="C114" i="25"/>
  <c r="AV113" i="25"/>
  <c r="AU113" i="25"/>
  <c r="AN113" i="25"/>
  <c r="AK113" i="25"/>
  <c r="AI113" i="25"/>
  <c r="AH113" i="25"/>
  <c r="AG113" i="25"/>
  <c r="AE113" i="25"/>
  <c r="AC113" i="25"/>
  <c r="AB113" i="25"/>
  <c r="AA113" i="25"/>
  <c r="Z113" i="25"/>
  <c r="X113" i="25"/>
  <c r="W113" i="25"/>
  <c r="V113" i="25"/>
  <c r="U113" i="25"/>
  <c r="T113" i="25"/>
  <c r="Q113" i="25"/>
  <c r="P113" i="25"/>
  <c r="M113" i="25"/>
  <c r="L113" i="25"/>
  <c r="K113" i="25"/>
  <c r="C113" i="25"/>
  <c r="AV112" i="25"/>
  <c r="AU112" i="25"/>
  <c r="AN112" i="25"/>
  <c r="AK112" i="25"/>
  <c r="AI112" i="25"/>
  <c r="AH112" i="25"/>
  <c r="AG112" i="25"/>
  <c r="AE112" i="25"/>
  <c r="AC112" i="25"/>
  <c r="AB112" i="25"/>
  <c r="AA112" i="25"/>
  <c r="Z112" i="25"/>
  <c r="X112" i="25"/>
  <c r="W112" i="25"/>
  <c r="V112" i="25"/>
  <c r="U112" i="25"/>
  <c r="T112" i="25"/>
  <c r="Q112" i="25"/>
  <c r="P112" i="25"/>
  <c r="M112" i="25"/>
  <c r="L112" i="25"/>
  <c r="K112" i="25"/>
  <c r="C112" i="25"/>
  <c r="AV111" i="25"/>
  <c r="AU111" i="25"/>
  <c r="AN111" i="25"/>
  <c r="AK111" i="25"/>
  <c r="AI111" i="25"/>
  <c r="AH111" i="25"/>
  <c r="AG111" i="25"/>
  <c r="AE111" i="25"/>
  <c r="AC111" i="25"/>
  <c r="AB111" i="25"/>
  <c r="AA111" i="25"/>
  <c r="Z111" i="25"/>
  <c r="X111" i="25"/>
  <c r="W111" i="25"/>
  <c r="V111" i="25"/>
  <c r="U111" i="25"/>
  <c r="T111" i="25"/>
  <c r="Q111" i="25"/>
  <c r="P111" i="25"/>
  <c r="M111" i="25"/>
  <c r="L111" i="25"/>
  <c r="K111" i="25"/>
  <c r="C111" i="25"/>
  <c r="AV110" i="25"/>
  <c r="AU110" i="25"/>
  <c r="AN110" i="25"/>
  <c r="AK110" i="25"/>
  <c r="AI110" i="25"/>
  <c r="AH110" i="25"/>
  <c r="AG110" i="25"/>
  <c r="AE110" i="25"/>
  <c r="AC110" i="25"/>
  <c r="AB110" i="25"/>
  <c r="AA110" i="25"/>
  <c r="Z110" i="25"/>
  <c r="X110" i="25"/>
  <c r="W110" i="25"/>
  <c r="V110" i="25"/>
  <c r="U110" i="25"/>
  <c r="T110" i="25"/>
  <c r="Q110" i="25"/>
  <c r="P110" i="25"/>
  <c r="M110" i="25"/>
  <c r="L110" i="25"/>
  <c r="K110" i="25"/>
  <c r="C110" i="25"/>
  <c r="AV109" i="25"/>
  <c r="AU109" i="25"/>
  <c r="AN109" i="25"/>
  <c r="AK109" i="25"/>
  <c r="AI109" i="25"/>
  <c r="AH109" i="25"/>
  <c r="AG109" i="25"/>
  <c r="AE109" i="25"/>
  <c r="AC109" i="25"/>
  <c r="AB109" i="25"/>
  <c r="AA109" i="25"/>
  <c r="Z109" i="25"/>
  <c r="X109" i="25"/>
  <c r="W109" i="25"/>
  <c r="V109" i="25"/>
  <c r="U109" i="25"/>
  <c r="T109" i="25"/>
  <c r="Q109" i="25"/>
  <c r="P109" i="25"/>
  <c r="M109" i="25"/>
  <c r="L109" i="25"/>
  <c r="K109" i="25"/>
  <c r="C109" i="25"/>
  <c r="AV108" i="25"/>
  <c r="AU108" i="25"/>
  <c r="AN108" i="25"/>
  <c r="AK108" i="25"/>
  <c r="AI108" i="25"/>
  <c r="AH108" i="25"/>
  <c r="AG108" i="25"/>
  <c r="AE108" i="25"/>
  <c r="AC108" i="25"/>
  <c r="AB108" i="25"/>
  <c r="AA108" i="25"/>
  <c r="Z108" i="25"/>
  <c r="X108" i="25"/>
  <c r="W108" i="25"/>
  <c r="V108" i="25"/>
  <c r="U108" i="25"/>
  <c r="T108" i="25"/>
  <c r="Q108" i="25"/>
  <c r="P108" i="25"/>
  <c r="M108" i="25"/>
  <c r="L108" i="25"/>
  <c r="K108" i="25"/>
  <c r="C108" i="25"/>
  <c r="AV107" i="25"/>
  <c r="AU107" i="25"/>
  <c r="AN107" i="25"/>
  <c r="AK107" i="25"/>
  <c r="AI107" i="25"/>
  <c r="AH107" i="25"/>
  <c r="AG107" i="25"/>
  <c r="AE107" i="25"/>
  <c r="AC107" i="25"/>
  <c r="AB107" i="25"/>
  <c r="AA107" i="25"/>
  <c r="Z107" i="25"/>
  <c r="X107" i="25"/>
  <c r="W107" i="25"/>
  <c r="V107" i="25"/>
  <c r="U107" i="25"/>
  <c r="T107" i="25"/>
  <c r="Q107" i="25"/>
  <c r="P107" i="25"/>
  <c r="M107" i="25"/>
  <c r="L107" i="25"/>
  <c r="K107" i="25"/>
  <c r="C107" i="25"/>
  <c r="AV106" i="25"/>
  <c r="AU106" i="25"/>
  <c r="AN106" i="25"/>
  <c r="AK106" i="25"/>
  <c r="AI106" i="25"/>
  <c r="AH106" i="25"/>
  <c r="AG106" i="25"/>
  <c r="AE106" i="25"/>
  <c r="AC106" i="25"/>
  <c r="AB106" i="25"/>
  <c r="AA106" i="25"/>
  <c r="Z106" i="25"/>
  <c r="X106" i="25"/>
  <c r="W106" i="25"/>
  <c r="V106" i="25"/>
  <c r="U106" i="25"/>
  <c r="T106" i="25"/>
  <c r="Q106" i="25"/>
  <c r="P106" i="25"/>
  <c r="M106" i="25"/>
  <c r="L106" i="25"/>
  <c r="K106" i="25"/>
  <c r="C106" i="25"/>
  <c r="AV105" i="25"/>
  <c r="AU105" i="25"/>
  <c r="AN105" i="25"/>
  <c r="AK105" i="25"/>
  <c r="AI105" i="25"/>
  <c r="AH105" i="25"/>
  <c r="AG105" i="25"/>
  <c r="AE105" i="25"/>
  <c r="AC105" i="25"/>
  <c r="AB105" i="25"/>
  <c r="AA105" i="25"/>
  <c r="Z105" i="25"/>
  <c r="X105" i="25"/>
  <c r="W105" i="25"/>
  <c r="V105" i="25"/>
  <c r="U105" i="25"/>
  <c r="T105" i="25"/>
  <c r="Q105" i="25"/>
  <c r="P105" i="25"/>
  <c r="M105" i="25"/>
  <c r="L105" i="25"/>
  <c r="K105" i="25"/>
  <c r="C105" i="25"/>
  <c r="AV104" i="25"/>
  <c r="AU104" i="25"/>
  <c r="AN104" i="25"/>
  <c r="AK104" i="25"/>
  <c r="AI104" i="25"/>
  <c r="AH104" i="25"/>
  <c r="AG104" i="25"/>
  <c r="AE104" i="25"/>
  <c r="AC104" i="25"/>
  <c r="AB104" i="25"/>
  <c r="AA104" i="25"/>
  <c r="Z104" i="25"/>
  <c r="X104" i="25"/>
  <c r="W104" i="25"/>
  <c r="V104" i="25"/>
  <c r="U104" i="25"/>
  <c r="T104" i="25"/>
  <c r="Q104" i="25"/>
  <c r="P104" i="25"/>
  <c r="M104" i="25"/>
  <c r="L104" i="25"/>
  <c r="K104" i="25"/>
  <c r="C104" i="25"/>
  <c r="AV103" i="25"/>
  <c r="AU103" i="25"/>
  <c r="AN103" i="25"/>
  <c r="AK103" i="25"/>
  <c r="AI103" i="25"/>
  <c r="AH103" i="25"/>
  <c r="AG103" i="25"/>
  <c r="AE103" i="25"/>
  <c r="AC103" i="25"/>
  <c r="AB103" i="25"/>
  <c r="AA103" i="25"/>
  <c r="Z103" i="25"/>
  <c r="X103" i="25"/>
  <c r="W103" i="25"/>
  <c r="V103" i="25"/>
  <c r="U103" i="25"/>
  <c r="T103" i="25"/>
  <c r="Q103" i="25"/>
  <c r="P103" i="25"/>
  <c r="M103" i="25"/>
  <c r="L103" i="25"/>
  <c r="K103" i="25"/>
  <c r="C103" i="25"/>
  <c r="AV102" i="25"/>
  <c r="AU102" i="25"/>
  <c r="AN102" i="25"/>
  <c r="AK102" i="25"/>
  <c r="AI102" i="25"/>
  <c r="AH102" i="25"/>
  <c r="AG102" i="25"/>
  <c r="AE102" i="25"/>
  <c r="AC102" i="25"/>
  <c r="AB102" i="25"/>
  <c r="AA102" i="25"/>
  <c r="Z102" i="25"/>
  <c r="X102" i="25"/>
  <c r="W102" i="25"/>
  <c r="V102" i="25"/>
  <c r="U102" i="25"/>
  <c r="T102" i="25"/>
  <c r="Q102" i="25"/>
  <c r="P102" i="25"/>
  <c r="M102" i="25"/>
  <c r="L102" i="25"/>
  <c r="K102" i="25"/>
  <c r="C102" i="25"/>
  <c r="AV101" i="25"/>
  <c r="AU101" i="25"/>
  <c r="AN101" i="25"/>
  <c r="AK101" i="25"/>
  <c r="AI101" i="25"/>
  <c r="AH101" i="25"/>
  <c r="AG101" i="25"/>
  <c r="AE101" i="25"/>
  <c r="AC101" i="25"/>
  <c r="AB101" i="25"/>
  <c r="AA101" i="25"/>
  <c r="Z101" i="25"/>
  <c r="X101" i="25"/>
  <c r="W101" i="25"/>
  <c r="V101" i="25"/>
  <c r="U101" i="25"/>
  <c r="T101" i="25"/>
  <c r="Q101" i="25"/>
  <c r="P101" i="25"/>
  <c r="M101" i="25"/>
  <c r="L101" i="25"/>
  <c r="K101" i="25"/>
  <c r="C101" i="25"/>
  <c r="AV100" i="25"/>
  <c r="AU100" i="25"/>
  <c r="AN100" i="25"/>
  <c r="AK100" i="25"/>
  <c r="AI100" i="25"/>
  <c r="AH100" i="25"/>
  <c r="AG100" i="25"/>
  <c r="AE100" i="25"/>
  <c r="AC100" i="25"/>
  <c r="AB100" i="25"/>
  <c r="AA100" i="25"/>
  <c r="Z100" i="25"/>
  <c r="X100" i="25"/>
  <c r="W100" i="25"/>
  <c r="V100" i="25"/>
  <c r="U100" i="25"/>
  <c r="T100" i="25"/>
  <c r="Q100" i="25"/>
  <c r="P100" i="25"/>
  <c r="M100" i="25"/>
  <c r="L100" i="25"/>
  <c r="K100" i="25"/>
  <c r="C100" i="25"/>
  <c r="AV99" i="25"/>
  <c r="AU99" i="25"/>
  <c r="AN99" i="25"/>
  <c r="AK99" i="25"/>
  <c r="AI99" i="25"/>
  <c r="AH99" i="25"/>
  <c r="AG99" i="25"/>
  <c r="AE99" i="25"/>
  <c r="AC99" i="25"/>
  <c r="AB99" i="25"/>
  <c r="AA99" i="25"/>
  <c r="Z99" i="25"/>
  <c r="X99" i="25"/>
  <c r="W99" i="25"/>
  <c r="V99" i="25"/>
  <c r="U99" i="25"/>
  <c r="T99" i="25"/>
  <c r="Q99" i="25"/>
  <c r="P99" i="25"/>
  <c r="M99" i="25"/>
  <c r="L99" i="25"/>
  <c r="K99" i="25"/>
  <c r="C99" i="25"/>
  <c r="AV98" i="25"/>
  <c r="AU98" i="25"/>
  <c r="AN98" i="25"/>
  <c r="AK98" i="25"/>
  <c r="AI98" i="25"/>
  <c r="AH98" i="25"/>
  <c r="AG98" i="25"/>
  <c r="AE98" i="25"/>
  <c r="AC98" i="25"/>
  <c r="AB98" i="25"/>
  <c r="AA98" i="25"/>
  <c r="Z98" i="25"/>
  <c r="X98" i="25"/>
  <c r="W98" i="25"/>
  <c r="V98" i="25"/>
  <c r="U98" i="25"/>
  <c r="T98" i="25"/>
  <c r="Q98" i="25"/>
  <c r="P98" i="25"/>
  <c r="M98" i="25"/>
  <c r="L98" i="25"/>
  <c r="K98" i="25"/>
  <c r="C98" i="25"/>
  <c r="AV97" i="25"/>
  <c r="AU97" i="25"/>
  <c r="AN97" i="25"/>
  <c r="AK97" i="25"/>
  <c r="AI97" i="25"/>
  <c r="AH97" i="25"/>
  <c r="AG97" i="25"/>
  <c r="AE97" i="25"/>
  <c r="AC97" i="25"/>
  <c r="AB97" i="25"/>
  <c r="AA97" i="25"/>
  <c r="Z97" i="25"/>
  <c r="X97" i="25"/>
  <c r="W97" i="25"/>
  <c r="V97" i="25"/>
  <c r="U97" i="25"/>
  <c r="T97" i="25"/>
  <c r="Q97" i="25"/>
  <c r="P97" i="25"/>
  <c r="M97" i="25"/>
  <c r="L97" i="25"/>
  <c r="K97" i="25"/>
  <c r="C97" i="25"/>
  <c r="AV96" i="25"/>
  <c r="AU96" i="25"/>
  <c r="AN96" i="25"/>
  <c r="AK96" i="25"/>
  <c r="AI96" i="25"/>
  <c r="AH96" i="25"/>
  <c r="AG96" i="25"/>
  <c r="AE96" i="25"/>
  <c r="AC96" i="25"/>
  <c r="AB96" i="25"/>
  <c r="AA96" i="25"/>
  <c r="Z96" i="25"/>
  <c r="X96" i="25"/>
  <c r="W96" i="25"/>
  <c r="V96" i="25"/>
  <c r="U96" i="25"/>
  <c r="T96" i="25"/>
  <c r="Q96" i="25"/>
  <c r="P96" i="25"/>
  <c r="M96" i="25"/>
  <c r="L96" i="25"/>
  <c r="K96" i="25"/>
  <c r="C96" i="25"/>
  <c r="AV95" i="25"/>
  <c r="AU95" i="25"/>
  <c r="AN95" i="25"/>
  <c r="AK95" i="25"/>
  <c r="AI95" i="25"/>
  <c r="AH95" i="25"/>
  <c r="AG95" i="25"/>
  <c r="AE95" i="25"/>
  <c r="AC95" i="25"/>
  <c r="AB95" i="25"/>
  <c r="AA95" i="25"/>
  <c r="Z95" i="25"/>
  <c r="X95" i="25"/>
  <c r="W95" i="25"/>
  <c r="V95" i="25"/>
  <c r="U95" i="25"/>
  <c r="T95" i="25"/>
  <c r="Q95" i="25"/>
  <c r="P95" i="25"/>
  <c r="M95" i="25"/>
  <c r="L95" i="25"/>
  <c r="K95" i="25"/>
  <c r="C95" i="25"/>
  <c r="AV94" i="25"/>
  <c r="AU94" i="25"/>
  <c r="AN94" i="25"/>
  <c r="AK94" i="25"/>
  <c r="AI94" i="25"/>
  <c r="AH94" i="25"/>
  <c r="AG94" i="25"/>
  <c r="AE94" i="25"/>
  <c r="AC94" i="25"/>
  <c r="AB94" i="25"/>
  <c r="AA94" i="25"/>
  <c r="Z94" i="25"/>
  <c r="X94" i="25"/>
  <c r="W94" i="25"/>
  <c r="V94" i="25"/>
  <c r="U94" i="25"/>
  <c r="T94" i="25"/>
  <c r="Q94" i="25"/>
  <c r="P94" i="25"/>
  <c r="M94" i="25"/>
  <c r="L94" i="25"/>
  <c r="K94" i="25"/>
  <c r="C94" i="25"/>
  <c r="AV93" i="25"/>
  <c r="AU93" i="25"/>
  <c r="AN93" i="25"/>
  <c r="AK93" i="25"/>
  <c r="AI93" i="25"/>
  <c r="AH93" i="25"/>
  <c r="AG93" i="25"/>
  <c r="AE93" i="25"/>
  <c r="AC93" i="25"/>
  <c r="AB93" i="25"/>
  <c r="AA93" i="25"/>
  <c r="Z93" i="25"/>
  <c r="X93" i="25"/>
  <c r="W93" i="25"/>
  <c r="V93" i="25"/>
  <c r="U93" i="25"/>
  <c r="T93" i="25"/>
  <c r="Q93" i="25"/>
  <c r="P93" i="25"/>
  <c r="M93" i="25"/>
  <c r="L93" i="25"/>
  <c r="K93" i="25"/>
  <c r="C93" i="25"/>
  <c r="AV92" i="25"/>
  <c r="AU92" i="25"/>
  <c r="AN92" i="25"/>
  <c r="AK92" i="25"/>
  <c r="AI92" i="25"/>
  <c r="AH92" i="25"/>
  <c r="AG92" i="25"/>
  <c r="AE92" i="25"/>
  <c r="AC92" i="25"/>
  <c r="AB92" i="25"/>
  <c r="AA92" i="25"/>
  <c r="Z92" i="25"/>
  <c r="X92" i="25"/>
  <c r="W92" i="25"/>
  <c r="V92" i="25"/>
  <c r="U92" i="25"/>
  <c r="T92" i="25"/>
  <c r="Q92" i="25"/>
  <c r="P92" i="25"/>
  <c r="M92" i="25"/>
  <c r="L92" i="25"/>
  <c r="K92" i="25"/>
  <c r="C92" i="25"/>
  <c r="AV91" i="25"/>
  <c r="AU91" i="25"/>
  <c r="AN91" i="25"/>
  <c r="AK91" i="25"/>
  <c r="AI91" i="25"/>
  <c r="AH91" i="25"/>
  <c r="AG91" i="25"/>
  <c r="AE91" i="25"/>
  <c r="AC91" i="25"/>
  <c r="AB91" i="25"/>
  <c r="AA91" i="25"/>
  <c r="Z91" i="25"/>
  <c r="X91" i="25"/>
  <c r="W91" i="25"/>
  <c r="V91" i="25"/>
  <c r="U91" i="25"/>
  <c r="T91" i="25"/>
  <c r="Q91" i="25"/>
  <c r="P91" i="25"/>
  <c r="M91" i="25"/>
  <c r="L91" i="25"/>
  <c r="K91" i="25"/>
  <c r="C91" i="25"/>
  <c r="AV90" i="25"/>
  <c r="AU90" i="25"/>
  <c r="AN90" i="25"/>
  <c r="AK90" i="25"/>
  <c r="AI90" i="25"/>
  <c r="AH90" i="25"/>
  <c r="AG90" i="25"/>
  <c r="AE90" i="25"/>
  <c r="AC90" i="25"/>
  <c r="AB90" i="25"/>
  <c r="AA90" i="25"/>
  <c r="Z90" i="25"/>
  <c r="X90" i="25"/>
  <c r="W90" i="25"/>
  <c r="V90" i="25"/>
  <c r="U90" i="25"/>
  <c r="T90" i="25"/>
  <c r="Q90" i="25"/>
  <c r="P90" i="25"/>
  <c r="M90" i="25"/>
  <c r="L90" i="25"/>
  <c r="K90" i="25"/>
  <c r="C90" i="25"/>
  <c r="T89" i="25"/>
  <c r="K89" i="25"/>
  <c r="C89" i="25"/>
  <c r="T88" i="25"/>
  <c r="K88" i="25"/>
  <c r="C88" i="25"/>
  <c r="T87" i="25"/>
  <c r="K87" i="25"/>
  <c r="C87" i="25"/>
  <c r="T86" i="25"/>
  <c r="K86" i="25"/>
  <c r="C86" i="25"/>
  <c r="T85" i="25"/>
  <c r="K85" i="25"/>
  <c r="C85" i="25"/>
  <c r="T84" i="25"/>
  <c r="K84" i="25"/>
  <c r="C84" i="25"/>
  <c r="T83" i="25"/>
  <c r="K83" i="25"/>
  <c r="C83" i="25"/>
  <c r="T82" i="25"/>
  <c r="K82" i="25"/>
  <c r="C82" i="25"/>
  <c r="T81" i="25"/>
  <c r="K81" i="25"/>
  <c r="C81" i="25"/>
  <c r="T80" i="25"/>
  <c r="K80" i="25"/>
  <c r="C80" i="25"/>
  <c r="T79" i="25"/>
  <c r="K79" i="25"/>
  <c r="C79" i="25"/>
  <c r="T78" i="25"/>
  <c r="K78" i="25"/>
  <c r="C78" i="25"/>
  <c r="T77" i="25"/>
  <c r="K77" i="25"/>
  <c r="C77" i="25"/>
  <c r="T76" i="25"/>
  <c r="K76" i="25"/>
  <c r="C76" i="25"/>
  <c r="T75" i="25"/>
  <c r="K75" i="25"/>
  <c r="C75" i="25"/>
  <c r="T74" i="25"/>
  <c r="K74" i="25"/>
  <c r="C74" i="25"/>
  <c r="T73" i="25"/>
  <c r="K73" i="25"/>
  <c r="C73" i="25"/>
  <c r="T72" i="25"/>
  <c r="K72" i="25"/>
  <c r="C72" i="25"/>
  <c r="T71" i="25"/>
  <c r="K71" i="25"/>
  <c r="C71" i="25"/>
  <c r="T70" i="25"/>
  <c r="K70" i="25"/>
  <c r="C70" i="25"/>
  <c r="T69" i="25"/>
  <c r="K69" i="25"/>
  <c r="C69" i="25"/>
  <c r="T68" i="25"/>
  <c r="K68" i="25"/>
  <c r="C68" i="25"/>
  <c r="T67" i="25"/>
  <c r="K67" i="25"/>
  <c r="C67" i="25"/>
  <c r="T66" i="25"/>
  <c r="K66" i="25"/>
  <c r="C66" i="25"/>
  <c r="T65" i="25"/>
  <c r="K65" i="25"/>
  <c r="C65" i="25"/>
  <c r="T64" i="25"/>
  <c r="K64" i="25"/>
  <c r="C64" i="25"/>
  <c r="T63" i="25"/>
  <c r="K63" i="25"/>
  <c r="C63" i="25"/>
  <c r="T62" i="25"/>
  <c r="K62" i="25"/>
  <c r="C62" i="25"/>
  <c r="T61" i="25"/>
  <c r="K61" i="25"/>
  <c r="C61" i="25"/>
  <c r="T60" i="25"/>
  <c r="K60" i="25"/>
  <c r="C60" i="25"/>
  <c r="T59" i="25"/>
  <c r="K59" i="25"/>
  <c r="C59" i="25"/>
  <c r="T58" i="25"/>
  <c r="K58" i="25"/>
  <c r="C58" i="25"/>
  <c r="T57" i="25"/>
  <c r="K57" i="25"/>
  <c r="C57" i="25"/>
  <c r="T56" i="25"/>
  <c r="K56" i="25"/>
  <c r="C56" i="25"/>
  <c r="T55" i="25"/>
  <c r="K55" i="25"/>
  <c r="C55" i="25"/>
  <c r="T54" i="25"/>
  <c r="K54" i="25"/>
  <c r="C54" i="25"/>
  <c r="T53" i="25"/>
  <c r="K53" i="25"/>
  <c r="C53" i="25"/>
  <c r="T52" i="25"/>
  <c r="K52" i="25"/>
  <c r="C52" i="25"/>
  <c r="T51" i="25"/>
  <c r="K51" i="25"/>
  <c r="C51" i="25"/>
  <c r="T50" i="25"/>
  <c r="K50" i="25"/>
  <c r="C50" i="25"/>
  <c r="T49" i="25"/>
  <c r="K49" i="25"/>
  <c r="C49" i="25"/>
  <c r="T48" i="25"/>
  <c r="K48" i="25"/>
  <c r="C48" i="25"/>
  <c r="T47" i="25"/>
  <c r="K47" i="25"/>
  <c r="C47" i="25"/>
  <c r="T46" i="25"/>
  <c r="K46" i="25"/>
  <c r="C46" i="25"/>
  <c r="T45" i="25"/>
  <c r="K45" i="25"/>
  <c r="C45" i="25"/>
  <c r="T44" i="25"/>
  <c r="K44" i="25"/>
  <c r="C44" i="25"/>
  <c r="T43" i="25"/>
  <c r="K43" i="25"/>
  <c r="C43" i="25"/>
  <c r="T42" i="25"/>
  <c r="K42" i="25"/>
  <c r="C42" i="25"/>
  <c r="T41" i="25"/>
  <c r="K41" i="25"/>
  <c r="C41" i="25"/>
  <c r="T40" i="25"/>
  <c r="K40" i="25"/>
  <c r="C40" i="25"/>
  <c r="T39" i="25"/>
  <c r="K39" i="25"/>
  <c r="C39" i="25"/>
  <c r="T38" i="25"/>
  <c r="K38" i="25"/>
  <c r="C38" i="25"/>
  <c r="T37" i="25"/>
  <c r="K37" i="25"/>
  <c r="C37" i="25"/>
  <c r="T36" i="25"/>
  <c r="K36" i="25"/>
  <c r="C36" i="25"/>
  <c r="T35" i="25"/>
  <c r="K35" i="25"/>
  <c r="C35" i="25"/>
  <c r="T34" i="25"/>
  <c r="K34" i="25"/>
  <c r="C34" i="25"/>
  <c r="T33" i="25"/>
  <c r="K33" i="25"/>
  <c r="C33" i="25"/>
  <c r="T32" i="25"/>
  <c r="K32" i="25"/>
  <c r="C32" i="25"/>
  <c r="T31" i="25"/>
  <c r="K31" i="25"/>
  <c r="C31" i="25"/>
  <c r="T30" i="25"/>
  <c r="K30" i="25"/>
  <c r="C30" i="25"/>
  <c r="T29" i="25"/>
  <c r="K29" i="25"/>
  <c r="C29" i="25"/>
  <c r="T28" i="25"/>
  <c r="K28" i="25"/>
  <c r="C28" i="25"/>
  <c r="T27" i="25"/>
  <c r="K27" i="25"/>
  <c r="C27" i="25"/>
  <c r="T26" i="25"/>
  <c r="K26" i="25"/>
  <c r="C26" i="25"/>
  <c r="T25" i="25"/>
  <c r="K25" i="25"/>
  <c r="T24" i="25"/>
  <c r="K24" i="25"/>
  <c r="T23" i="25"/>
  <c r="K23" i="25"/>
  <c r="T22" i="25"/>
  <c r="K22" i="25"/>
  <c r="T21" i="25"/>
  <c r="K21" i="25"/>
  <c r="T20" i="25"/>
  <c r="K20" i="25"/>
  <c r="T19" i="25"/>
  <c r="K19" i="25"/>
  <c r="T18" i="25"/>
  <c r="K18" i="25"/>
  <c r="T17" i="25"/>
  <c r="K17" i="25"/>
  <c r="T16" i="25"/>
  <c r="K16" i="25"/>
  <c r="T15" i="25"/>
  <c r="K15" i="25"/>
  <c r="T14" i="25"/>
  <c r="K14" i="25"/>
  <c r="T13" i="25"/>
  <c r="K13" i="25"/>
  <c r="T12" i="25"/>
  <c r="K12" i="25"/>
  <c r="T11" i="25"/>
  <c r="K11" i="25"/>
  <c r="T10" i="25"/>
  <c r="K10" i="25"/>
  <c r="T9" i="25"/>
  <c r="K9" i="25"/>
  <c r="T8" i="25"/>
  <c r="K8" i="25"/>
  <c r="T7" i="25"/>
  <c r="K7" i="25"/>
  <c r="AT6" i="25"/>
  <c r="AT7" i="25" s="1"/>
  <c r="AT8" i="25" s="1"/>
  <c r="AT9" i="25" s="1"/>
  <c r="AT10" i="25" s="1"/>
  <c r="AT11" i="25" s="1"/>
  <c r="AT12" i="25" s="1"/>
  <c r="AT13" i="25" s="1"/>
  <c r="AT14" i="25" s="1"/>
  <c r="AT15" i="25" s="1"/>
  <c r="AT16" i="25" s="1"/>
  <c r="AT17" i="25" s="1"/>
  <c r="AT18" i="25" s="1"/>
  <c r="AT19" i="25" s="1"/>
  <c r="AT20" i="25" s="1"/>
  <c r="AT21" i="25" s="1"/>
  <c r="AT22" i="25" s="1"/>
  <c r="AT23" i="25" s="1"/>
  <c r="AT24" i="25" s="1"/>
  <c r="AT25" i="25" s="1"/>
  <c r="AT26" i="25" s="1"/>
  <c r="AT27" i="25" s="1"/>
  <c r="AT28" i="25" s="1"/>
  <c r="AT29" i="25" s="1"/>
  <c r="AT30" i="25" s="1"/>
  <c r="AT31" i="25" s="1"/>
  <c r="AT32" i="25" s="1"/>
  <c r="AT33" i="25" s="1"/>
  <c r="AT34" i="25" s="1"/>
  <c r="AT35" i="25" s="1"/>
  <c r="AT36" i="25" s="1"/>
  <c r="AT37" i="25" s="1"/>
  <c r="AT38" i="25" s="1"/>
  <c r="AT39" i="25" s="1"/>
  <c r="AT40" i="25" s="1"/>
  <c r="AT41" i="25" s="1"/>
  <c r="AT42" i="25" s="1"/>
  <c r="AT43" i="25" s="1"/>
  <c r="AT44" i="25" s="1"/>
  <c r="AT45" i="25" s="1"/>
  <c r="AT46" i="25" s="1"/>
  <c r="AT47" i="25" s="1"/>
  <c r="AT48" i="25" s="1"/>
  <c r="AT49" i="25" s="1"/>
  <c r="AT50" i="25" s="1"/>
  <c r="AT51" i="25" s="1"/>
  <c r="AT52" i="25" s="1"/>
  <c r="AT53" i="25" s="1"/>
  <c r="AT54" i="25" s="1"/>
  <c r="AT55" i="25" s="1"/>
  <c r="AT56" i="25" s="1"/>
  <c r="AT57" i="25" s="1"/>
  <c r="AT58" i="25" s="1"/>
  <c r="AT59" i="25" s="1"/>
  <c r="AT60" i="25" s="1"/>
  <c r="AT61" i="25" s="1"/>
  <c r="AT62" i="25" s="1"/>
  <c r="AT63" i="25" s="1"/>
  <c r="AT64" i="25" s="1"/>
  <c r="AT65" i="25" s="1"/>
  <c r="AT66" i="25" s="1"/>
  <c r="AT67" i="25" s="1"/>
  <c r="AT68" i="25" s="1"/>
  <c r="AT69" i="25" s="1"/>
  <c r="AT70" i="25" s="1"/>
  <c r="AT71" i="25" s="1"/>
  <c r="AT72" i="25" s="1"/>
  <c r="AT73" i="25" s="1"/>
  <c r="AT74" i="25" s="1"/>
  <c r="AT75" i="25" s="1"/>
  <c r="AT76" i="25" s="1"/>
  <c r="AT77" i="25" s="1"/>
  <c r="AT78" i="25" s="1"/>
  <c r="AT79" i="25" s="1"/>
  <c r="AT80" i="25" s="1"/>
  <c r="AT81" i="25" s="1"/>
  <c r="AT82" i="25" s="1"/>
  <c r="AT83" i="25" s="1"/>
  <c r="AT84" i="25" s="1"/>
  <c r="AT85" i="25" s="1"/>
  <c r="AT86" i="25" s="1"/>
  <c r="AT87" i="25" s="1"/>
  <c r="AT88" i="25" s="1"/>
  <c r="AT89" i="25" s="1"/>
  <c r="AT90" i="25" s="1"/>
  <c r="AT91" i="25" s="1"/>
  <c r="AT92" i="25" s="1"/>
  <c r="AT93" i="25" s="1"/>
  <c r="AT94" i="25" s="1"/>
  <c r="AT95" i="25" s="1"/>
  <c r="AT96" i="25" s="1"/>
  <c r="AT97" i="25" s="1"/>
  <c r="AT98" i="25" s="1"/>
  <c r="AT99" i="25" s="1"/>
  <c r="AT100" i="25" s="1"/>
  <c r="AT101" i="25" s="1"/>
  <c r="AT102" i="25" s="1"/>
  <c r="AT103" i="25" s="1"/>
  <c r="AT104" i="25" s="1"/>
  <c r="AT105" i="25" s="1"/>
  <c r="AT106" i="25" s="1"/>
  <c r="AT107" i="25" s="1"/>
  <c r="AT108" i="25" s="1"/>
  <c r="AT109" i="25" s="1"/>
  <c r="AT110" i="25" s="1"/>
  <c r="AT111" i="25" s="1"/>
  <c r="AT112" i="25" s="1"/>
  <c r="AT113" i="25" s="1"/>
  <c r="AT114" i="25" s="1"/>
  <c r="AT115" i="25" s="1"/>
  <c r="AT116" i="25" s="1"/>
  <c r="AT117" i="25" s="1"/>
  <c r="AT118" i="25" s="1"/>
  <c r="AT119" i="25" s="1"/>
  <c r="AT120" i="25" s="1"/>
  <c r="AT121" i="25" s="1"/>
  <c r="AT122" i="25" s="1"/>
  <c r="AT123" i="25" s="1"/>
  <c r="AT124" i="25" s="1"/>
  <c r="T6" i="25"/>
  <c r="K6" i="25"/>
  <c r="AT5" i="25"/>
  <c r="T5" i="25"/>
  <c r="M5" i="25"/>
  <c r="M4" i="25"/>
  <c r="J4" i="25"/>
  <c r="I4" i="25" a="1"/>
  <c r="M70" i="25" s="1"/>
  <c r="C144" i="24"/>
  <c r="C143" i="24"/>
  <c r="C142" i="24"/>
  <c r="C141" i="24"/>
  <c r="C140" i="24"/>
  <c r="C139" i="24"/>
  <c r="C138" i="24"/>
  <c r="C137" i="24"/>
  <c r="C136" i="24"/>
  <c r="C135" i="24"/>
  <c r="C134" i="24"/>
  <c r="AD133" i="24"/>
  <c r="C133" i="24"/>
  <c r="C132" i="24"/>
  <c r="AD131" i="24"/>
  <c r="C131" i="24"/>
  <c r="C130" i="24"/>
  <c r="C129" i="24"/>
  <c r="C128" i="24"/>
  <c r="C127" i="24"/>
  <c r="C126" i="24"/>
  <c r="C125" i="24"/>
  <c r="AV124" i="24"/>
  <c r="AU124" i="24"/>
  <c r="AN124" i="24"/>
  <c r="AK124" i="24"/>
  <c r="AI124" i="24"/>
  <c r="AH124" i="24"/>
  <c r="AG124" i="24"/>
  <c r="AE124" i="24"/>
  <c r="AC124" i="24"/>
  <c r="AB124" i="24"/>
  <c r="AA124" i="24"/>
  <c r="Z124" i="24"/>
  <c r="X124" i="24"/>
  <c r="W124" i="24"/>
  <c r="V124" i="24"/>
  <c r="U124" i="24"/>
  <c r="T124" i="24"/>
  <c r="Q124" i="24"/>
  <c r="P124" i="24"/>
  <c r="M124" i="24"/>
  <c r="L124" i="24"/>
  <c r="K124" i="24"/>
  <c r="C124" i="24"/>
  <c r="AV123" i="24"/>
  <c r="AU123" i="24"/>
  <c r="AN123" i="24"/>
  <c r="AK123" i="24"/>
  <c r="AI123" i="24"/>
  <c r="AH123" i="24"/>
  <c r="AG123" i="24"/>
  <c r="AE123" i="24"/>
  <c r="AC123" i="24"/>
  <c r="AB123" i="24"/>
  <c r="AA123" i="24"/>
  <c r="Z123" i="24"/>
  <c r="X123" i="24"/>
  <c r="W123" i="24"/>
  <c r="V123" i="24"/>
  <c r="U123" i="24"/>
  <c r="T123" i="24"/>
  <c r="Q123" i="24"/>
  <c r="P123" i="24"/>
  <c r="M123" i="24"/>
  <c r="L123" i="24"/>
  <c r="K123" i="24"/>
  <c r="C123" i="24"/>
  <c r="AV122" i="24"/>
  <c r="AU122" i="24"/>
  <c r="AN122" i="24"/>
  <c r="AK122" i="24"/>
  <c r="AI122" i="24"/>
  <c r="AH122" i="24"/>
  <c r="AG122" i="24"/>
  <c r="AE122" i="24"/>
  <c r="AC122" i="24"/>
  <c r="AB122" i="24"/>
  <c r="AA122" i="24"/>
  <c r="Z122" i="24"/>
  <c r="X122" i="24"/>
  <c r="W122" i="24"/>
  <c r="V122" i="24"/>
  <c r="U122" i="24"/>
  <c r="T122" i="24"/>
  <c r="Q122" i="24"/>
  <c r="P122" i="24"/>
  <c r="M122" i="24"/>
  <c r="L122" i="24"/>
  <c r="K122" i="24"/>
  <c r="C122" i="24"/>
  <c r="AV121" i="24"/>
  <c r="AU121" i="24"/>
  <c r="AN121" i="24"/>
  <c r="AK121" i="24"/>
  <c r="AI121" i="24"/>
  <c r="AH121" i="24"/>
  <c r="AG121" i="24"/>
  <c r="AE121" i="24"/>
  <c r="AC121" i="24"/>
  <c r="AB121" i="24"/>
  <c r="AA121" i="24"/>
  <c r="Z121" i="24"/>
  <c r="X121" i="24"/>
  <c r="W121" i="24"/>
  <c r="V121" i="24"/>
  <c r="U121" i="24"/>
  <c r="T121" i="24"/>
  <c r="Q121" i="24"/>
  <c r="P121" i="24"/>
  <c r="M121" i="24"/>
  <c r="L121" i="24"/>
  <c r="K121" i="24"/>
  <c r="C121" i="24"/>
  <c r="AV120" i="24"/>
  <c r="AU120" i="24"/>
  <c r="AN120" i="24"/>
  <c r="AK120" i="24"/>
  <c r="AI120" i="24"/>
  <c r="AH120" i="24"/>
  <c r="AG120" i="24"/>
  <c r="AE120" i="24"/>
  <c r="AC120" i="24"/>
  <c r="AB120" i="24"/>
  <c r="AA120" i="24"/>
  <c r="Z120" i="24"/>
  <c r="X120" i="24"/>
  <c r="W120" i="24"/>
  <c r="V120" i="24"/>
  <c r="U120" i="24"/>
  <c r="T120" i="24"/>
  <c r="Q120" i="24"/>
  <c r="P120" i="24"/>
  <c r="M120" i="24"/>
  <c r="L120" i="24"/>
  <c r="K120" i="24"/>
  <c r="C120" i="24"/>
  <c r="AV119" i="24"/>
  <c r="AU119" i="24"/>
  <c r="AN119" i="24"/>
  <c r="AK119" i="24"/>
  <c r="AI119" i="24"/>
  <c r="AH119" i="24"/>
  <c r="AG119" i="24"/>
  <c r="AE119" i="24"/>
  <c r="AC119" i="24"/>
  <c r="AB119" i="24"/>
  <c r="AA119" i="24"/>
  <c r="Z119" i="24"/>
  <c r="X119" i="24"/>
  <c r="W119" i="24"/>
  <c r="V119" i="24"/>
  <c r="U119" i="24"/>
  <c r="T119" i="24"/>
  <c r="Q119" i="24"/>
  <c r="P119" i="24"/>
  <c r="M119" i="24"/>
  <c r="L119" i="24"/>
  <c r="K119" i="24"/>
  <c r="C119" i="24"/>
  <c r="AV118" i="24"/>
  <c r="AU118" i="24"/>
  <c r="AN118" i="24"/>
  <c r="AK118" i="24"/>
  <c r="AI118" i="24"/>
  <c r="AH118" i="24"/>
  <c r="AG118" i="24"/>
  <c r="AE118" i="24"/>
  <c r="AC118" i="24"/>
  <c r="AB118" i="24"/>
  <c r="AA118" i="24"/>
  <c r="Z118" i="24"/>
  <c r="X118" i="24"/>
  <c r="W118" i="24"/>
  <c r="V118" i="24"/>
  <c r="U118" i="24"/>
  <c r="T118" i="24"/>
  <c r="Q118" i="24"/>
  <c r="P118" i="24"/>
  <c r="M118" i="24"/>
  <c r="L118" i="24"/>
  <c r="K118" i="24"/>
  <c r="C118" i="24"/>
  <c r="AV117" i="24"/>
  <c r="AU117" i="24"/>
  <c r="AN117" i="24"/>
  <c r="AK117" i="24"/>
  <c r="AI117" i="24"/>
  <c r="AH117" i="24"/>
  <c r="AG117" i="24"/>
  <c r="AE117" i="24"/>
  <c r="AC117" i="24"/>
  <c r="AB117" i="24"/>
  <c r="AA117" i="24"/>
  <c r="Z117" i="24"/>
  <c r="X117" i="24"/>
  <c r="W117" i="24"/>
  <c r="V117" i="24"/>
  <c r="U117" i="24"/>
  <c r="T117" i="24"/>
  <c r="Q117" i="24"/>
  <c r="P117" i="24"/>
  <c r="M117" i="24"/>
  <c r="L117" i="24"/>
  <c r="K117" i="24"/>
  <c r="C117" i="24"/>
  <c r="AV116" i="24"/>
  <c r="AU116" i="24"/>
  <c r="AN116" i="24"/>
  <c r="AK116" i="24"/>
  <c r="AI116" i="24"/>
  <c r="AH116" i="24"/>
  <c r="AG116" i="24"/>
  <c r="AE116" i="24"/>
  <c r="AC116" i="24"/>
  <c r="AB116" i="24"/>
  <c r="AA116" i="24"/>
  <c r="Z116" i="24"/>
  <c r="X116" i="24"/>
  <c r="W116" i="24"/>
  <c r="V116" i="24"/>
  <c r="U116" i="24"/>
  <c r="T116" i="24"/>
  <c r="Q116" i="24"/>
  <c r="P116" i="24"/>
  <c r="M116" i="24"/>
  <c r="L116" i="24"/>
  <c r="K116" i="24"/>
  <c r="C116" i="24"/>
  <c r="AV115" i="24"/>
  <c r="AU115" i="24"/>
  <c r="AN115" i="24"/>
  <c r="AK115" i="24"/>
  <c r="AI115" i="24"/>
  <c r="AH115" i="24"/>
  <c r="AG115" i="24"/>
  <c r="AE115" i="24"/>
  <c r="AC115" i="24"/>
  <c r="AB115" i="24"/>
  <c r="AA115" i="24"/>
  <c r="Z115" i="24"/>
  <c r="X115" i="24"/>
  <c r="W115" i="24"/>
  <c r="V115" i="24"/>
  <c r="U115" i="24"/>
  <c r="T115" i="24"/>
  <c r="Q115" i="24"/>
  <c r="P115" i="24"/>
  <c r="M115" i="24"/>
  <c r="L115" i="24"/>
  <c r="K115" i="24"/>
  <c r="C115" i="24"/>
  <c r="AV114" i="24"/>
  <c r="AU114" i="24"/>
  <c r="AN114" i="24"/>
  <c r="AK114" i="24"/>
  <c r="AI114" i="24"/>
  <c r="AH114" i="24"/>
  <c r="AG114" i="24"/>
  <c r="AE114" i="24"/>
  <c r="AC114" i="24"/>
  <c r="AB114" i="24"/>
  <c r="AA114" i="24"/>
  <c r="Z114" i="24"/>
  <c r="X114" i="24"/>
  <c r="W114" i="24"/>
  <c r="V114" i="24"/>
  <c r="U114" i="24"/>
  <c r="T114" i="24"/>
  <c r="Q114" i="24"/>
  <c r="P114" i="24"/>
  <c r="M114" i="24"/>
  <c r="L114" i="24"/>
  <c r="K114" i="24"/>
  <c r="C114" i="24"/>
  <c r="AV113" i="24"/>
  <c r="AU113" i="24"/>
  <c r="AN113" i="24"/>
  <c r="AK113" i="24"/>
  <c r="AI113" i="24"/>
  <c r="AH113" i="24"/>
  <c r="AG113" i="24"/>
  <c r="AE113" i="24"/>
  <c r="AC113" i="24"/>
  <c r="AB113" i="24"/>
  <c r="AA113" i="24"/>
  <c r="Z113" i="24"/>
  <c r="X113" i="24"/>
  <c r="W113" i="24"/>
  <c r="V113" i="24"/>
  <c r="U113" i="24"/>
  <c r="T113" i="24"/>
  <c r="Q113" i="24"/>
  <c r="P113" i="24"/>
  <c r="M113" i="24"/>
  <c r="L113" i="24"/>
  <c r="K113" i="24"/>
  <c r="C113" i="24"/>
  <c r="AV112" i="24"/>
  <c r="AU112" i="24"/>
  <c r="AN112" i="24"/>
  <c r="AK112" i="24"/>
  <c r="AI112" i="24"/>
  <c r="AH112" i="24"/>
  <c r="AG112" i="24"/>
  <c r="AE112" i="24"/>
  <c r="AC112" i="24"/>
  <c r="AB112" i="24"/>
  <c r="AA112" i="24"/>
  <c r="Z112" i="24"/>
  <c r="X112" i="24"/>
  <c r="W112" i="24"/>
  <c r="V112" i="24"/>
  <c r="U112" i="24"/>
  <c r="T112" i="24"/>
  <c r="Q112" i="24"/>
  <c r="P112" i="24"/>
  <c r="M112" i="24"/>
  <c r="L112" i="24"/>
  <c r="K112" i="24"/>
  <c r="C112" i="24"/>
  <c r="AV111" i="24"/>
  <c r="AU111" i="24"/>
  <c r="AN111" i="24"/>
  <c r="AK111" i="24"/>
  <c r="AI111" i="24"/>
  <c r="AH111" i="24"/>
  <c r="AG111" i="24"/>
  <c r="AE111" i="24"/>
  <c r="AC111" i="24"/>
  <c r="AB111" i="24"/>
  <c r="AA111" i="24"/>
  <c r="Z111" i="24"/>
  <c r="X111" i="24"/>
  <c r="W111" i="24"/>
  <c r="V111" i="24"/>
  <c r="U111" i="24"/>
  <c r="T111" i="24"/>
  <c r="Q111" i="24"/>
  <c r="P111" i="24"/>
  <c r="M111" i="24"/>
  <c r="L111" i="24"/>
  <c r="K111" i="24"/>
  <c r="C111" i="24"/>
  <c r="AV110" i="24"/>
  <c r="AU110" i="24"/>
  <c r="AN110" i="24"/>
  <c r="AK110" i="24"/>
  <c r="AI110" i="24"/>
  <c r="AH110" i="24"/>
  <c r="AG110" i="24"/>
  <c r="AE110" i="24"/>
  <c r="AC110" i="24"/>
  <c r="AB110" i="24"/>
  <c r="AA110" i="24"/>
  <c r="Z110" i="24"/>
  <c r="X110" i="24"/>
  <c r="W110" i="24"/>
  <c r="V110" i="24"/>
  <c r="U110" i="24"/>
  <c r="T110" i="24"/>
  <c r="Q110" i="24"/>
  <c r="P110" i="24"/>
  <c r="M110" i="24"/>
  <c r="L110" i="24"/>
  <c r="K110" i="24"/>
  <c r="C110" i="24"/>
  <c r="AV109" i="24"/>
  <c r="AU109" i="24"/>
  <c r="AN109" i="24"/>
  <c r="AK109" i="24"/>
  <c r="AI109" i="24"/>
  <c r="AH109" i="24"/>
  <c r="AG109" i="24"/>
  <c r="AE109" i="24"/>
  <c r="AC109" i="24"/>
  <c r="AB109" i="24"/>
  <c r="AA109" i="24"/>
  <c r="Z109" i="24"/>
  <c r="X109" i="24"/>
  <c r="W109" i="24"/>
  <c r="V109" i="24"/>
  <c r="U109" i="24"/>
  <c r="T109" i="24"/>
  <c r="Q109" i="24"/>
  <c r="P109" i="24"/>
  <c r="M109" i="24"/>
  <c r="L109" i="24"/>
  <c r="K109" i="24"/>
  <c r="C109" i="24"/>
  <c r="AV108" i="24"/>
  <c r="AU108" i="24"/>
  <c r="AN108" i="24"/>
  <c r="AK108" i="24"/>
  <c r="AI108" i="24"/>
  <c r="AH108" i="24"/>
  <c r="AG108" i="24"/>
  <c r="AE108" i="24"/>
  <c r="AC108" i="24"/>
  <c r="AB108" i="24"/>
  <c r="AA108" i="24"/>
  <c r="Z108" i="24"/>
  <c r="X108" i="24"/>
  <c r="W108" i="24"/>
  <c r="V108" i="24"/>
  <c r="U108" i="24"/>
  <c r="T108" i="24"/>
  <c r="Q108" i="24"/>
  <c r="P108" i="24"/>
  <c r="M108" i="24"/>
  <c r="L108" i="24"/>
  <c r="K108" i="24"/>
  <c r="C108" i="24"/>
  <c r="AV107" i="24"/>
  <c r="AU107" i="24"/>
  <c r="AN107" i="24"/>
  <c r="AK107" i="24"/>
  <c r="AI107" i="24"/>
  <c r="AH107" i="24"/>
  <c r="AG107" i="24"/>
  <c r="AE107" i="24"/>
  <c r="AC107" i="24"/>
  <c r="AB107" i="24"/>
  <c r="AA107" i="24"/>
  <c r="Z107" i="24"/>
  <c r="X107" i="24"/>
  <c r="W107" i="24"/>
  <c r="V107" i="24"/>
  <c r="U107" i="24"/>
  <c r="T107" i="24"/>
  <c r="Q107" i="24"/>
  <c r="P107" i="24"/>
  <c r="M107" i="24"/>
  <c r="L107" i="24"/>
  <c r="K107" i="24"/>
  <c r="C107" i="24"/>
  <c r="AV106" i="24"/>
  <c r="AU106" i="24"/>
  <c r="AN106" i="24"/>
  <c r="AK106" i="24"/>
  <c r="AI106" i="24"/>
  <c r="AH106" i="24"/>
  <c r="AG106" i="24"/>
  <c r="AE106" i="24"/>
  <c r="AC106" i="24"/>
  <c r="AB106" i="24"/>
  <c r="AA106" i="24"/>
  <c r="Z106" i="24"/>
  <c r="X106" i="24"/>
  <c r="W106" i="24"/>
  <c r="V106" i="24"/>
  <c r="U106" i="24"/>
  <c r="T106" i="24"/>
  <c r="Q106" i="24"/>
  <c r="P106" i="24"/>
  <c r="M106" i="24"/>
  <c r="L106" i="24"/>
  <c r="K106" i="24"/>
  <c r="C106" i="24"/>
  <c r="AV105" i="24"/>
  <c r="AU105" i="24"/>
  <c r="AN105" i="24"/>
  <c r="AK105" i="24"/>
  <c r="AI105" i="24"/>
  <c r="AH105" i="24"/>
  <c r="AG105" i="24"/>
  <c r="AE105" i="24"/>
  <c r="AC105" i="24"/>
  <c r="AB105" i="24"/>
  <c r="AA105" i="24"/>
  <c r="Z105" i="24"/>
  <c r="X105" i="24"/>
  <c r="W105" i="24"/>
  <c r="V105" i="24"/>
  <c r="U105" i="24"/>
  <c r="T105" i="24"/>
  <c r="Q105" i="24"/>
  <c r="P105" i="24"/>
  <c r="M105" i="24"/>
  <c r="L105" i="24"/>
  <c r="K105" i="24"/>
  <c r="C105" i="24"/>
  <c r="AV104" i="24"/>
  <c r="AU104" i="24"/>
  <c r="AN104" i="24"/>
  <c r="AK104" i="24"/>
  <c r="AI104" i="24"/>
  <c r="AH104" i="24"/>
  <c r="AG104" i="24"/>
  <c r="AE104" i="24"/>
  <c r="AC104" i="24"/>
  <c r="AB104" i="24"/>
  <c r="AA104" i="24"/>
  <c r="Z104" i="24"/>
  <c r="X104" i="24"/>
  <c r="W104" i="24"/>
  <c r="V104" i="24"/>
  <c r="U104" i="24"/>
  <c r="T104" i="24"/>
  <c r="Q104" i="24"/>
  <c r="P104" i="24"/>
  <c r="M104" i="24"/>
  <c r="L104" i="24"/>
  <c r="K104" i="24"/>
  <c r="C104" i="24"/>
  <c r="AV103" i="24"/>
  <c r="AU103" i="24"/>
  <c r="AN103" i="24"/>
  <c r="AK103" i="24"/>
  <c r="AI103" i="24"/>
  <c r="AH103" i="24"/>
  <c r="AG103" i="24"/>
  <c r="AE103" i="24"/>
  <c r="AC103" i="24"/>
  <c r="AB103" i="24"/>
  <c r="AA103" i="24"/>
  <c r="Z103" i="24"/>
  <c r="X103" i="24"/>
  <c r="W103" i="24"/>
  <c r="V103" i="24"/>
  <c r="U103" i="24"/>
  <c r="T103" i="24"/>
  <c r="Q103" i="24"/>
  <c r="P103" i="24"/>
  <c r="M103" i="24"/>
  <c r="L103" i="24"/>
  <c r="K103" i="24"/>
  <c r="C103" i="24"/>
  <c r="AV102" i="24"/>
  <c r="AU102" i="24"/>
  <c r="AN102" i="24"/>
  <c r="AK102" i="24"/>
  <c r="AI102" i="24"/>
  <c r="AH102" i="24"/>
  <c r="AG102" i="24"/>
  <c r="AE102" i="24"/>
  <c r="AC102" i="24"/>
  <c r="AB102" i="24"/>
  <c r="AA102" i="24"/>
  <c r="Z102" i="24"/>
  <c r="X102" i="24"/>
  <c r="W102" i="24"/>
  <c r="V102" i="24"/>
  <c r="U102" i="24"/>
  <c r="T102" i="24"/>
  <c r="Q102" i="24"/>
  <c r="P102" i="24"/>
  <c r="M102" i="24"/>
  <c r="L102" i="24"/>
  <c r="K102" i="24"/>
  <c r="C102" i="24"/>
  <c r="AV101" i="24"/>
  <c r="AU101" i="24"/>
  <c r="AN101" i="24"/>
  <c r="AK101" i="24"/>
  <c r="AI101" i="24"/>
  <c r="AH101" i="24"/>
  <c r="AG101" i="24"/>
  <c r="AE101" i="24"/>
  <c r="AC101" i="24"/>
  <c r="AB101" i="24"/>
  <c r="AA101" i="24"/>
  <c r="Z101" i="24"/>
  <c r="X101" i="24"/>
  <c r="W101" i="24"/>
  <c r="V101" i="24"/>
  <c r="U101" i="24"/>
  <c r="T101" i="24"/>
  <c r="Q101" i="24"/>
  <c r="P101" i="24"/>
  <c r="M101" i="24"/>
  <c r="L101" i="24"/>
  <c r="K101" i="24"/>
  <c r="C101" i="24"/>
  <c r="AV100" i="24"/>
  <c r="AU100" i="24"/>
  <c r="AN100" i="24"/>
  <c r="AK100" i="24"/>
  <c r="AI100" i="24"/>
  <c r="AH100" i="24"/>
  <c r="AG100" i="24"/>
  <c r="AE100" i="24"/>
  <c r="AC100" i="24"/>
  <c r="AB100" i="24"/>
  <c r="AA100" i="24"/>
  <c r="Z100" i="24"/>
  <c r="X100" i="24"/>
  <c r="W100" i="24"/>
  <c r="V100" i="24"/>
  <c r="U100" i="24"/>
  <c r="T100" i="24"/>
  <c r="Q100" i="24"/>
  <c r="P100" i="24"/>
  <c r="M100" i="24"/>
  <c r="L100" i="24"/>
  <c r="K100" i="24"/>
  <c r="C100" i="24"/>
  <c r="AV99" i="24"/>
  <c r="AU99" i="24"/>
  <c r="AN99" i="24"/>
  <c r="AK99" i="24"/>
  <c r="AI99" i="24"/>
  <c r="AH99" i="24"/>
  <c r="AG99" i="24"/>
  <c r="AE99" i="24"/>
  <c r="AC99" i="24"/>
  <c r="AB99" i="24"/>
  <c r="AA99" i="24"/>
  <c r="Z99" i="24"/>
  <c r="X99" i="24"/>
  <c r="W99" i="24"/>
  <c r="V99" i="24"/>
  <c r="U99" i="24"/>
  <c r="T99" i="24"/>
  <c r="Q99" i="24"/>
  <c r="P99" i="24"/>
  <c r="M99" i="24"/>
  <c r="L99" i="24"/>
  <c r="K99" i="24"/>
  <c r="C99" i="24"/>
  <c r="AV98" i="24"/>
  <c r="AU98" i="24"/>
  <c r="AN98" i="24"/>
  <c r="AK98" i="24"/>
  <c r="AI98" i="24"/>
  <c r="AH98" i="24"/>
  <c r="AG98" i="24"/>
  <c r="AE98" i="24"/>
  <c r="AC98" i="24"/>
  <c r="AB98" i="24"/>
  <c r="AA98" i="24"/>
  <c r="Z98" i="24"/>
  <c r="X98" i="24"/>
  <c r="W98" i="24"/>
  <c r="V98" i="24"/>
  <c r="U98" i="24"/>
  <c r="T98" i="24"/>
  <c r="Q98" i="24"/>
  <c r="P98" i="24"/>
  <c r="M98" i="24"/>
  <c r="L98" i="24"/>
  <c r="K98" i="24"/>
  <c r="C98" i="24"/>
  <c r="AV97" i="24"/>
  <c r="AU97" i="24"/>
  <c r="AN97" i="24"/>
  <c r="AK97" i="24"/>
  <c r="AI97" i="24"/>
  <c r="AH97" i="24"/>
  <c r="AG97" i="24"/>
  <c r="AE97" i="24"/>
  <c r="AC97" i="24"/>
  <c r="AB97" i="24"/>
  <c r="AA97" i="24"/>
  <c r="Z97" i="24"/>
  <c r="X97" i="24"/>
  <c r="W97" i="24"/>
  <c r="V97" i="24"/>
  <c r="U97" i="24"/>
  <c r="T97" i="24"/>
  <c r="Q97" i="24"/>
  <c r="P97" i="24"/>
  <c r="M97" i="24"/>
  <c r="L97" i="24"/>
  <c r="K97" i="24"/>
  <c r="C97" i="24"/>
  <c r="AV96" i="24"/>
  <c r="AU96" i="24"/>
  <c r="AN96" i="24"/>
  <c r="AK96" i="24"/>
  <c r="AI96" i="24"/>
  <c r="AH96" i="24"/>
  <c r="AG96" i="24"/>
  <c r="AE96" i="24"/>
  <c r="AC96" i="24"/>
  <c r="AB96" i="24"/>
  <c r="AA96" i="24"/>
  <c r="Z96" i="24"/>
  <c r="X96" i="24"/>
  <c r="W96" i="24"/>
  <c r="V96" i="24"/>
  <c r="U96" i="24"/>
  <c r="T96" i="24"/>
  <c r="Q96" i="24"/>
  <c r="P96" i="24"/>
  <c r="M96" i="24"/>
  <c r="L96" i="24"/>
  <c r="K96" i="24"/>
  <c r="C96" i="24"/>
  <c r="AV95" i="24"/>
  <c r="AU95" i="24"/>
  <c r="AN95" i="24"/>
  <c r="AK95" i="24"/>
  <c r="AI95" i="24"/>
  <c r="AH95" i="24"/>
  <c r="AG95" i="24"/>
  <c r="AE95" i="24"/>
  <c r="AC95" i="24"/>
  <c r="AB95" i="24"/>
  <c r="AA95" i="24"/>
  <c r="Z95" i="24"/>
  <c r="X95" i="24"/>
  <c r="W95" i="24"/>
  <c r="V95" i="24"/>
  <c r="U95" i="24"/>
  <c r="T95" i="24"/>
  <c r="Q95" i="24"/>
  <c r="P95" i="24"/>
  <c r="M95" i="24"/>
  <c r="L95" i="24"/>
  <c r="K95" i="24"/>
  <c r="C95" i="24"/>
  <c r="AV94" i="24"/>
  <c r="AU94" i="24"/>
  <c r="AN94" i="24"/>
  <c r="AK94" i="24"/>
  <c r="AI94" i="24"/>
  <c r="AH94" i="24"/>
  <c r="AG94" i="24"/>
  <c r="AE94" i="24"/>
  <c r="AC94" i="24"/>
  <c r="AB94" i="24"/>
  <c r="AA94" i="24"/>
  <c r="Z94" i="24"/>
  <c r="X94" i="24"/>
  <c r="W94" i="24"/>
  <c r="V94" i="24"/>
  <c r="U94" i="24"/>
  <c r="T94" i="24"/>
  <c r="Q94" i="24"/>
  <c r="P94" i="24"/>
  <c r="M94" i="24"/>
  <c r="L94" i="24"/>
  <c r="K94" i="24"/>
  <c r="C94" i="24"/>
  <c r="AV93" i="24"/>
  <c r="AU93" i="24"/>
  <c r="AN93" i="24"/>
  <c r="AK93" i="24"/>
  <c r="AI93" i="24"/>
  <c r="AH93" i="24"/>
  <c r="AG93" i="24"/>
  <c r="AE93" i="24"/>
  <c r="AC93" i="24"/>
  <c r="AB93" i="24"/>
  <c r="AA93" i="24"/>
  <c r="Z93" i="24"/>
  <c r="X93" i="24"/>
  <c r="W93" i="24"/>
  <c r="V93" i="24"/>
  <c r="U93" i="24"/>
  <c r="T93" i="24"/>
  <c r="Q93" i="24"/>
  <c r="P93" i="24"/>
  <c r="M93" i="24"/>
  <c r="L93" i="24"/>
  <c r="K93" i="24"/>
  <c r="C93" i="24"/>
  <c r="AV92" i="24"/>
  <c r="AU92" i="24"/>
  <c r="AN92" i="24"/>
  <c r="AK92" i="24"/>
  <c r="AI92" i="24"/>
  <c r="AH92" i="24"/>
  <c r="AG92" i="24"/>
  <c r="AE92" i="24"/>
  <c r="AC92" i="24"/>
  <c r="AB92" i="24"/>
  <c r="AA92" i="24"/>
  <c r="Z92" i="24"/>
  <c r="X92" i="24"/>
  <c r="W92" i="24"/>
  <c r="V92" i="24"/>
  <c r="U92" i="24"/>
  <c r="T92" i="24"/>
  <c r="Q92" i="24"/>
  <c r="P92" i="24"/>
  <c r="M92" i="24"/>
  <c r="L92" i="24"/>
  <c r="K92" i="24"/>
  <c r="C92" i="24"/>
  <c r="AV91" i="24"/>
  <c r="AU91" i="24"/>
  <c r="AN91" i="24"/>
  <c r="AK91" i="24"/>
  <c r="AI91" i="24"/>
  <c r="AH91" i="24"/>
  <c r="AG91" i="24"/>
  <c r="AE91" i="24"/>
  <c r="AC91" i="24"/>
  <c r="AB91" i="24"/>
  <c r="AA91" i="24"/>
  <c r="Z91" i="24"/>
  <c r="X91" i="24"/>
  <c r="W91" i="24"/>
  <c r="V91" i="24"/>
  <c r="U91" i="24"/>
  <c r="T91" i="24"/>
  <c r="Q91" i="24"/>
  <c r="P91" i="24"/>
  <c r="M91" i="24"/>
  <c r="L91" i="24"/>
  <c r="K91" i="24"/>
  <c r="C91" i="24"/>
  <c r="AV90" i="24"/>
  <c r="AU90" i="24"/>
  <c r="AN90" i="24"/>
  <c r="AK90" i="24"/>
  <c r="AI90" i="24"/>
  <c r="AH90" i="24"/>
  <c r="AG90" i="24"/>
  <c r="AE90" i="24"/>
  <c r="AC90" i="24"/>
  <c r="AB90" i="24"/>
  <c r="AA90" i="24"/>
  <c r="Z90" i="24"/>
  <c r="X90" i="24"/>
  <c r="W90" i="24"/>
  <c r="V90" i="24"/>
  <c r="U90" i="24"/>
  <c r="T90" i="24"/>
  <c r="Q90" i="24"/>
  <c r="P90" i="24"/>
  <c r="M90" i="24"/>
  <c r="L90" i="24"/>
  <c r="K90" i="24"/>
  <c r="C90" i="24"/>
  <c r="T89" i="24"/>
  <c r="K89" i="24"/>
  <c r="C89" i="24"/>
  <c r="T88" i="24"/>
  <c r="K88" i="24"/>
  <c r="C88" i="24"/>
  <c r="T87" i="24"/>
  <c r="K87" i="24"/>
  <c r="C87" i="24"/>
  <c r="T86" i="24"/>
  <c r="K86" i="24"/>
  <c r="C86" i="24"/>
  <c r="T85" i="24"/>
  <c r="K85" i="24"/>
  <c r="C85" i="24"/>
  <c r="T84" i="24"/>
  <c r="K84" i="24"/>
  <c r="C84" i="24"/>
  <c r="T83" i="24"/>
  <c r="K83" i="24"/>
  <c r="C83" i="24"/>
  <c r="T82" i="24"/>
  <c r="K82" i="24"/>
  <c r="C82" i="24"/>
  <c r="T81" i="24"/>
  <c r="K81" i="24"/>
  <c r="C81" i="24"/>
  <c r="T80" i="24"/>
  <c r="K80" i="24"/>
  <c r="C80" i="24"/>
  <c r="T79" i="24"/>
  <c r="K79" i="24"/>
  <c r="C79" i="24"/>
  <c r="T78" i="24"/>
  <c r="K78" i="24"/>
  <c r="C78" i="24"/>
  <c r="T77" i="24"/>
  <c r="K77" i="24"/>
  <c r="C77" i="24"/>
  <c r="T76" i="24"/>
  <c r="K76" i="24"/>
  <c r="C76" i="24"/>
  <c r="T75" i="24"/>
  <c r="K75" i="24"/>
  <c r="C75" i="24"/>
  <c r="T74" i="24"/>
  <c r="K74" i="24"/>
  <c r="C74" i="24"/>
  <c r="T73" i="24"/>
  <c r="K73" i="24"/>
  <c r="C73" i="24"/>
  <c r="T72" i="24"/>
  <c r="K72" i="24"/>
  <c r="C72" i="24"/>
  <c r="T71" i="24"/>
  <c r="K71" i="24"/>
  <c r="C71" i="24"/>
  <c r="T70" i="24"/>
  <c r="K70" i="24"/>
  <c r="C70" i="24"/>
  <c r="T69" i="24"/>
  <c r="K69" i="24"/>
  <c r="C69" i="24"/>
  <c r="T68" i="24"/>
  <c r="K68" i="24"/>
  <c r="C68" i="24"/>
  <c r="T67" i="24"/>
  <c r="K67" i="24"/>
  <c r="C67" i="24"/>
  <c r="T66" i="24"/>
  <c r="K66" i="24"/>
  <c r="C66" i="24"/>
  <c r="T65" i="24"/>
  <c r="K65" i="24"/>
  <c r="C65" i="24"/>
  <c r="T64" i="24"/>
  <c r="K64" i="24"/>
  <c r="C64" i="24"/>
  <c r="T63" i="24"/>
  <c r="K63" i="24"/>
  <c r="C63" i="24"/>
  <c r="T62" i="24"/>
  <c r="K62" i="24"/>
  <c r="C62" i="24"/>
  <c r="T61" i="24"/>
  <c r="K61" i="24"/>
  <c r="C61" i="24"/>
  <c r="T60" i="24"/>
  <c r="K60" i="24"/>
  <c r="C60" i="24"/>
  <c r="T59" i="24"/>
  <c r="K59" i="24"/>
  <c r="C59" i="24"/>
  <c r="T58" i="24"/>
  <c r="K58" i="24"/>
  <c r="C58" i="24"/>
  <c r="T57" i="24"/>
  <c r="K57" i="24"/>
  <c r="C57" i="24"/>
  <c r="T56" i="24"/>
  <c r="K56" i="24"/>
  <c r="C56" i="24"/>
  <c r="T55" i="24"/>
  <c r="K55" i="24"/>
  <c r="C55" i="24"/>
  <c r="T54" i="24"/>
  <c r="K54" i="24"/>
  <c r="C54" i="24"/>
  <c r="T53" i="24"/>
  <c r="K53" i="24"/>
  <c r="C53" i="24"/>
  <c r="T52" i="24"/>
  <c r="K52" i="24"/>
  <c r="C52" i="24"/>
  <c r="T51" i="24"/>
  <c r="K51" i="24"/>
  <c r="C51" i="24"/>
  <c r="T50" i="24"/>
  <c r="K50" i="24"/>
  <c r="C50" i="24"/>
  <c r="T49" i="24"/>
  <c r="K49" i="24"/>
  <c r="C49" i="24"/>
  <c r="T48" i="24"/>
  <c r="K48" i="24"/>
  <c r="C48" i="24"/>
  <c r="T47" i="24"/>
  <c r="K47" i="24"/>
  <c r="C47" i="24"/>
  <c r="T46" i="24"/>
  <c r="K46" i="24"/>
  <c r="C46" i="24"/>
  <c r="T45" i="24"/>
  <c r="K45" i="24"/>
  <c r="C45" i="24"/>
  <c r="T44" i="24"/>
  <c r="K44" i="24"/>
  <c r="C44" i="24"/>
  <c r="T43" i="24"/>
  <c r="K43" i="24"/>
  <c r="C43" i="24"/>
  <c r="T42" i="24"/>
  <c r="K42" i="24"/>
  <c r="C42" i="24"/>
  <c r="T41" i="24"/>
  <c r="K41" i="24"/>
  <c r="C41" i="24"/>
  <c r="T40" i="24"/>
  <c r="K40" i="24"/>
  <c r="C40" i="24"/>
  <c r="T39" i="24"/>
  <c r="K39" i="24"/>
  <c r="C39" i="24"/>
  <c r="T38" i="24"/>
  <c r="K38" i="24"/>
  <c r="C38" i="24"/>
  <c r="T37" i="24"/>
  <c r="K37" i="24"/>
  <c r="C37" i="24"/>
  <c r="T36" i="24"/>
  <c r="K36" i="24"/>
  <c r="C36" i="24"/>
  <c r="T35" i="24"/>
  <c r="K35" i="24"/>
  <c r="C35" i="24"/>
  <c r="T34" i="24"/>
  <c r="K34" i="24"/>
  <c r="C34" i="24"/>
  <c r="T33" i="24"/>
  <c r="K33" i="24"/>
  <c r="C33" i="24"/>
  <c r="T32" i="24"/>
  <c r="K32" i="24"/>
  <c r="C32" i="24"/>
  <c r="T31" i="24"/>
  <c r="K31" i="24"/>
  <c r="C31" i="24"/>
  <c r="T30" i="24"/>
  <c r="K30" i="24"/>
  <c r="C30" i="24"/>
  <c r="T29" i="24"/>
  <c r="K29" i="24"/>
  <c r="C29" i="24"/>
  <c r="T28" i="24"/>
  <c r="K28" i="24"/>
  <c r="C28" i="24"/>
  <c r="T27" i="24"/>
  <c r="K27" i="24"/>
  <c r="C27" i="24"/>
  <c r="T26" i="24"/>
  <c r="K26" i="24"/>
  <c r="C26" i="24"/>
  <c r="T25" i="24"/>
  <c r="K25" i="24"/>
  <c r="T24" i="24"/>
  <c r="K24" i="24"/>
  <c r="T23" i="24"/>
  <c r="K23" i="24"/>
  <c r="T22" i="24"/>
  <c r="K22" i="24"/>
  <c r="T21" i="24"/>
  <c r="K21" i="24"/>
  <c r="T20" i="24"/>
  <c r="K20" i="24"/>
  <c r="T19" i="24"/>
  <c r="K19" i="24"/>
  <c r="T18" i="24"/>
  <c r="K18" i="24"/>
  <c r="T17" i="24"/>
  <c r="K17" i="24"/>
  <c r="T16" i="24"/>
  <c r="K16" i="24"/>
  <c r="T15" i="24"/>
  <c r="K15" i="24"/>
  <c r="T14" i="24"/>
  <c r="K14" i="24"/>
  <c r="T13" i="24"/>
  <c r="K13" i="24"/>
  <c r="T12" i="24"/>
  <c r="K12" i="24"/>
  <c r="T11" i="24"/>
  <c r="K11" i="24"/>
  <c r="T10" i="24"/>
  <c r="K10" i="24"/>
  <c r="T9" i="24"/>
  <c r="K9" i="24"/>
  <c r="T8" i="24"/>
  <c r="K8" i="24"/>
  <c r="T7" i="24"/>
  <c r="K7" i="24"/>
  <c r="AT6" i="24"/>
  <c r="AT7" i="24" s="1"/>
  <c r="AT8" i="24" s="1"/>
  <c r="AT9" i="24" s="1"/>
  <c r="AT10" i="24" s="1"/>
  <c r="AT11" i="24" s="1"/>
  <c r="AT12" i="24" s="1"/>
  <c r="AT13" i="24" s="1"/>
  <c r="AT14" i="24" s="1"/>
  <c r="AT15" i="24" s="1"/>
  <c r="AT16" i="24" s="1"/>
  <c r="AT17" i="24" s="1"/>
  <c r="AT18" i="24" s="1"/>
  <c r="AT19" i="24" s="1"/>
  <c r="AT20" i="24" s="1"/>
  <c r="AT21" i="24" s="1"/>
  <c r="AT22" i="24" s="1"/>
  <c r="AT23" i="24" s="1"/>
  <c r="AT24" i="24" s="1"/>
  <c r="AT25" i="24" s="1"/>
  <c r="AT26" i="24" s="1"/>
  <c r="AT27" i="24" s="1"/>
  <c r="AT28" i="24" s="1"/>
  <c r="AT29" i="24" s="1"/>
  <c r="AT30" i="24" s="1"/>
  <c r="AT31" i="24" s="1"/>
  <c r="AT32" i="24" s="1"/>
  <c r="AT33" i="24" s="1"/>
  <c r="AT34" i="24" s="1"/>
  <c r="AT35" i="24" s="1"/>
  <c r="AT36" i="24" s="1"/>
  <c r="AT37" i="24" s="1"/>
  <c r="AT38" i="24" s="1"/>
  <c r="AT39" i="24" s="1"/>
  <c r="AT40" i="24" s="1"/>
  <c r="AT41" i="24" s="1"/>
  <c r="AT42" i="24" s="1"/>
  <c r="AT43" i="24" s="1"/>
  <c r="AT44" i="24" s="1"/>
  <c r="AT45" i="24" s="1"/>
  <c r="AT46" i="24" s="1"/>
  <c r="AT47" i="24" s="1"/>
  <c r="AT48" i="24" s="1"/>
  <c r="AT49" i="24" s="1"/>
  <c r="AT50" i="24" s="1"/>
  <c r="AT51" i="24" s="1"/>
  <c r="AT52" i="24" s="1"/>
  <c r="AT53" i="24" s="1"/>
  <c r="AT54" i="24" s="1"/>
  <c r="AT55" i="24" s="1"/>
  <c r="AT56" i="24" s="1"/>
  <c r="AT57" i="24" s="1"/>
  <c r="AT58" i="24" s="1"/>
  <c r="AT59" i="24" s="1"/>
  <c r="AT60" i="24" s="1"/>
  <c r="AT61" i="24" s="1"/>
  <c r="AT62" i="24" s="1"/>
  <c r="AT63" i="24" s="1"/>
  <c r="AT64" i="24" s="1"/>
  <c r="AT65" i="24" s="1"/>
  <c r="AT66" i="24" s="1"/>
  <c r="AT67" i="24" s="1"/>
  <c r="AT68" i="24" s="1"/>
  <c r="AT69" i="24" s="1"/>
  <c r="AT70" i="24" s="1"/>
  <c r="AT71" i="24" s="1"/>
  <c r="AT72" i="24" s="1"/>
  <c r="AT73" i="24" s="1"/>
  <c r="AT74" i="24" s="1"/>
  <c r="AT75" i="24" s="1"/>
  <c r="AT76" i="24" s="1"/>
  <c r="AT77" i="24" s="1"/>
  <c r="AT78" i="24" s="1"/>
  <c r="AT79" i="24" s="1"/>
  <c r="AT80" i="24" s="1"/>
  <c r="AT81" i="24" s="1"/>
  <c r="AT82" i="24" s="1"/>
  <c r="AT83" i="24" s="1"/>
  <c r="AT84" i="24" s="1"/>
  <c r="AT85" i="24" s="1"/>
  <c r="AT86" i="24" s="1"/>
  <c r="AT87" i="24" s="1"/>
  <c r="AT88" i="24" s="1"/>
  <c r="AT89" i="24" s="1"/>
  <c r="AT90" i="24" s="1"/>
  <c r="AT91" i="24" s="1"/>
  <c r="AT92" i="24" s="1"/>
  <c r="AT93" i="24" s="1"/>
  <c r="AT94" i="24" s="1"/>
  <c r="AT95" i="24" s="1"/>
  <c r="AT96" i="24" s="1"/>
  <c r="AT97" i="24" s="1"/>
  <c r="AT98" i="24" s="1"/>
  <c r="AT99" i="24" s="1"/>
  <c r="AT100" i="24" s="1"/>
  <c r="AT101" i="24" s="1"/>
  <c r="AT102" i="24" s="1"/>
  <c r="AT103" i="24" s="1"/>
  <c r="AT104" i="24" s="1"/>
  <c r="AT105" i="24" s="1"/>
  <c r="AT106" i="24" s="1"/>
  <c r="AT107" i="24" s="1"/>
  <c r="AT108" i="24" s="1"/>
  <c r="AT109" i="24" s="1"/>
  <c r="AT110" i="24" s="1"/>
  <c r="AT111" i="24" s="1"/>
  <c r="AT112" i="24" s="1"/>
  <c r="AT113" i="24" s="1"/>
  <c r="AT114" i="24" s="1"/>
  <c r="AT115" i="24" s="1"/>
  <c r="AT116" i="24" s="1"/>
  <c r="AT117" i="24" s="1"/>
  <c r="AT118" i="24" s="1"/>
  <c r="AT119" i="24" s="1"/>
  <c r="AT120" i="24" s="1"/>
  <c r="AT121" i="24" s="1"/>
  <c r="AT122" i="24" s="1"/>
  <c r="AT123" i="24" s="1"/>
  <c r="AT124" i="24" s="1"/>
  <c r="T6" i="24"/>
  <c r="K6" i="24"/>
  <c r="AT5" i="24"/>
  <c r="T5" i="24"/>
  <c r="M5" i="24"/>
  <c r="M4" i="24"/>
  <c r="J4" i="24"/>
  <c r="L4" i="24" s="1"/>
  <c r="I4" i="24" a="1"/>
  <c r="M86" i="24" s="1"/>
  <c r="C144" i="23"/>
  <c r="C143" i="23"/>
  <c r="C142" i="23"/>
  <c r="C141" i="23"/>
  <c r="C140" i="23"/>
  <c r="C139" i="23"/>
  <c r="C138" i="23"/>
  <c r="C137" i="23"/>
  <c r="C136" i="23"/>
  <c r="C135" i="23"/>
  <c r="C134" i="23"/>
  <c r="AD133" i="23"/>
  <c r="C133" i="23"/>
  <c r="C132" i="23"/>
  <c r="AD131" i="23"/>
  <c r="C131" i="23"/>
  <c r="C130" i="23"/>
  <c r="C129" i="23"/>
  <c r="C128" i="23"/>
  <c r="C127" i="23"/>
  <c r="C126" i="23"/>
  <c r="C125" i="23"/>
  <c r="T124" i="23"/>
  <c r="K124" i="23"/>
  <c r="C124" i="23"/>
  <c r="T123" i="23"/>
  <c r="K123" i="23"/>
  <c r="C123" i="23"/>
  <c r="T122" i="23"/>
  <c r="K122" i="23"/>
  <c r="C122" i="23"/>
  <c r="T121" i="23"/>
  <c r="K121" i="23"/>
  <c r="C121" i="23"/>
  <c r="T120" i="23"/>
  <c r="K120" i="23"/>
  <c r="C120" i="23"/>
  <c r="T119" i="23"/>
  <c r="K119" i="23"/>
  <c r="C119" i="23"/>
  <c r="T118" i="23"/>
  <c r="K118" i="23"/>
  <c r="C118" i="23"/>
  <c r="T117" i="23"/>
  <c r="K117" i="23"/>
  <c r="C117" i="23"/>
  <c r="T116" i="23"/>
  <c r="K116" i="23"/>
  <c r="C116" i="23"/>
  <c r="T115" i="23"/>
  <c r="K115" i="23"/>
  <c r="C115" i="23"/>
  <c r="T114" i="23"/>
  <c r="K114" i="23"/>
  <c r="C114" i="23"/>
  <c r="T113" i="23"/>
  <c r="K113" i="23"/>
  <c r="C113" i="23"/>
  <c r="T112" i="23"/>
  <c r="K112" i="23"/>
  <c r="C112" i="23"/>
  <c r="T111" i="23"/>
  <c r="K111" i="23"/>
  <c r="C111" i="23"/>
  <c r="T110" i="23"/>
  <c r="K110" i="23"/>
  <c r="C110" i="23"/>
  <c r="T109" i="23"/>
  <c r="K109" i="23"/>
  <c r="C109" i="23"/>
  <c r="T108" i="23"/>
  <c r="K108" i="23"/>
  <c r="C108" i="23"/>
  <c r="T107" i="23"/>
  <c r="K107" i="23"/>
  <c r="C107" i="23"/>
  <c r="T106" i="23"/>
  <c r="K106" i="23"/>
  <c r="C106" i="23"/>
  <c r="T105" i="23"/>
  <c r="K105" i="23"/>
  <c r="C105" i="23"/>
  <c r="T104" i="23"/>
  <c r="K104" i="23"/>
  <c r="C104" i="23"/>
  <c r="T103" i="23"/>
  <c r="K103" i="23"/>
  <c r="C103" i="23"/>
  <c r="T102" i="23"/>
  <c r="K102" i="23"/>
  <c r="C102" i="23"/>
  <c r="T101" i="23"/>
  <c r="K101" i="23"/>
  <c r="C101" i="23"/>
  <c r="T100" i="23"/>
  <c r="K100" i="23"/>
  <c r="C100" i="23"/>
  <c r="T99" i="23"/>
  <c r="K99" i="23"/>
  <c r="C99" i="23"/>
  <c r="T98" i="23"/>
  <c r="K98" i="23"/>
  <c r="C98" i="23"/>
  <c r="T97" i="23"/>
  <c r="K97" i="23"/>
  <c r="C97" i="23"/>
  <c r="T96" i="23"/>
  <c r="K96" i="23"/>
  <c r="C96" i="23"/>
  <c r="T95" i="23"/>
  <c r="K95" i="23"/>
  <c r="C95" i="23"/>
  <c r="T94" i="23"/>
  <c r="K94" i="23"/>
  <c r="C94" i="23"/>
  <c r="T93" i="23"/>
  <c r="K93" i="23"/>
  <c r="C93" i="23"/>
  <c r="T92" i="23"/>
  <c r="K92" i="23"/>
  <c r="C92" i="23"/>
  <c r="T91" i="23"/>
  <c r="K91" i="23"/>
  <c r="C91" i="23"/>
  <c r="T90" i="23"/>
  <c r="K90" i="23"/>
  <c r="C90" i="23"/>
  <c r="T89" i="23"/>
  <c r="K89" i="23"/>
  <c r="C89" i="23"/>
  <c r="T88" i="23"/>
  <c r="K88" i="23"/>
  <c r="C88" i="23"/>
  <c r="T87" i="23"/>
  <c r="K87" i="23"/>
  <c r="C87" i="23"/>
  <c r="T86" i="23"/>
  <c r="K86" i="23"/>
  <c r="C86" i="23"/>
  <c r="T85" i="23"/>
  <c r="K85" i="23"/>
  <c r="C85" i="23"/>
  <c r="T84" i="23"/>
  <c r="K84" i="23"/>
  <c r="C84" i="23"/>
  <c r="T83" i="23"/>
  <c r="K83" i="23"/>
  <c r="C83" i="23"/>
  <c r="T82" i="23"/>
  <c r="K82" i="23"/>
  <c r="C82" i="23"/>
  <c r="T81" i="23"/>
  <c r="K81" i="23"/>
  <c r="C81" i="23"/>
  <c r="T80" i="23"/>
  <c r="K80" i="23"/>
  <c r="C80" i="23"/>
  <c r="T79" i="23"/>
  <c r="K79" i="23"/>
  <c r="C79" i="23"/>
  <c r="T78" i="23"/>
  <c r="K78" i="23"/>
  <c r="C78" i="23"/>
  <c r="T77" i="23"/>
  <c r="K77" i="23"/>
  <c r="C77" i="23"/>
  <c r="T76" i="23"/>
  <c r="K76" i="23"/>
  <c r="C76" i="23"/>
  <c r="T75" i="23"/>
  <c r="K75" i="23"/>
  <c r="C75" i="23"/>
  <c r="T74" i="23"/>
  <c r="K74" i="23"/>
  <c r="C74" i="23"/>
  <c r="T73" i="23"/>
  <c r="K73" i="23"/>
  <c r="C73" i="23"/>
  <c r="T72" i="23"/>
  <c r="K72" i="23"/>
  <c r="C72" i="23"/>
  <c r="T71" i="23"/>
  <c r="K71" i="23"/>
  <c r="C71" i="23"/>
  <c r="T70" i="23"/>
  <c r="K70" i="23"/>
  <c r="C70" i="23"/>
  <c r="T69" i="23"/>
  <c r="K69" i="23"/>
  <c r="C69" i="23"/>
  <c r="T68" i="23"/>
  <c r="K68" i="23"/>
  <c r="C68" i="23"/>
  <c r="T67" i="23"/>
  <c r="K67" i="23"/>
  <c r="C67" i="23"/>
  <c r="T66" i="23"/>
  <c r="K66" i="23"/>
  <c r="C66" i="23"/>
  <c r="T65" i="23"/>
  <c r="K65" i="23"/>
  <c r="C65" i="23"/>
  <c r="T64" i="23"/>
  <c r="K64" i="23"/>
  <c r="C64" i="23"/>
  <c r="T63" i="23"/>
  <c r="K63" i="23"/>
  <c r="C63" i="23"/>
  <c r="T62" i="23"/>
  <c r="K62" i="23"/>
  <c r="C62" i="23"/>
  <c r="T61" i="23"/>
  <c r="K61" i="23"/>
  <c r="C61" i="23"/>
  <c r="T60" i="23"/>
  <c r="K60" i="23"/>
  <c r="C60" i="23"/>
  <c r="T59" i="23"/>
  <c r="K59" i="23"/>
  <c r="C59" i="23"/>
  <c r="T58" i="23"/>
  <c r="K58" i="23"/>
  <c r="C58" i="23"/>
  <c r="T57" i="23"/>
  <c r="K57" i="23"/>
  <c r="C57" i="23"/>
  <c r="T56" i="23"/>
  <c r="K56" i="23"/>
  <c r="C56" i="23"/>
  <c r="T55" i="23"/>
  <c r="K55" i="23"/>
  <c r="C55" i="23"/>
  <c r="T54" i="23"/>
  <c r="K54" i="23"/>
  <c r="C54" i="23"/>
  <c r="T53" i="23"/>
  <c r="K53" i="23"/>
  <c r="C53" i="23"/>
  <c r="T52" i="23"/>
  <c r="K52" i="23"/>
  <c r="C52" i="23"/>
  <c r="T51" i="23"/>
  <c r="K51" i="23"/>
  <c r="C51" i="23"/>
  <c r="T50" i="23"/>
  <c r="K50" i="23"/>
  <c r="C50" i="23"/>
  <c r="T49" i="23"/>
  <c r="K49" i="23"/>
  <c r="C49" i="23"/>
  <c r="T48" i="23"/>
  <c r="K48" i="23"/>
  <c r="C48" i="23"/>
  <c r="T47" i="23"/>
  <c r="K47" i="23"/>
  <c r="C47" i="23"/>
  <c r="T46" i="23"/>
  <c r="K46" i="23"/>
  <c r="C46" i="23"/>
  <c r="T45" i="23"/>
  <c r="K45" i="23"/>
  <c r="C45" i="23"/>
  <c r="T44" i="23"/>
  <c r="K44" i="23"/>
  <c r="C44" i="23"/>
  <c r="T43" i="23"/>
  <c r="K43" i="23"/>
  <c r="C43" i="23"/>
  <c r="T42" i="23"/>
  <c r="K42" i="23"/>
  <c r="C42" i="23"/>
  <c r="T41" i="23"/>
  <c r="K41" i="23"/>
  <c r="C41" i="23"/>
  <c r="T40" i="23"/>
  <c r="K40" i="23"/>
  <c r="C40" i="23"/>
  <c r="T39" i="23"/>
  <c r="K39" i="23"/>
  <c r="C39" i="23"/>
  <c r="T38" i="23"/>
  <c r="K38" i="23"/>
  <c r="C38" i="23"/>
  <c r="T37" i="23"/>
  <c r="K37" i="23"/>
  <c r="C37" i="23"/>
  <c r="T36" i="23"/>
  <c r="K36" i="23"/>
  <c r="C36" i="23"/>
  <c r="T35" i="23"/>
  <c r="K35" i="23"/>
  <c r="C35" i="23"/>
  <c r="T34" i="23"/>
  <c r="K34" i="23"/>
  <c r="C34" i="23"/>
  <c r="T33" i="23"/>
  <c r="K33" i="23"/>
  <c r="C33" i="23"/>
  <c r="T32" i="23"/>
  <c r="K32" i="23"/>
  <c r="C32" i="23"/>
  <c r="T31" i="23"/>
  <c r="K31" i="23"/>
  <c r="C31" i="23"/>
  <c r="T30" i="23"/>
  <c r="K30" i="23"/>
  <c r="C30" i="23"/>
  <c r="T29" i="23"/>
  <c r="K29" i="23"/>
  <c r="C29" i="23"/>
  <c r="T28" i="23"/>
  <c r="K28" i="23"/>
  <c r="C28" i="23"/>
  <c r="T27" i="23"/>
  <c r="K27" i="23"/>
  <c r="C27" i="23"/>
  <c r="T26" i="23"/>
  <c r="K26" i="23"/>
  <c r="C26" i="23"/>
  <c r="T25" i="23"/>
  <c r="K25" i="23"/>
  <c r="T24" i="23"/>
  <c r="K24" i="23"/>
  <c r="T23" i="23"/>
  <c r="K23" i="23"/>
  <c r="T22" i="23"/>
  <c r="K22" i="23"/>
  <c r="T21" i="23"/>
  <c r="K21" i="23"/>
  <c r="T20" i="23"/>
  <c r="K20" i="23"/>
  <c r="T19" i="23"/>
  <c r="K19" i="23"/>
  <c r="T18" i="23"/>
  <c r="K18" i="23"/>
  <c r="T17" i="23"/>
  <c r="K17" i="23"/>
  <c r="T16" i="23"/>
  <c r="K16" i="23"/>
  <c r="T15" i="23"/>
  <c r="K15" i="23"/>
  <c r="T14" i="23"/>
  <c r="K14" i="23"/>
  <c r="T13" i="23"/>
  <c r="K13" i="23"/>
  <c r="T12" i="23"/>
  <c r="K12" i="23"/>
  <c r="T11" i="23"/>
  <c r="K11" i="23"/>
  <c r="T10" i="23"/>
  <c r="K10" i="23"/>
  <c r="T9" i="23"/>
  <c r="K9" i="23"/>
  <c r="T8" i="23"/>
  <c r="K8" i="23"/>
  <c r="T7" i="23"/>
  <c r="K7" i="23"/>
  <c r="AT6" i="23"/>
  <c r="AT7" i="23" s="1"/>
  <c r="AT8" i="23" s="1"/>
  <c r="AT9" i="23" s="1"/>
  <c r="AT10" i="23" s="1"/>
  <c r="AT11" i="23" s="1"/>
  <c r="AT12" i="23" s="1"/>
  <c r="AT13" i="23" s="1"/>
  <c r="AT14" i="23" s="1"/>
  <c r="AT15" i="23" s="1"/>
  <c r="AT16" i="23" s="1"/>
  <c r="AT17" i="23" s="1"/>
  <c r="AT18" i="23" s="1"/>
  <c r="AT19" i="23" s="1"/>
  <c r="AT20" i="23" s="1"/>
  <c r="AT21" i="23" s="1"/>
  <c r="AT22" i="23" s="1"/>
  <c r="AT23" i="23" s="1"/>
  <c r="AT24" i="23" s="1"/>
  <c r="AT25" i="23" s="1"/>
  <c r="AT26" i="23" s="1"/>
  <c r="AT27" i="23" s="1"/>
  <c r="AT28" i="23" s="1"/>
  <c r="AT29" i="23" s="1"/>
  <c r="AT30" i="23" s="1"/>
  <c r="AT31" i="23" s="1"/>
  <c r="AT32" i="23" s="1"/>
  <c r="AT33" i="23" s="1"/>
  <c r="AT34" i="23" s="1"/>
  <c r="AT35" i="23" s="1"/>
  <c r="AT36" i="23" s="1"/>
  <c r="AT37" i="23" s="1"/>
  <c r="AT38" i="23" s="1"/>
  <c r="AT39" i="23" s="1"/>
  <c r="AT40" i="23" s="1"/>
  <c r="AT41" i="23" s="1"/>
  <c r="AT42" i="23" s="1"/>
  <c r="AT43" i="23" s="1"/>
  <c r="AT44" i="23" s="1"/>
  <c r="AT45" i="23" s="1"/>
  <c r="AT46" i="23" s="1"/>
  <c r="AT47" i="23" s="1"/>
  <c r="AT48" i="23" s="1"/>
  <c r="AT49" i="23" s="1"/>
  <c r="AT50" i="23" s="1"/>
  <c r="AT51" i="23" s="1"/>
  <c r="AT52" i="23" s="1"/>
  <c r="AT53" i="23" s="1"/>
  <c r="AT54" i="23" s="1"/>
  <c r="AT55" i="23" s="1"/>
  <c r="AT56" i="23" s="1"/>
  <c r="AT57" i="23" s="1"/>
  <c r="AT58" i="23" s="1"/>
  <c r="AT59" i="23" s="1"/>
  <c r="AT60" i="23" s="1"/>
  <c r="AT61" i="23" s="1"/>
  <c r="AT62" i="23" s="1"/>
  <c r="AT63" i="23" s="1"/>
  <c r="AT64" i="23" s="1"/>
  <c r="AT65" i="23" s="1"/>
  <c r="AT66" i="23" s="1"/>
  <c r="AT67" i="23" s="1"/>
  <c r="AT68" i="23" s="1"/>
  <c r="AT69" i="23" s="1"/>
  <c r="AT70" i="23" s="1"/>
  <c r="AT71" i="23" s="1"/>
  <c r="AT72" i="23" s="1"/>
  <c r="AT73" i="23" s="1"/>
  <c r="AT74" i="23" s="1"/>
  <c r="AT75" i="23" s="1"/>
  <c r="AT76" i="23" s="1"/>
  <c r="AT77" i="23" s="1"/>
  <c r="AT78" i="23" s="1"/>
  <c r="AT79" i="23" s="1"/>
  <c r="AT80" i="23" s="1"/>
  <c r="AT81" i="23" s="1"/>
  <c r="AT82" i="23" s="1"/>
  <c r="AT83" i="23" s="1"/>
  <c r="AT84" i="23" s="1"/>
  <c r="AT85" i="23" s="1"/>
  <c r="AT86" i="23" s="1"/>
  <c r="AT87" i="23" s="1"/>
  <c r="AT88" i="23" s="1"/>
  <c r="AT89" i="23" s="1"/>
  <c r="AT90" i="23" s="1"/>
  <c r="AT91" i="23" s="1"/>
  <c r="AT92" i="23" s="1"/>
  <c r="AT93" i="23" s="1"/>
  <c r="AT94" i="23" s="1"/>
  <c r="AT95" i="23" s="1"/>
  <c r="AT96" i="23" s="1"/>
  <c r="AT97" i="23" s="1"/>
  <c r="AT98" i="23" s="1"/>
  <c r="AT99" i="23" s="1"/>
  <c r="AT100" i="23" s="1"/>
  <c r="AT101" i="23" s="1"/>
  <c r="AT102" i="23" s="1"/>
  <c r="AT103" i="23" s="1"/>
  <c r="AT104" i="23" s="1"/>
  <c r="AT105" i="23" s="1"/>
  <c r="AT106" i="23" s="1"/>
  <c r="AT107" i="23" s="1"/>
  <c r="AT108" i="23" s="1"/>
  <c r="AT109" i="23" s="1"/>
  <c r="AT110" i="23" s="1"/>
  <c r="AT111" i="23" s="1"/>
  <c r="AT112" i="23" s="1"/>
  <c r="AT113" i="23" s="1"/>
  <c r="AT114" i="23" s="1"/>
  <c r="AT115" i="23" s="1"/>
  <c r="AT116" i="23" s="1"/>
  <c r="AT117" i="23" s="1"/>
  <c r="AT118" i="23" s="1"/>
  <c r="AT119" i="23" s="1"/>
  <c r="AT120" i="23" s="1"/>
  <c r="AT121" i="23" s="1"/>
  <c r="AT122" i="23" s="1"/>
  <c r="AT123" i="23" s="1"/>
  <c r="AT124" i="23" s="1"/>
  <c r="T6" i="23"/>
  <c r="K6" i="23"/>
  <c r="AT5" i="23"/>
  <c r="T5" i="23"/>
  <c r="M5" i="23"/>
  <c r="M4" i="23"/>
  <c r="J4" i="23"/>
  <c r="K4" i="23" l="1"/>
  <c r="L4" i="23"/>
  <c r="AL123" i="26"/>
  <c r="AL119" i="26"/>
  <c r="L15" i="26"/>
  <c r="AL97" i="26"/>
  <c r="AL105" i="26"/>
  <c r="AL113" i="26"/>
  <c r="S15" i="26"/>
  <c r="L65" i="26"/>
  <c r="M60" i="26"/>
  <c r="L71" i="26"/>
  <c r="S70" i="26"/>
  <c r="S78" i="26"/>
  <c r="M74" i="26"/>
  <c r="L79" i="26"/>
  <c r="S86" i="26"/>
  <c r="M82" i="26"/>
  <c r="L87" i="26"/>
  <c r="S85" i="26"/>
  <c r="S77" i="26"/>
  <c r="S69" i="26"/>
  <c r="S61" i="26"/>
  <c r="S7" i="26"/>
  <c r="M85" i="26"/>
  <c r="L82" i="26"/>
  <c r="M77" i="26"/>
  <c r="L74" i="26"/>
  <c r="M69" i="26"/>
  <c r="M63" i="26"/>
  <c r="L60" i="26"/>
  <c r="S84" i="26"/>
  <c r="S76" i="26"/>
  <c r="S68" i="26"/>
  <c r="S60" i="26"/>
  <c r="M88" i="26"/>
  <c r="L85" i="26"/>
  <c r="M80" i="26"/>
  <c r="L77" i="26"/>
  <c r="M72" i="26"/>
  <c r="L69" i="26"/>
  <c r="M66" i="26"/>
  <c r="L63" i="26"/>
  <c r="L7" i="26"/>
  <c r="S83" i="26"/>
  <c r="S75" i="26"/>
  <c r="S67" i="26"/>
  <c r="S56" i="26"/>
  <c r="L88" i="26"/>
  <c r="M83" i="26"/>
  <c r="L80" i="26"/>
  <c r="M75" i="26"/>
  <c r="L72" i="26"/>
  <c r="L66" i="26"/>
  <c r="M61" i="26"/>
  <c r="L25" i="26"/>
  <c r="S82" i="26"/>
  <c r="S74" i="26"/>
  <c r="S66" i="26"/>
  <c r="S48" i="26"/>
  <c r="M86" i="26"/>
  <c r="L83" i="26"/>
  <c r="M78" i="26"/>
  <c r="L75" i="26"/>
  <c r="M70" i="26"/>
  <c r="M67" i="26"/>
  <c r="M64" i="26"/>
  <c r="L61" i="26"/>
  <c r="L12" i="26"/>
  <c r="L62" i="26"/>
  <c r="M65" i="26"/>
  <c r="L68" i="26"/>
  <c r="M71" i="26"/>
  <c r="L76" i="26"/>
  <c r="M79" i="26"/>
  <c r="L84" i="26"/>
  <c r="M87" i="26"/>
  <c r="AJ95" i="26"/>
  <c r="S23" i="26"/>
  <c r="S63" i="26"/>
  <c r="S71" i="26"/>
  <c r="S79" i="26"/>
  <c r="S87" i="26"/>
  <c r="M62" i="26"/>
  <c r="M68" i="26"/>
  <c r="L73" i="26"/>
  <c r="M76" i="26"/>
  <c r="L81" i="26"/>
  <c r="M84" i="26"/>
  <c r="L89" i="26"/>
  <c r="S31" i="26"/>
  <c r="S64" i="26"/>
  <c r="S72" i="26"/>
  <c r="S80" i="26"/>
  <c r="S88" i="26"/>
  <c r="L64" i="26"/>
  <c r="L67" i="26"/>
  <c r="L70" i="26"/>
  <c r="M73" i="26"/>
  <c r="L78" i="26"/>
  <c r="M81" i="26"/>
  <c r="L86" i="26"/>
  <c r="M89" i="26"/>
  <c r="S39" i="26"/>
  <c r="S65" i="26"/>
  <c r="S73" i="26"/>
  <c r="S81" i="26"/>
  <c r="S89" i="26"/>
  <c r="L4" i="26"/>
  <c r="K4" i="26"/>
  <c r="S54" i="26"/>
  <c r="S46" i="26"/>
  <c r="S37" i="26"/>
  <c r="S29" i="26"/>
  <c r="S21" i="26"/>
  <c r="S13" i="26"/>
  <c r="S5" i="26"/>
  <c r="L40" i="26"/>
  <c r="L17" i="26"/>
  <c r="L9" i="26"/>
  <c r="S41" i="26"/>
  <c r="S53" i="26"/>
  <c r="S45" i="26"/>
  <c r="S36" i="26"/>
  <c r="S28" i="26"/>
  <c r="S20" i="26"/>
  <c r="S12" i="26"/>
  <c r="L14" i="26"/>
  <c r="S52" i="26"/>
  <c r="S44" i="26"/>
  <c r="S35" i="26"/>
  <c r="S27" i="26"/>
  <c r="S19" i="26"/>
  <c r="S11" i="26"/>
  <c r="L55" i="26"/>
  <c r="L11" i="26"/>
  <c r="M6" i="26"/>
  <c r="S6" i="26"/>
  <c r="S14" i="26"/>
  <c r="S22" i="26"/>
  <c r="S30" i="26"/>
  <c r="S38" i="26"/>
  <c r="S47" i="26"/>
  <c r="S55" i="26"/>
  <c r="L10" i="26"/>
  <c r="L18" i="26"/>
  <c r="S8" i="26"/>
  <c r="S16" i="26"/>
  <c r="S24" i="26"/>
  <c r="S32" i="26"/>
  <c r="S40" i="26"/>
  <c r="S49" i="26"/>
  <c r="S57" i="26"/>
  <c r="AU5" i="26"/>
  <c r="L13" i="26"/>
  <c r="AL103" i="26"/>
  <c r="S9" i="26"/>
  <c r="S17" i="26"/>
  <c r="S25" i="26"/>
  <c r="S33" i="26"/>
  <c r="S42" i="26"/>
  <c r="S50" i="26"/>
  <c r="S58" i="26"/>
  <c r="L8" i="26"/>
  <c r="L16" i="26"/>
  <c r="S10" i="26"/>
  <c r="S18" i="26"/>
  <c r="S26" i="26"/>
  <c r="S34" i="26"/>
  <c r="S43" i="26"/>
  <c r="S51" i="26"/>
  <c r="S59" i="26"/>
  <c r="AL92" i="25"/>
  <c r="AL116" i="25"/>
  <c r="AL124" i="25"/>
  <c r="S63" i="25"/>
  <c r="S25" i="25"/>
  <c r="L76" i="25"/>
  <c r="S71" i="25"/>
  <c r="L64" i="25"/>
  <c r="S79" i="25"/>
  <c r="M79" i="25"/>
  <c r="L84" i="25"/>
  <c r="S87" i="25"/>
  <c r="M67" i="25"/>
  <c r="M87" i="25"/>
  <c r="AL91" i="25"/>
  <c r="S86" i="25"/>
  <c r="S78" i="25"/>
  <c r="S70" i="25"/>
  <c r="S62" i="25"/>
  <c r="S16" i="25"/>
  <c r="L87" i="25"/>
  <c r="M82" i="25"/>
  <c r="L79" i="25"/>
  <c r="M74" i="25"/>
  <c r="L70" i="25"/>
  <c r="L67" i="25"/>
  <c r="M62" i="25"/>
  <c r="S85" i="25"/>
  <c r="S77" i="25"/>
  <c r="S69" i="25"/>
  <c r="S61" i="25"/>
  <c r="S8" i="25"/>
  <c r="M85" i="25"/>
  <c r="L82" i="25"/>
  <c r="M77" i="25"/>
  <c r="L74" i="25"/>
  <c r="M65" i="25"/>
  <c r="L62" i="25"/>
  <c r="S84" i="25"/>
  <c r="S76" i="25"/>
  <c r="S68" i="25"/>
  <c r="S60" i="25"/>
  <c r="M88" i="25"/>
  <c r="L85" i="25"/>
  <c r="M80" i="25"/>
  <c r="L77" i="25"/>
  <c r="M71" i="25"/>
  <c r="M68" i="25"/>
  <c r="L65" i="25"/>
  <c r="M60" i="25"/>
  <c r="S83" i="25"/>
  <c r="S75" i="25"/>
  <c r="S67" i="25"/>
  <c r="S57" i="25"/>
  <c r="L88" i="25"/>
  <c r="M83" i="25"/>
  <c r="L80" i="25"/>
  <c r="M75" i="25"/>
  <c r="L71" i="25"/>
  <c r="L68" i="25"/>
  <c r="M63" i="25"/>
  <c r="L60" i="25"/>
  <c r="L14" i="25"/>
  <c r="L61" i="25"/>
  <c r="M64" i="25"/>
  <c r="L72" i="25"/>
  <c r="L73" i="25"/>
  <c r="M76" i="25"/>
  <c r="L81" i="25"/>
  <c r="M84" i="25"/>
  <c r="L89" i="25"/>
  <c r="S33" i="25"/>
  <c r="S64" i="25"/>
  <c r="S72" i="25"/>
  <c r="S80" i="25"/>
  <c r="S88" i="25"/>
  <c r="M61" i="25"/>
  <c r="L66" i="25"/>
  <c r="L69" i="25"/>
  <c r="M72" i="25"/>
  <c r="M73" i="25"/>
  <c r="L78" i="25"/>
  <c r="M81" i="25"/>
  <c r="L86" i="25"/>
  <c r="M89" i="25"/>
  <c r="S41" i="25"/>
  <c r="S65" i="25"/>
  <c r="S73" i="25"/>
  <c r="S81" i="25"/>
  <c r="S89" i="25"/>
  <c r="L63" i="25"/>
  <c r="M66" i="25"/>
  <c r="M69" i="25"/>
  <c r="L75" i="25"/>
  <c r="M78" i="25"/>
  <c r="L83" i="25"/>
  <c r="M86" i="25"/>
  <c r="S49" i="25"/>
  <c r="S66" i="25"/>
  <c r="S74" i="25"/>
  <c r="S82" i="25"/>
  <c r="L4" i="25"/>
  <c r="K4" i="25"/>
  <c r="S56" i="25"/>
  <c r="S48" i="25"/>
  <c r="S40" i="25"/>
  <c r="S32" i="25"/>
  <c r="S24" i="25"/>
  <c r="S15" i="25"/>
  <c r="S7" i="25"/>
  <c r="M40" i="25"/>
  <c r="S55" i="25"/>
  <c r="S47" i="25"/>
  <c r="S39" i="25"/>
  <c r="S31" i="25"/>
  <c r="S23" i="25"/>
  <c r="S14" i="25"/>
  <c r="S6" i="25"/>
  <c r="L10" i="25"/>
  <c r="S22" i="25"/>
  <c r="S54" i="25"/>
  <c r="S46" i="25"/>
  <c r="S38" i="25"/>
  <c r="S30" i="25"/>
  <c r="S21" i="25"/>
  <c r="S13" i="25"/>
  <c r="L11" i="25"/>
  <c r="L18" i="25"/>
  <c r="S9" i="25"/>
  <c r="S17" i="25"/>
  <c r="S26" i="25"/>
  <c r="S34" i="25"/>
  <c r="S42" i="25"/>
  <c r="S50" i="25"/>
  <c r="S58" i="25"/>
  <c r="L22" i="25"/>
  <c r="L36" i="25"/>
  <c r="S10" i="25"/>
  <c r="S18" i="25"/>
  <c r="S27" i="25"/>
  <c r="S35" i="25"/>
  <c r="S43" i="25"/>
  <c r="S51" i="25"/>
  <c r="S59" i="25"/>
  <c r="S11" i="25"/>
  <c r="S19" i="25"/>
  <c r="S28" i="25"/>
  <c r="S36" i="25"/>
  <c r="S44" i="25"/>
  <c r="S52" i="25"/>
  <c r="L6" i="25"/>
  <c r="S12" i="25"/>
  <c r="S20" i="25"/>
  <c r="S29" i="25"/>
  <c r="S37" i="25"/>
  <c r="S45" i="25"/>
  <c r="S53" i="25"/>
  <c r="S5" i="25"/>
  <c r="AJ112" i="25"/>
  <c r="AJ113" i="25"/>
  <c r="AL100" i="26"/>
  <c r="AL116" i="26"/>
  <c r="AJ116" i="26"/>
  <c r="AJ102" i="25"/>
  <c r="AJ118" i="24"/>
  <c r="L64" i="24"/>
  <c r="S73" i="24"/>
  <c r="S81" i="24"/>
  <c r="S65" i="24"/>
  <c r="L83" i="24"/>
  <c r="M78" i="24"/>
  <c r="L67" i="24"/>
  <c r="M70" i="24"/>
  <c r="L75" i="24"/>
  <c r="AL100" i="24"/>
  <c r="AJ94" i="24"/>
  <c r="S88" i="24"/>
  <c r="S80" i="24"/>
  <c r="S72" i="24"/>
  <c r="S63" i="24"/>
  <c r="M89" i="24"/>
  <c r="L86" i="24"/>
  <c r="M81" i="24"/>
  <c r="L78" i="24"/>
  <c r="M73" i="24"/>
  <c r="L70" i="24"/>
  <c r="M65" i="24"/>
  <c r="M62" i="24"/>
  <c r="S87" i="24"/>
  <c r="S79" i="24"/>
  <c r="S71" i="24"/>
  <c r="S62" i="24"/>
  <c r="L89" i="24"/>
  <c r="M84" i="24"/>
  <c r="L81" i="24"/>
  <c r="M76" i="24"/>
  <c r="L73" i="24"/>
  <c r="M68" i="24"/>
  <c r="L65" i="24"/>
  <c r="L62" i="24"/>
  <c r="S86" i="24"/>
  <c r="S78" i="24"/>
  <c r="S70" i="24"/>
  <c r="S61" i="24"/>
  <c r="M87" i="24"/>
  <c r="L84" i="24"/>
  <c r="M79" i="24"/>
  <c r="L76" i="24"/>
  <c r="M71" i="24"/>
  <c r="L68" i="24"/>
  <c r="M60" i="24"/>
  <c r="S89" i="24"/>
  <c r="L61" i="24"/>
  <c r="M64" i="24"/>
  <c r="M67" i="24"/>
  <c r="L72" i="24"/>
  <c r="M75" i="24"/>
  <c r="L80" i="24"/>
  <c r="M83" i="24"/>
  <c r="L88" i="24"/>
  <c r="S66" i="24"/>
  <c r="S74" i="24"/>
  <c r="S82" i="24"/>
  <c r="M61" i="24"/>
  <c r="L69" i="24"/>
  <c r="M72" i="24"/>
  <c r="L77" i="24"/>
  <c r="M80" i="24"/>
  <c r="L85" i="24"/>
  <c r="M88" i="24"/>
  <c r="S67" i="24"/>
  <c r="S75" i="24"/>
  <c r="S83" i="24"/>
  <c r="L63" i="24"/>
  <c r="L66" i="24"/>
  <c r="M69" i="24"/>
  <c r="L74" i="24"/>
  <c r="M77" i="24"/>
  <c r="L82" i="24"/>
  <c r="M85" i="24"/>
  <c r="S68" i="24"/>
  <c r="S76" i="24"/>
  <c r="S84" i="24"/>
  <c r="L60" i="24"/>
  <c r="M63" i="24"/>
  <c r="M66" i="24"/>
  <c r="L71" i="24"/>
  <c r="M74" i="24"/>
  <c r="L79" i="24"/>
  <c r="M82" i="24"/>
  <c r="L87" i="24"/>
  <c r="S60" i="24"/>
  <c r="S69" i="24"/>
  <c r="S77" i="24"/>
  <c r="S85" i="24"/>
  <c r="S64" i="24"/>
  <c r="S55" i="24"/>
  <c r="S47" i="24"/>
  <c r="S39" i="24"/>
  <c r="S31" i="24"/>
  <c r="S23" i="24"/>
  <c r="S15" i="24"/>
  <c r="S7" i="24"/>
  <c r="M12" i="24"/>
  <c r="S54" i="24"/>
  <c r="S46" i="24"/>
  <c r="S38" i="24"/>
  <c r="S30" i="24"/>
  <c r="S22" i="24"/>
  <c r="S14" i="24"/>
  <c r="S6" i="24"/>
  <c r="M17" i="24"/>
  <c r="M9" i="24"/>
  <c r="S53" i="24"/>
  <c r="S45" i="24"/>
  <c r="S37" i="24"/>
  <c r="S29" i="24"/>
  <c r="S21" i="24"/>
  <c r="S13" i="24"/>
  <c r="S5" i="24"/>
  <c r="M14" i="24"/>
  <c r="M7" i="24"/>
  <c r="M15" i="24"/>
  <c r="S8" i="24"/>
  <c r="S16" i="24"/>
  <c r="S24" i="24"/>
  <c r="S32" i="24"/>
  <c r="S40" i="24"/>
  <c r="S48" i="24"/>
  <c r="S56" i="24"/>
  <c r="M10" i="24"/>
  <c r="M18" i="24"/>
  <c r="S9" i="24"/>
  <c r="S17" i="24"/>
  <c r="S25" i="24"/>
  <c r="S33" i="24"/>
  <c r="S41" i="24"/>
  <c r="S49" i="24"/>
  <c r="S57" i="24"/>
  <c r="M13" i="24"/>
  <c r="S10" i="24"/>
  <c r="S18" i="24"/>
  <c r="S26" i="24"/>
  <c r="S34" i="24"/>
  <c r="S42" i="24"/>
  <c r="S50" i="24"/>
  <c r="S58" i="24"/>
  <c r="AU5" i="24"/>
  <c r="M8" i="24"/>
  <c r="M16" i="24"/>
  <c r="S11" i="24"/>
  <c r="S19" i="24"/>
  <c r="S27" i="24"/>
  <c r="S35" i="24"/>
  <c r="S43" i="24"/>
  <c r="S51" i="24"/>
  <c r="S59" i="24"/>
  <c r="M11" i="24"/>
  <c r="L19" i="24"/>
  <c r="S12" i="24"/>
  <c r="S20" i="24"/>
  <c r="S28" i="24"/>
  <c r="S36" i="24"/>
  <c r="S44" i="24"/>
  <c r="S52" i="24"/>
  <c r="AL98" i="24"/>
  <c r="L122" i="23"/>
  <c r="M117" i="23"/>
  <c r="L114" i="23"/>
  <c r="M109" i="23"/>
  <c r="L106" i="23"/>
  <c r="M101" i="23"/>
  <c r="L98" i="23"/>
  <c r="M93" i="23"/>
  <c r="L90" i="23"/>
  <c r="M120" i="23"/>
  <c r="L117" i="23"/>
  <c r="M112" i="23"/>
  <c r="L109" i="23"/>
  <c r="M104" i="23"/>
  <c r="L101" i="23"/>
  <c r="M96" i="23"/>
  <c r="L93" i="23"/>
  <c r="M123" i="23"/>
  <c r="L120" i="23"/>
  <c r="M115" i="23"/>
  <c r="L112" i="23"/>
  <c r="M107" i="23"/>
  <c r="L104" i="23"/>
  <c r="M99" i="23"/>
  <c r="L96" i="23"/>
  <c r="M91" i="23"/>
  <c r="L123" i="23"/>
  <c r="M118" i="23"/>
  <c r="L115" i="23"/>
  <c r="M110" i="23"/>
  <c r="L107" i="23"/>
  <c r="M102" i="23"/>
  <c r="L99" i="23"/>
  <c r="M94" i="23"/>
  <c r="L91" i="23"/>
  <c r="M121" i="23"/>
  <c r="L118" i="23"/>
  <c r="M113" i="23"/>
  <c r="L110" i="23"/>
  <c r="M105" i="23"/>
  <c r="L102" i="23"/>
  <c r="M97" i="23"/>
  <c r="L94" i="23"/>
  <c r="M124" i="23"/>
  <c r="L121" i="23"/>
  <c r="M116" i="23"/>
  <c r="L113" i="23"/>
  <c r="M108" i="23"/>
  <c r="L105" i="23"/>
  <c r="M100" i="23"/>
  <c r="L97" i="23"/>
  <c r="M92" i="23"/>
  <c r="L124" i="23"/>
  <c r="M119" i="23"/>
  <c r="L116" i="23"/>
  <c r="M111" i="23"/>
  <c r="L108" i="23"/>
  <c r="M103" i="23"/>
  <c r="L100" i="23"/>
  <c r="M95" i="23"/>
  <c r="L92" i="23"/>
  <c r="M90" i="23"/>
  <c r="L95" i="23"/>
  <c r="M98" i="23"/>
  <c r="L103" i="23"/>
  <c r="M106" i="23"/>
  <c r="L111" i="23"/>
  <c r="M114" i="23"/>
  <c r="L119" i="23"/>
  <c r="M122" i="23"/>
  <c r="M86" i="23"/>
  <c r="K4" i="24"/>
  <c r="AL99" i="24"/>
  <c r="AL116" i="24"/>
  <c r="AL107" i="24"/>
  <c r="AJ110" i="24"/>
  <c r="AL118" i="24"/>
  <c r="AL119" i="24"/>
  <c r="L64" i="23"/>
  <c r="L83" i="23"/>
  <c r="M78" i="23"/>
  <c r="L75" i="23"/>
  <c r="M70" i="23"/>
  <c r="L67" i="23"/>
  <c r="L61" i="23"/>
  <c r="M64" i="23"/>
  <c r="M67" i="23"/>
  <c r="L72" i="23"/>
  <c r="M75" i="23"/>
  <c r="L80" i="23"/>
  <c r="M83" i="23"/>
  <c r="L88" i="23"/>
  <c r="M61" i="23"/>
  <c r="L69" i="23"/>
  <c r="M72" i="23"/>
  <c r="L77" i="23"/>
  <c r="M80" i="23"/>
  <c r="L85" i="23"/>
  <c r="M88" i="23"/>
  <c r="L63" i="23"/>
  <c r="L66" i="23"/>
  <c r="M69" i="23"/>
  <c r="L74" i="23"/>
  <c r="M77" i="23"/>
  <c r="L82" i="23"/>
  <c r="M85" i="23"/>
  <c r="L60" i="23"/>
  <c r="M63" i="23"/>
  <c r="M66" i="23"/>
  <c r="L71" i="23"/>
  <c r="M74" i="23"/>
  <c r="L79" i="23"/>
  <c r="M82" i="23"/>
  <c r="L87" i="23"/>
  <c r="M60" i="23"/>
  <c r="L68" i="23"/>
  <c r="M71" i="23"/>
  <c r="L76" i="23"/>
  <c r="M79" i="23"/>
  <c r="L84" i="23"/>
  <c r="M87" i="23"/>
  <c r="L62" i="23"/>
  <c r="L65" i="23"/>
  <c r="M68" i="23"/>
  <c r="L73" i="23"/>
  <c r="M76" i="23"/>
  <c r="L81" i="23"/>
  <c r="M84" i="23"/>
  <c r="L89" i="23"/>
  <c r="M62" i="23"/>
  <c r="M65" i="23"/>
  <c r="L70" i="23"/>
  <c r="M73" i="23"/>
  <c r="L78" i="23"/>
  <c r="M81" i="23"/>
  <c r="L86" i="23"/>
  <c r="M89" i="23"/>
  <c r="AJ99" i="26"/>
  <c r="AJ96" i="24"/>
  <c r="AL108" i="24"/>
  <c r="AL97" i="24"/>
  <c r="AJ104" i="24"/>
  <c r="AJ105" i="24"/>
  <c r="AL124" i="24"/>
  <c r="AJ102" i="24"/>
  <c r="AJ109" i="24"/>
  <c r="AJ91" i="24"/>
  <c r="AJ92" i="24"/>
  <c r="AL95" i="24"/>
  <c r="AJ108" i="24"/>
  <c r="AL103" i="24"/>
  <c r="AL111" i="24"/>
  <c r="AL120" i="24"/>
  <c r="AJ123" i="24"/>
  <c r="AL92" i="24"/>
  <c r="AJ113" i="24"/>
  <c r="AJ94" i="25"/>
  <c r="AL96" i="25"/>
  <c r="AJ108" i="25"/>
  <c r="AJ124" i="25"/>
  <c r="AJ90" i="25"/>
  <c r="AL90" i="25"/>
  <c r="AL99" i="25"/>
  <c r="AL107" i="25"/>
  <c r="AJ92" i="25"/>
  <c r="AL105" i="25"/>
  <c r="AL114" i="25"/>
  <c r="AL123" i="25"/>
  <c r="AL95" i="25"/>
  <c r="AL120" i="25"/>
  <c r="AL94" i="25"/>
  <c r="AJ98" i="25"/>
  <c r="AL103" i="25"/>
  <c r="AL111" i="25"/>
  <c r="AJ116" i="25"/>
  <c r="AL119" i="25"/>
  <c r="AL118" i="25"/>
  <c r="AL100" i="25"/>
  <c r="AL108" i="25"/>
  <c r="AL109" i="25"/>
  <c r="AJ94" i="26"/>
  <c r="AL121" i="26"/>
  <c r="AL95" i="26"/>
  <c r="AL111" i="26"/>
  <c r="AJ124" i="26"/>
  <c r="AL93" i="26"/>
  <c r="AL92" i="26"/>
  <c r="AJ105" i="26"/>
  <c r="AL108" i="26"/>
  <c r="AL91" i="26"/>
  <c r="AL107" i="26"/>
  <c r="AL90" i="26"/>
  <c r="AL99" i="26"/>
  <c r="AJ102" i="26"/>
  <c r="AL106" i="26"/>
  <c r="AJ110" i="26"/>
  <c r="AL115" i="26"/>
  <c r="AL124" i="26"/>
  <c r="AJ118" i="26"/>
  <c r="AL94" i="26"/>
  <c r="AL96" i="26"/>
  <c r="AJ111" i="26"/>
  <c r="AL117" i="26"/>
  <c r="AJ123" i="26"/>
  <c r="AM123" i="26" s="1"/>
  <c r="AO123" i="26" s="1"/>
  <c r="AJ100" i="26"/>
  <c r="AJ101" i="26"/>
  <c r="AL110" i="26"/>
  <c r="AL112" i="26"/>
  <c r="AJ98" i="26"/>
  <c r="AJ103" i="26"/>
  <c r="AJ115" i="26"/>
  <c r="AJ121" i="26"/>
  <c r="AJ97" i="26"/>
  <c r="AM97" i="26" s="1"/>
  <c r="AO97" i="26" s="1"/>
  <c r="AJ114" i="26"/>
  <c r="AJ117" i="26"/>
  <c r="AJ91" i="26"/>
  <c r="AJ92" i="26"/>
  <c r="AJ93" i="26"/>
  <c r="AM93" i="26" s="1"/>
  <c r="AO93" i="26" s="1"/>
  <c r="AL102" i="26"/>
  <c r="AL104" i="26"/>
  <c r="AJ90" i="26"/>
  <c r="AL101" i="26"/>
  <c r="AJ107" i="26"/>
  <c r="AJ112" i="26"/>
  <c r="AJ113" i="26"/>
  <c r="AJ106" i="26"/>
  <c r="AJ108" i="26"/>
  <c r="AJ109" i="26"/>
  <c r="AL118" i="26"/>
  <c r="AL120" i="26"/>
  <c r="AJ123" i="25"/>
  <c r="AJ97" i="25"/>
  <c r="AJ100" i="25"/>
  <c r="AL102" i="25"/>
  <c r="AJ109" i="25"/>
  <c r="AL117" i="25"/>
  <c r="AJ122" i="25"/>
  <c r="AJ91" i="25"/>
  <c r="AJ95" i="25"/>
  <c r="AJ107" i="25"/>
  <c r="AJ110" i="25"/>
  <c r="AL113" i="25"/>
  <c r="AL115" i="25"/>
  <c r="AJ106" i="25"/>
  <c r="AL112" i="25"/>
  <c r="AJ121" i="25"/>
  <c r="AL97" i="25"/>
  <c r="AL110" i="25"/>
  <c r="AJ105" i="25"/>
  <c r="AJ114" i="25"/>
  <c r="AJ115" i="25"/>
  <c r="AJ99" i="25"/>
  <c r="AJ118" i="25"/>
  <c r="AL121" i="25"/>
  <c r="AL94" i="24"/>
  <c r="AM94" i="24" s="1"/>
  <c r="AO94" i="24" s="1"/>
  <c r="AJ95" i="24"/>
  <c r="AJ100" i="24"/>
  <c r="AJ111" i="24"/>
  <c r="AL113" i="24"/>
  <c r="AL115" i="24"/>
  <c r="AL93" i="24"/>
  <c r="AJ101" i="24"/>
  <c r="AL110" i="24"/>
  <c r="AJ121" i="24"/>
  <c r="AJ116" i="24"/>
  <c r="AJ117" i="24"/>
  <c r="AL109" i="24"/>
  <c r="AJ115" i="24"/>
  <c r="AJ93" i="24"/>
  <c r="AJ97" i="24"/>
  <c r="AL102" i="24"/>
  <c r="AJ103" i="24"/>
  <c r="AL105" i="24"/>
  <c r="AJ114" i="24"/>
  <c r="AJ119" i="24"/>
  <c r="AL121" i="24"/>
  <c r="AL123" i="24"/>
  <c r="L6" i="26"/>
  <c r="L29" i="26"/>
  <c r="L36" i="26"/>
  <c r="M28" i="26"/>
  <c r="L35" i="26"/>
  <c r="L19" i="26"/>
  <c r="L20" i="26"/>
  <c r="L21" i="26"/>
  <c r="L22" i="26"/>
  <c r="L23" i="26"/>
  <c r="L24" i="26"/>
  <c r="L26" i="26"/>
  <c r="M59" i="26"/>
  <c r="L59" i="26"/>
  <c r="L53" i="26"/>
  <c r="M52" i="26"/>
  <c r="L52" i="26"/>
  <c r="M51" i="26"/>
  <c r="L57" i="26"/>
  <c r="M56" i="26"/>
  <c r="L49" i="26"/>
  <c r="M48" i="26"/>
  <c r="M57" i="26"/>
  <c r="M54" i="26"/>
  <c r="M53" i="26"/>
  <c r="L46" i="26"/>
  <c r="L39" i="26"/>
  <c r="M38" i="26"/>
  <c r="M55" i="26"/>
  <c r="L54" i="26"/>
  <c r="M50" i="26"/>
  <c r="L48" i="26"/>
  <c r="M47" i="26"/>
  <c r="M45" i="26"/>
  <c r="L43" i="26"/>
  <c r="M42" i="26"/>
  <c r="L45" i="26"/>
  <c r="M39" i="26"/>
  <c r="L30" i="26"/>
  <c r="M29" i="26"/>
  <c r="L56" i="26"/>
  <c r="L51" i="26"/>
  <c r="M43" i="26"/>
  <c r="L38" i="26"/>
  <c r="L47" i="26"/>
  <c r="L44" i="26"/>
  <c r="L41" i="26"/>
  <c r="M36" i="26"/>
  <c r="L34" i="26"/>
  <c r="M33" i="26"/>
  <c r="M58" i="26"/>
  <c r="M34" i="26"/>
  <c r="L28" i="26"/>
  <c r="L58" i="26"/>
  <c r="L50" i="26"/>
  <c r="M37" i="26"/>
  <c r="L33" i="26"/>
  <c r="M32" i="26"/>
  <c r="M46" i="26"/>
  <c r="L37" i="26"/>
  <c r="L32" i="26"/>
  <c r="M27" i="26"/>
  <c r="M44" i="26"/>
  <c r="L27" i="26"/>
  <c r="M41" i="26"/>
  <c r="M31" i="26"/>
  <c r="L31" i="26"/>
  <c r="M49" i="26"/>
  <c r="L42" i="26"/>
  <c r="M40" i="26"/>
  <c r="M35" i="26"/>
  <c r="M30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I4" i="26"/>
  <c r="M26" i="26"/>
  <c r="AL98" i="26"/>
  <c r="AJ96" i="26"/>
  <c r="AJ119" i="26"/>
  <c r="AJ120" i="26"/>
  <c r="AL122" i="26"/>
  <c r="AJ122" i="26"/>
  <c r="AJ104" i="26"/>
  <c r="AL109" i="26"/>
  <c r="AL114" i="26"/>
  <c r="L15" i="25"/>
  <c r="L19" i="25"/>
  <c r="M27" i="25"/>
  <c r="M59" i="25"/>
  <c r="M58" i="25"/>
  <c r="L53" i="25"/>
  <c r="M52" i="25"/>
  <c r="L56" i="25"/>
  <c r="M55" i="25"/>
  <c r="L58" i="25"/>
  <c r="L52" i="25"/>
  <c r="M47" i="25"/>
  <c r="L40" i="25"/>
  <c r="M39" i="25"/>
  <c r="L55" i="25"/>
  <c r="M50" i="25"/>
  <c r="L47" i="25"/>
  <c r="M46" i="25"/>
  <c r="L39" i="25"/>
  <c r="M38" i="25"/>
  <c r="L50" i="25"/>
  <c r="L46" i="25"/>
  <c r="M45" i="25"/>
  <c r="M54" i="25"/>
  <c r="L51" i="25"/>
  <c r="L43" i="25"/>
  <c r="M42" i="25"/>
  <c r="L59" i="25"/>
  <c r="M57" i="25"/>
  <c r="L54" i="25"/>
  <c r="M49" i="25"/>
  <c r="L42" i="25"/>
  <c r="M41" i="25"/>
  <c r="L48" i="25"/>
  <c r="L41" i="25"/>
  <c r="L38" i="25"/>
  <c r="M37" i="25"/>
  <c r="L35" i="25"/>
  <c r="M34" i="25"/>
  <c r="L27" i="25"/>
  <c r="M26" i="25"/>
  <c r="L37" i="25"/>
  <c r="L34" i="25"/>
  <c r="M33" i="25"/>
  <c r="L26" i="25"/>
  <c r="M25" i="25"/>
  <c r="M24" i="25"/>
  <c r="M23" i="25"/>
  <c r="M53" i="25"/>
  <c r="M51" i="25"/>
  <c r="L49" i="25"/>
  <c r="L33" i="25"/>
  <c r="M32" i="25"/>
  <c r="L44" i="25"/>
  <c r="L30" i="25"/>
  <c r="M29" i="25"/>
  <c r="M56" i="25"/>
  <c r="L45" i="25"/>
  <c r="M36" i="25"/>
  <c r="L29" i="25"/>
  <c r="M28" i="25"/>
  <c r="M44" i="25"/>
  <c r="M43" i="25"/>
  <c r="L28" i="25"/>
  <c r="L24" i="25"/>
  <c r="L23" i="25"/>
  <c r="M48" i="25"/>
  <c r="M31" i="25"/>
  <c r="M30" i="25"/>
  <c r="M35" i="25"/>
  <c r="L31" i="25"/>
  <c r="L25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6" i="25"/>
  <c r="L7" i="25"/>
  <c r="L8" i="25"/>
  <c r="L9" i="25"/>
  <c r="I4" i="25"/>
  <c r="M7" i="25"/>
  <c r="M8" i="25"/>
  <c r="M9" i="25"/>
  <c r="L13" i="25"/>
  <c r="L17" i="25"/>
  <c r="L21" i="25"/>
  <c r="L57" i="25"/>
  <c r="AU5" i="25"/>
  <c r="L12" i="25"/>
  <c r="L16" i="25"/>
  <c r="L20" i="25"/>
  <c r="L32" i="25"/>
  <c r="AJ101" i="25"/>
  <c r="AJ104" i="25"/>
  <c r="AL106" i="25"/>
  <c r="AL93" i="25"/>
  <c r="AJ111" i="25"/>
  <c r="AL101" i="25"/>
  <c r="AL104" i="25"/>
  <c r="AJ119" i="25"/>
  <c r="AJ93" i="25"/>
  <c r="AJ96" i="25"/>
  <c r="AL98" i="25"/>
  <c r="AJ103" i="25"/>
  <c r="AJ117" i="25"/>
  <c r="AJ120" i="25"/>
  <c r="AL122" i="25"/>
  <c r="L58" i="24"/>
  <c r="M57" i="24"/>
  <c r="L50" i="24"/>
  <c r="M49" i="24"/>
  <c r="L57" i="24"/>
  <c r="M56" i="24"/>
  <c r="M59" i="24"/>
  <c r="L54" i="24"/>
  <c r="M53" i="24"/>
  <c r="L59" i="24"/>
  <c r="L53" i="24"/>
  <c r="M51" i="24"/>
  <c r="L48" i="24"/>
  <c r="L45" i="24"/>
  <c r="M44" i="24"/>
  <c r="L37" i="24"/>
  <c r="M58" i="24"/>
  <c r="L51" i="24"/>
  <c r="M46" i="24"/>
  <c r="L44" i="24"/>
  <c r="M43" i="24"/>
  <c r="M52" i="24"/>
  <c r="L46" i="24"/>
  <c r="L43" i="24"/>
  <c r="M42" i="24"/>
  <c r="L35" i="24"/>
  <c r="L52" i="24"/>
  <c r="L49" i="24"/>
  <c r="L42" i="24"/>
  <c r="M41" i="24"/>
  <c r="M55" i="24"/>
  <c r="L47" i="24"/>
  <c r="L40" i="24"/>
  <c r="M39" i="24"/>
  <c r="L55" i="24"/>
  <c r="M50" i="24"/>
  <c r="L39" i="24"/>
  <c r="M38" i="24"/>
  <c r="M48" i="24"/>
  <c r="M40" i="24"/>
  <c r="L28" i="24"/>
  <c r="M27" i="24"/>
  <c r="L56" i="24"/>
  <c r="M47" i="24"/>
  <c r="M34" i="24"/>
  <c r="L27" i="24"/>
  <c r="M26" i="24"/>
  <c r="M36" i="24"/>
  <c r="L34" i="24"/>
  <c r="M33" i="24"/>
  <c r="L26" i="24"/>
  <c r="M25" i="24"/>
  <c r="M24" i="24"/>
  <c r="M23" i="24"/>
  <c r="M22" i="24"/>
  <c r="M21" i="24"/>
  <c r="M20" i="24"/>
  <c r="M19" i="24"/>
  <c r="M45" i="24"/>
  <c r="L36" i="24"/>
  <c r="M35" i="24"/>
  <c r="L33" i="24"/>
  <c r="M32" i="24"/>
  <c r="L25" i="24"/>
  <c r="L24" i="24"/>
  <c r="L23" i="24"/>
  <c r="L22" i="24"/>
  <c r="L21" i="24"/>
  <c r="L41" i="24"/>
  <c r="L31" i="24"/>
  <c r="M30" i="24"/>
  <c r="M54" i="24"/>
  <c r="L30" i="24"/>
  <c r="M29" i="24"/>
  <c r="L6" i="24"/>
  <c r="M31" i="24"/>
  <c r="M37" i="24"/>
  <c r="I4" i="24"/>
  <c r="M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M28" i="24"/>
  <c r="L32" i="24"/>
  <c r="L29" i="24"/>
  <c r="L20" i="24"/>
  <c r="L38" i="24"/>
  <c r="AL91" i="24"/>
  <c r="AJ106" i="24"/>
  <c r="AL101" i="24"/>
  <c r="AJ107" i="24"/>
  <c r="AL112" i="24"/>
  <c r="AJ90" i="24"/>
  <c r="AL96" i="24"/>
  <c r="AL106" i="24"/>
  <c r="AL122" i="24"/>
  <c r="AJ122" i="24"/>
  <c r="AJ98" i="24"/>
  <c r="AL117" i="24"/>
  <c r="AJ112" i="24"/>
  <c r="AL114" i="24"/>
  <c r="AL90" i="24"/>
  <c r="AJ99" i="24"/>
  <c r="AL104" i="24"/>
  <c r="AJ120" i="24"/>
  <c r="AJ124" i="24"/>
  <c r="M59" i="23"/>
  <c r="L55" i="23"/>
  <c r="M54" i="23"/>
  <c r="L51" i="23"/>
  <c r="M50" i="23"/>
  <c r="M58" i="23"/>
  <c r="M57" i="23"/>
  <c r="L50" i="23"/>
  <c r="M49" i="23"/>
  <c r="M53" i="23"/>
  <c r="L52" i="23"/>
  <c r="L48" i="23"/>
  <c r="L40" i="23"/>
  <c r="M39" i="23"/>
  <c r="L54" i="23"/>
  <c r="L44" i="23"/>
  <c r="M43" i="23"/>
  <c r="L36" i="23"/>
  <c r="M35" i="23"/>
  <c r="M47" i="23"/>
  <c r="L43" i="23"/>
  <c r="M42" i="23"/>
  <c r="L59" i="23"/>
  <c r="L47" i="23"/>
  <c r="M40" i="23"/>
  <c r="L53" i="23"/>
  <c r="M48" i="23"/>
  <c r="M45" i="23"/>
  <c r="M44" i="23"/>
  <c r="M41" i="23"/>
  <c r="M34" i="23"/>
  <c r="L31" i="23"/>
  <c r="L30" i="23"/>
  <c r="M29" i="23"/>
  <c r="M55" i="23"/>
  <c r="M46" i="23"/>
  <c r="L45" i="23"/>
  <c r="L41" i="23"/>
  <c r="M37" i="23"/>
  <c r="L57" i="23"/>
  <c r="M56" i="23"/>
  <c r="L49" i="23"/>
  <c r="L46" i="23"/>
  <c r="L42" i="23"/>
  <c r="L37" i="23"/>
  <c r="M32" i="23"/>
  <c r="L58" i="23"/>
  <c r="L56" i="23"/>
  <c r="L39" i="23"/>
  <c r="M38" i="23"/>
  <c r="M28" i="23"/>
  <c r="M36" i="23"/>
  <c r="M31" i="23"/>
  <c r="L28" i="23"/>
  <c r="M27" i="23"/>
  <c r="M51" i="23"/>
  <c r="L35" i="23"/>
  <c r="M33" i="23"/>
  <c r="L26" i="23"/>
  <c r="M25" i="23"/>
  <c r="M24" i="23"/>
  <c r="M52" i="23"/>
  <c r="M30" i="23"/>
  <c r="L21" i="23"/>
  <c r="M20" i="23"/>
  <c r="L32" i="23"/>
  <c r="L24" i="23"/>
  <c r="M22" i="23"/>
  <c r="L20" i="23"/>
  <c r="M16" i="23"/>
  <c r="M15" i="23"/>
  <c r="M14" i="23"/>
  <c r="M13" i="23"/>
  <c r="M12" i="23"/>
  <c r="M11" i="23"/>
  <c r="M10" i="23"/>
  <c r="M9" i="23"/>
  <c r="M8" i="23"/>
  <c r="M7" i="23"/>
  <c r="AU5" i="23"/>
  <c r="L38" i="23"/>
  <c r="L29" i="23"/>
  <c r="L22" i="23"/>
  <c r="M19" i="23"/>
  <c r="L16" i="23"/>
  <c r="L15" i="23"/>
  <c r="L14" i="23"/>
  <c r="L13" i="23"/>
  <c r="L12" i="23"/>
  <c r="L11" i="23"/>
  <c r="L10" i="23"/>
  <c r="L9" i="23"/>
  <c r="L8" i="23"/>
  <c r="L7" i="23"/>
  <c r="M6" i="23"/>
  <c r="L34" i="23"/>
  <c r="L27" i="23"/>
  <c r="M23" i="23"/>
  <c r="L19" i="23"/>
  <c r="M26" i="23"/>
  <c r="L23" i="23"/>
  <c r="M18" i="23"/>
  <c r="L18" i="23"/>
  <c r="L6" i="23"/>
  <c r="L17" i="23"/>
  <c r="M21" i="23"/>
  <c r="M17" i="23"/>
  <c r="L25" i="23"/>
  <c r="L33" i="23"/>
  <c r="AM92" i="25" l="1"/>
  <c r="AO92" i="25" s="1"/>
  <c r="AM119" i="26"/>
  <c r="AO119" i="26" s="1"/>
  <c r="AM95" i="26"/>
  <c r="AO95" i="26" s="1"/>
  <c r="AM105" i="26"/>
  <c r="AO105" i="26" s="1"/>
  <c r="AM116" i="25"/>
  <c r="AO116" i="25" s="1"/>
  <c r="AM124" i="25"/>
  <c r="AO124" i="25" s="1"/>
  <c r="AM96" i="24"/>
  <c r="AO96" i="24" s="1"/>
  <c r="AM99" i="24"/>
  <c r="AO99" i="24" s="1"/>
  <c r="AM116" i="24"/>
  <c r="AO116" i="24" s="1"/>
  <c r="AM124" i="24"/>
  <c r="AO124" i="24" s="1"/>
  <c r="AM96" i="25"/>
  <c r="AO96" i="25" s="1"/>
  <c r="AM118" i="24"/>
  <c r="AO118" i="24" s="1"/>
  <c r="AM113" i="26"/>
  <c r="AO113" i="26" s="1"/>
  <c r="AM124" i="26"/>
  <c r="AO124" i="26" s="1"/>
  <c r="AM114" i="26"/>
  <c r="AO114" i="26" s="1"/>
  <c r="AM106" i="26"/>
  <c r="AO106" i="26" s="1"/>
  <c r="AM102" i="26"/>
  <c r="AO102" i="26" s="1"/>
  <c r="AM121" i="26"/>
  <c r="AO121" i="26" s="1"/>
  <c r="AM110" i="26"/>
  <c r="AO110" i="26" s="1"/>
  <c r="AM107" i="26"/>
  <c r="AO107" i="26" s="1"/>
  <c r="AM91" i="26"/>
  <c r="AO91" i="26" s="1"/>
  <c r="AM104" i="26"/>
  <c r="AO104" i="26" s="1"/>
  <c r="AM100" i="26"/>
  <c r="AO100" i="26" s="1"/>
  <c r="AM116" i="26"/>
  <c r="AO116" i="26" s="1"/>
  <c r="AM120" i="26"/>
  <c r="AO120" i="26" s="1"/>
  <c r="AM99" i="26"/>
  <c r="AO99" i="26" s="1"/>
  <c r="AM112" i="26"/>
  <c r="AO112" i="26" s="1"/>
  <c r="AM96" i="26"/>
  <c r="AO96" i="26" s="1"/>
  <c r="AM98" i="26"/>
  <c r="AO98" i="26" s="1"/>
  <c r="AM103" i="26"/>
  <c r="AO103" i="26" s="1"/>
  <c r="AM108" i="26"/>
  <c r="AO108" i="26" s="1"/>
  <c r="AM117" i="26"/>
  <c r="AO117" i="26" s="1"/>
  <c r="AM109" i="26"/>
  <c r="AO109" i="26" s="1"/>
  <c r="AM94" i="26"/>
  <c r="AO94" i="26" s="1"/>
  <c r="AM118" i="26"/>
  <c r="AO118" i="26" s="1"/>
  <c r="AM103" i="25"/>
  <c r="AO103" i="25" s="1"/>
  <c r="AM91" i="25"/>
  <c r="AO91" i="25" s="1"/>
  <c r="AM102" i="25"/>
  <c r="AO102" i="25" s="1"/>
  <c r="AM100" i="25"/>
  <c r="AO100" i="25" s="1"/>
  <c r="AM107" i="25"/>
  <c r="AO107" i="25" s="1"/>
  <c r="AM112" i="25"/>
  <c r="AO112" i="25" s="1"/>
  <c r="AM94" i="25"/>
  <c r="AO94" i="25" s="1"/>
  <c r="AM114" i="25"/>
  <c r="AO114" i="25" s="1"/>
  <c r="AM113" i="25"/>
  <c r="AO113" i="25" s="1"/>
  <c r="AM98" i="25"/>
  <c r="AO98" i="25" s="1"/>
  <c r="AM111" i="25"/>
  <c r="AO111" i="25" s="1"/>
  <c r="AM108" i="25"/>
  <c r="AO108" i="25" s="1"/>
  <c r="AM111" i="26"/>
  <c r="AO111" i="26" s="1"/>
  <c r="AM90" i="26"/>
  <c r="AO90" i="26" s="1"/>
  <c r="AM90" i="25"/>
  <c r="AO90" i="25" s="1"/>
  <c r="AM98" i="24"/>
  <c r="AO98" i="24" s="1"/>
  <c r="AM104" i="24"/>
  <c r="AO104" i="24" s="1"/>
  <c r="AM120" i="24"/>
  <c r="AO120" i="24" s="1"/>
  <c r="AM109" i="24"/>
  <c r="AO109" i="24" s="1"/>
  <c r="AM107" i="24"/>
  <c r="AO107" i="24" s="1"/>
  <c r="AM91" i="24"/>
  <c r="AO91" i="24" s="1"/>
  <c r="AM108" i="24"/>
  <c r="AO108" i="24" s="1"/>
  <c r="AM100" i="24"/>
  <c r="AO100" i="24" s="1"/>
  <c r="AM103" i="24"/>
  <c r="AO103" i="24" s="1"/>
  <c r="AM102" i="24"/>
  <c r="AO102" i="24" s="1"/>
  <c r="AM113" i="24"/>
  <c r="AO113" i="24" s="1"/>
  <c r="AM111" i="24"/>
  <c r="AO111" i="24" s="1"/>
  <c r="AM93" i="24"/>
  <c r="AO93" i="24" s="1"/>
  <c r="AM105" i="24"/>
  <c r="AO105" i="24" s="1"/>
  <c r="AM95" i="24"/>
  <c r="AO95" i="24" s="1"/>
  <c r="AM119" i="24"/>
  <c r="AO119" i="24" s="1"/>
  <c r="AM114" i="24"/>
  <c r="AO114" i="24" s="1"/>
  <c r="AM97" i="24"/>
  <c r="AO97" i="24" s="1"/>
  <c r="AM92" i="24"/>
  <c r="AO92" i="24" s="1"/>
  <c r="AM110" i="24"/>
  <c r="AO110" i="24" s="1"/>
  <c r="AM101" i="24"/>
  <c r="AO101" i="24" s="1"/>
  <c r="AM115" i="24"/>
  <c r="AO115" i="24" s="1"/>
  <c r="AM117" i="24"/>
  <c r="AO117" i="24" s="1"/>
  <c r="AM123" i="24"/>
  <c r="AO123" i="24" s="1"/>
  <c r="AM120" i="25"/>
  <c r="AO120" i="25" s="1"/>
  <c r="AM117" i="25"/>
  <c r="AO117" i="25" s="1"/>
  <c r="AM99" i="25"/>
  <c r="AO99" i="25" s="1"/>
  <c r="AM123" i="25"/>
  <c r="AO123" i="25" s="1"/>
  <c r="AM109" i="25"/>
  <c r="AO109" i="25" s="1"/>
  <c r="AM110" i="25"/>
  <c r="AO110" i="25" s="1"/>
  <c r="AM95" i="25"/>
  <c r="AO95" i="25" s="1"/>
  <c r="AM122" i="25"/>
  <c r="AO122" i="25" s="1"/>
  <c r="AM119" i="25"/>
  <c r="AO119" i="25" s="1"/>
  <c r="AM121" i="25"/>
  <c r="AO121" i="25" s="1"/>
  <c r="AM97" i="25"/>
  <c r="AO97" i="25" s="1"/>
  <c r="AM93" i="25"/>
  <c r="AO93" i="25" s="1"/>
  <c r="AM106" i="25"/>
  <c r="AO106" i="25" s="1"/>
  <c r="AM118" i="25"/>
  <c r="AO118" i="25" s="1"/>
  <c r="AM105" i="25"/>
  <c r="AO105" i="25" s="1"/>
  <c r="AM115" i="26"/>
  <c r="AO115" i="26" s="1"/>
  <c r="AM92" i="26"/>
  <c r="AO92" i="26" s="1"/>
  <c r="AM101" i="26"/>
  <c r="AO101" i="26" s="1"/>
  <c r="AM101" i="25"/>
  <c r="AO101" i="25" s="1"/>
  <c r="AM115" i="25"/>
  <c r="AO115" i="25" s="1"/>
  <c r="AM122" i="24"/>
  <c r="AO122" i="24" s="1"/>
  <c r="AM121" i="24"/>
  <c r="AO121" i="24" s="1"/>
  <c r="AM112" i="24"/>
  <c r="AO112" i="24" s="1"/>
  <c r="AM122" i="26"/>
  <c r="AO122" i="26" s="1"/>
  <c r="X4" i="26"/>
  <c r="U5" i="26" s="1"/>
  <c r="X4" i="25"/>
  <c r="U5" i="25" s="1"/>
  <c r="AM104" i="25"/>
  <c r="AO104" i="25" s="1"/>
  <c r="X4" i="24"/>
  <c r="U5" i="24" s="1"/>
  <c r="AM90" i="24"/>
  <c r="AO90" i="24" s="1"/>
  <c r="AM106" i="24"/>
  <c r="AO106" i="24" s="1"/>
  <c r="E6" i="24"/>
  <c r="X4" i="23"/>
  <c r="U5" i="23" s="1"/>
  <c r="V5" i="23" s="1"/>
  <c r="AH5" i="23" s="1"/>
  <c r="AV5" i="23"/>
  <c r="AC4" i="26" l="1"/>
  <c r="AA5" i="26" s="1"/>
  <c r="AC4" i="25"/>
  <c r="AA5" i="25" s="1"/>
  <c r="AE4" i="25"/>
  <c r="AG4" i="25"/>
  <c r="AE4" i="24"/>
  <c r="AG4" i="24"/>
  <c r="AE4" i="23"/>
  <c r="AC4" i="23"/>
  <c r="AA5" i="23" s="1"/>
  <c r="AF4" i="23"/>
  <c r="AG4" i="23"/>
  <c r="V5" i="26"/>
  <c r="AH5" i="26" s="1"/>
  <c r="AV5" i="26"/>
  <c r="AF4" i="26"/>
  <c r="AG4" i="26"/>
  <c r="AE4" i="26"/>
  <c r="V5" i="25"/>
  <c r="AH5" i="25" s="1"/>
  <c r="AV5" i="25"/>
  <c r="AF4" i="25"/>
  <c r="AF4" i="24"/>
  <c r="AV5" i="24"/>
  <c r="V5" i="24"/>
  <c r="AH5" i="24" s="1"/>
  <c r="AC4" i="24"/>
  <c r="AU6" i="23"/>
  <c r="W5" i="23"/>
  <c r="X5" i="23" s="1"/>
  <c r="AN4" i="26" l="1"/>
  <c r="AN4" i="25"/>
  <c r="AF129" i="23"/>
  <c r="AJ4" i="23"/>
  <c r="AN4" i="23"/>
  <c r="AF133" i="23"/>
  <c r="AF131" i="23"/>
  <c r="W5" i="26"/>
  <c r="X5" i="26" s="1"/>
  <c r="AG5" i="26" s="1"/>
  <c r="W5" i="25"/>
  <c r="X5" i="25" s="1"/>
  <c r="U6" i="25" s="1"/>
  <c r="AU6" i="26"/>
  <c r="AF129" i="26"/>
  <c r="AF131" i="26"/>
  <c r="AF133" i="26"/>
  <c r="AJ4" i="26"/>
  <c r="AF129" i="25"/>
  <c r="AF131" i="25"/>
  <c r="AF133" i="25"/>
  <c r="AU6" i="25"/>
  <c r="AJ4" i="25"/>
  <c r="AF129" i="24"/>
  <c r="AF131" i="24"/>
  <c r="AF133" i="24"/>
  <c r="W5" i="24"/>
  <c r="X5" i="24" s="1"/>
  <c r="AA5" i="24"/>
  <c r="AN4" i="24"/>
  <c r="AJ4" i="24"/>
  <c r="AU6" i="24"/>
  <c r="U6" i="23"/>
  <c r="AG5" i="23"/>
  <c r="AC5" i="23"/>
  <c r="AE5" i="23"/>
  <c r="AV6" i="23"/>
  <c r="AC5" i="26" l="1"/>
  <c r="AN5" i="26" s="1"/>
  <c r="AE5" i="26"/>
  <c r="U6" i="26"/>
  <c r="V6" i="26" s="1"/>
  <c r="AH6" i="26" s="1"/>
  <c r="AC5" i="25"/>
  <c r="AA6" i="25" s="1"/>
  <c r="AG5" i="25"/>
  <c r="AE5" i="25"/>
  <c r="AV6" i="26"/>
  <c r="AU7" i="26" s="1"/>
  <c r="AV6" i="25"/>
  <c r="AU7" i="25" s="1"/>
  <c r="V6" i="25"/>
  <c r="AH6" i="25" s="1"/>
  <c r="AE5" i="24"/>
  <c r="AG5" i="24"/>
  <c r="AC5" i="24"/>
  <c r="AA6" i="24" s="1"/>
  <c r="U6" i="24"/>
  <c r="AV6" i="24"/>
  <c r="AU7" i="24" s="1"/>
  <c r="AA6" i="23"/>
  <c r="AN5" i="23"/>
  <c r="V6" i="23"/>
  <c r="AH6" i="23" s="1"/>
  <c r="AU7" i="23"/>
  <c r="AN5" i="25" l="1"/>
  <c r="AA6" i="26"/>
  <c r="W6" i="25"/>
  <c r="X6" i="25" s="1"/>
  <c r="AE6" i="25" s="1"/>
  <c r="AN5" i="24"/>
  <c r="W6" i="23"/>
  <c r="X6" i="23" s="1"/>
  <c r="AV7" i="26"/>
  <c r="W6" i="26"/>
  <c r="X6" i="26" s="1"/>
  <c r="AV7" i="25"/>
  <c r="AU8" i="25" s="1"/>
  <c r="AV7" i="24"/>
  <c r="V6" i="24"/>
  <c r="AH6" i="24" s="1"/>
  <c r="AV7" i="23"/>
  <c r="U7" i="25" l="1"/>
  <c r="V7" i="25" s="1"/>
  <c r="AH7" i="25" s="1"/>
  <c r="AG6" i="25"/>
  <c r="AC6" i="25"/>
  <c r="AA7" i="25" s="1"/>
  <c r="U7" i="26"/>
  <c r="AE6" i="26"/>
  <c r="AC6" i="26"/>
  <c r="AG6" i="26"/>
  <c r="AU8" i="26"/>
  <c r="AV8" i="25"/>
  <c r="AU9" i="25" s="1"/>
  <c r="AU8" i="24"/>
  <c r="W6" i="24"/>
  <c r="X6" i="24" s="1"/>
  <c r="AU8" i="23"/>
  <c r="U7" i="23"/>
  <c r="AE6" i="23"/>
  <c r="AG6" i="23"/>
  <c r="AC6" i="23"/>
  <c r="AN6" i="25" l="1"/>
  <c r="W7" i="25"/>
  <c r="X7" i="25" s="1"/>
  <c r="AC7" i="25" s="1"/>
  <c r="AV8" i="26"/>
  <c r="AA7" i="26"/>
  <c r="AN6" i="26"/>
  <c r="V7" i="26"/>
  <c r="AH7" i="26" s="1"/>
  <c r="AV9" i="25"/>
  <c r="AU10" i="25" s="1"/>
  <c r="AG6" i="24"/>
  <c r="AE6" i="24"/>
  <c r="U7" i="24"/>
  <c r="AC6" i="24"/>
  <c r="AV8" i="24"/>
  <c r="V7" i="23"/>
  <c r="AH7" i="23" s="1"/>
  <c r="AA7" i="23"/>
  <c r="AN6" i="23"/>
  <c r="AV8" i="23"/>
  <c r="W7" i="26" l="1"/>
  <c r="X7" i="26" s="1"/>
  <c r="AG7" i="26" s="1"/>
  <c r="U8" i="25"/>
  <c r="V8" i="25" s="1"/>
  <c r="AH8" i="25" s="1"/>
  <c r="AU9" i="23"/>
  <c r="AV9" i="23" s="1"/>
  <c r="AU10" i="23" s="1"/>
  <c r="AE7" i="25"/>
  <c r="AG7" i="25"/>
  <c r="W7" i="23"/>
  <c r="X7" i="23" s="1"/>
  <c r="AC7" i="23" s="1"/>
  <c r="AU9" i="26"/>
  <c r="AV10" i="25"/>
  <c r="AA8" i="25"/>
  <c r="AN7" i="25"/>
  <c r="AU9" i="24"/>
  <c r="AA7" i="24"/>
  <c r="AN6" i="24"/>
  <c r="V7" i="24"/>
  <c r="AH7" i="24" s="1"/>
  <c r="U8" i="26" l="1"/>
  <c r="V8" i="26" s="1"/>
  <c r="AH8" i="26" s="1"/>
  <c r="AC7" i="26"/>
  <c r="AE7" i="26"/>
  <c r="AE7" i="23"/>
  <c r="AG7" i="23"/>
  <c r="AA8" i="23"/>
  <c r="AN7" i="23"/>
  <c r="U8" i="23"/>
  <c r="V8" i="23" s="1"/>
  <c r="AH8" i="23" s="1"/>
  <c r="AV9" i="26"/>
  <c r="W8" i="25"/>
  <c r="X8" i="25" s="1"/>
  <c r="AU11" i="25"/>
  <c r="W7" i="24"/>
  <c r="X7" i="24" s="1"/>
  <c r="AV9" i="24"/>
  <c r="AV10" i="23"/>
  <c r="AU11" i="23" s="1"/>
  <c r="AA8" i="26" l="1"/>
  <c r="AN7" i="26"/>
  <c r="AU10" i="26"/>
  <c r="W8" i="26"/>
  <c r="X8" i="26" s="1"/>
  <c r="AV11" i="25"/>
  <c r="AU12" i="25" s="1"/>
  <c r="AG8" i="25"/>
  <c r="AE8" i="25"/>
  <c r="U9" i="25"/>
  <c r="AC8" i="25"/>
  <c r="AG7" i="24"/>
  <c r="AC7" i="24"/>
  <c r="U8" i="24"/>
  <c r="AE7" i="24"/>
  <c r="AU10" i="24"/>
  <c r="AV11" i="23"/>
  <c r="AU12" i="23" s="1"/>
  <c r="W8" i="23"/>
  <c r="X8" i="23" s="1"/>
  <c r="U9" i="26" l="1"/>
  <c r="AE8" i="26"/>
  <c r="AG8" i="26"/>
  <c r="AC8" i="26"/>
  <c r="AV10" i="26"/>
  <c r="AU11" i="26" s="1"/>
  <c r="AV12" i="25"/>
  <c r="AU13" i="25" s="1"/>
  <c r="AA9" i="25"/>
  <c r="AN8" i="25"/>
  <c r="V9" i="25"/>
  <c r="AH9" i="25" s="1"/>
  <c r="AV10" i="24"/>
  <c r="AU11" i="24" s="1"/>
  <c r="V8" i="24"/>
  <c r="AH8" i="24" s="1"/>
  <c r="AA8" i="24"/>
  <c r="AN7" i="24"/>
  <c r="AV12" i="23"/>
  <c r="AU13" i="23" s="1"/>
  <c r="U9" i="23"/>
  <c r="AG8" i="23"/>
  <c r="AE8" i="23"/>
  <c r="AC8" i="23"/>
  <c r="W8" i="24" l="1"/>
  <c r="X8" i="24" s="1"/>
  <c r="AV11" i="26"/>
  <c r="AU12" i="26" s="1"/>
  <c r="V9" i="26"/>
  <c r="AH9" i="26" s="1"/>
  <c r="AA9" i="26"/>
  <c r="AN8" i="26"/>
  <c r="AV13" i="25"/>
  <c r="AU14" i="25" s="1"/>
  <c r="W9" i="25"/>
  <c r="X9" i="25" s="1"/>
  <c r="AV11" i="24"/>
  <c r="AU12" i="24" s="1"/>
  <c r="AV13" i="23"/>
  <c r="AU14" i="23" s="1"/>
  <c r="AA9" i="23"/>
  <c r="AN8" i="23"/>
  <c r="V9" i="23"/>
  <c r="AH9" i="23" s="1"/>
  <c r="W9" i="23" l="1"/>
  <c r="X9" i="23" s="1"/>
  <c r="AV12" i="26"/>
  <c r="AU13" i="26" s="1"/>
  <c r="W9" i="26"/>
  <c r="X9" i="26" s="1"/>
  <c r="AV14" i="25"/>
  <c r="AU15" i="25" s="1"/>
  <c r="AE9" i="25"/>
  <c r="U10" i="25"/>
  <c r="AG9" i="25"/>
  <c r="AC9" i="25"/>
  <c r="AV12" i="24"/>
  <c r="AU13" i="24" s="1"/>
  <c r="AG8" i="24"/>
  <c r="AE8" i="24"/>
  <c r="U9" i="24"/>
  <c r="AC8" i="24"/>
  <c r="AV14" i="23"/>
  <c r="AU15" i="23" s="1"/>
  <c r="AE9" i="23" l="1"/>
  <c r="U10" i="23"/>
  <c r="V10" i="23" s="1"/>
  <c r="AH10" i="23" s="1"/>
  <c r="AG9" i="23"/>
  <c r="AC9" i="23"/>
  <c r="AA10" i="23" s="1"/>
  <c r="AV13" i="26"/>
  <c r="AU14" i="26" s="1"/>
  <c r="AE9" i="26"/>
  <c r="U10" i="26"/>
  <c r="AG9" i="26"/>
  <c r="AC9" i="26"/>
  <c r="AV15" i="25"/>
  <c r="AU16" i="25" s="1"/>
  <c r="AA10" i="25"/>
  <c r="AN9" i="25"/>
  <c r="V10" i="25"/>
  <c r="AH10" i="25" s="1"/>
  <c r="AV13" i="24"/>
  <c r="AU14" i="24" s="1"/>
  <c r="AA9" i="24"/>
  <c r="AN8" i="24"/>
  <c r="V9" i="24"/>
  <c r="AH9" i="24" s="1"/>
  <c r="AV15" i="23"/>
  <c r="AU16" i="23" s="1"/>
  <c r="AN9" i="23" l="1"/>
  <c r="AV14" i="26"/>
  <c r="AU15" i="26" s="1"/>
  <c r="AA10" i="26"/>
  <c r="AN9" i="26"/>
  <c r="V10" i="26"/>
  <c r="AH10" i="26" s="1"/>
  <c r="AV16" i="25"/>
  <c r="AU17" i="25" s="1"/>
  <c r="W10" i="25"/>
  <c r="X10" i="25" s="1"/>
  <c r="AV14" i="24"/>
  <c r="AU15" i="24" s="1"/>
  <c r="W9" i="24"/>
  <c r="X9" i="24" s="1"/>
  <c r="AV16" i="23"/>
  <c r="AU17" i="23" s="1"/>
  <c r="W10" i="23"/>
  <c r="X10" i="23" s="1"/>
  <c r="AV15" i="26" l="1"/>
  <c r="AU16" i="26" s="1"/>
  <c r="W10" i="26"/>
  <c r="X10" i="26" s="1"/>
  <c r="AC10" i="25"/>
  <c r="AE10" i="25"/>
  <c r="AG10" i="25"/>
  <c r="U11" i="25"/>
  <c r="AV17" i="25"/>
  <c r="AU18" i="25" s="1"/>
  <c r="AV15" i="24"/>
  <c r="AU16" i="24" s="1"/>
  <c r="AG9" i="24"/>
  <c r="AC9" i="24"/>
  <c r="U10" i="24"/>
  <c r="AE9" i="24"/>
  <c r="AV17" i="23"/>
  <c r="AU18" i="23" s="1"/>
  <c r="AG10" i="23"/>
  <c r="U11" i="23"/>
  <c r="AE10" i="23"/>
  <c r="AC10" i="23"/>
  <c r="AV16" i="26" l="1"/>
  <c r="AU17" i="26" s="1"/>
  <c r="U11" i="26"/>
  <c r="AE10" i="26"/>
  <c r="AG10" i="26"/>
  <c r="AC10" i="26"/>
  <c r="AV18" i="25"/>
  <c r="AU19" i="25" s="1"/>
  <c r="V11" i="25"/>
  <c r="AH11" i="25" s="1"/>
  <c r="AA11" i="25"/>
  <c r="AN10" i="25"/>
  <c r="AV16" i="24"/>
  <c r="AU17" i="24" s="1"/>
  <c r="V10" i="24"/>
  <c r="AH10" i="24" s="1"/>
  <c r="AA10" i="24"/>
  <c r="AN9" i="24"/>
  <c r="AA11" i="23"/>
  <c r="AN10" i="23"/>
  <c r="V11" i="23"/>
  <c r="AH11" i="23" s="1"/>
  <c r="AV18" i="23"/>
  <c r="AU19" i="23" s="1"/>
  <c r="W11" i="23" l="1"/>
  <c r="X11" i="23" s="1"/>
  <c r="AV17" i="26"/>
  <c r="AU18" i="26" s="1"/>
  <c r="AA11" i="26"/>
  <c r="AN10" i="26"/>
  <c r="V11" i="26"/>
  <c r="AH11" i="26" s="1"/>
  <c r="AV19" i="25"/>
  <c r="AU20" i="25" s="1"/>
  <c r="W11" i="25"/>
  <c r="X11" i="25" s="1"/>
  <c r="AV17" i="24"/>
  <c r="AU18" i="24" s="1"/>
  <c r="W10" i="24"/>
  <c r="X10" i="24" s="1"/>
  <c r="AV19" i="23"/>
  <c r="AU20" i="23" s="1"/>
  <c r="AV18" i="26" l="1"/>
  <c r="AU19" i="26" s="1"/>
  <c r="W11" i="26"/>
  <c r="X11" i="26" s="1"/>
  <c r="AV20" i="25"/>
  <c r="AU21" i="25" s="1"/>
  <c r="U12" i="25"/>
  <c r="AE11" i="25"/>
  <c r="AC11" i="25"/>
  <c r="AG11" i="25"/>
  <c r="AV18" i="24"/>
  <c r="AU19" i="24" s="1"/>
  <c r="AG10" i="24"/>
  <c r="AC10" i="24"/>
  <c r="AE10" i="24"/>
  <c r="U11" i="24"/>
  <c r="AV20" i="23"/>
  <c r="AU21" i="23" s="1"/>
  <c r="AE11" i="23"/>
  <c r="U12" i="23"/>
  <c r="AG11" i="23"/>
  <c r="AC11" i="23"/>
  <c r="AV19" i="26" l="1"/>
  <c r="AU20" i="26" s="1"/>
  <c r="AE11" i="26"/>
  <c r="U12" i="26"/>
  <c r="AG11" i="26"/>
  <c r="AC11" i="26"/>
  <c r="AV21" i="25"/>
  <c r="AU22" i="25" s="1"/>
  <c r="AA12" i="25"/>
  <c r="AN11" i="25"/>
  <c r="V12" i="25"/>
  <c r="AH12" i="25" s="1"/>
  <c r="V11" i="24"/>
  <c r="AH11" i="24" s="1"/>
  <c r="AV19" i="24"/>
  <c r="AU20" i="24" s="1"/>
  <c r="AA11" i="24"/>
  <c r="AN10" i="24"/>
  <c r="AV21" i="23"/>
  <c r="AU22" i="23" s="1"/>
  <c r="AA12" i="23"/>
  <c r="AN11" i="23"/>
  <c r="V12" i="23"/>
  <c r="AH12" i="23" s="1"/>
  <c r="AA12" i="26" l="1"/>
  <c r="AN11" i="26"/>
  <c r="AV20" i="26"/>
  <c r="AU21" i="26" s="1"/>
  <c r="V12" i="26"/>
  <c r="AH12" i="26" s="1"/>
  <c r="AV22" i="25"/>
  <c r="AU23" i="25" s="1"/>
  <c r="W12" i="25"/>
  <c r="X12" i="25" s="1"/>
  <c r="AV20" i="24"/>
  <c r="AU21" i="24" s="1"/>
  <c r="W11" i="24"/>
  <c r="X11" i="24" s="1"/>
  <c r="AV22" i="23"/>
  <c r="AU23" i="23" s="1"/>
  <c r="W12" i="23"/>
  <c r="X12" i="23" s="1"/>
  <c r="W12" i="26" l="1"/>
  <c r="X12" i="26" s="1"/>
  <c r="AV21" i="26"/>
  <c r="AU22" i="26" s="1"/>
  <c r="AV23" i="25"/>
  <c r="AU24" i="25" s="1"/>
  <c r="U13" i="25"/>
  <c r="AG12" i="25"/>
  <c r="AE12" i="25"/>
  <c r="AC12" i="25"/>
  <c r="AV21" i="24"/>
  <c r="AU22" i="24" s="1"/>
  <c r="AG11" i="24"/>
  <c r="AC11" i="24"/>
  <c r="U12" i="24"/>
  <c r="AE11" i="24"/>
  <c r="AV23" i="23"/>
  <c r="AU24" i="23" s="1"/>
  <c r="AG12" i="23"/>
  <c r="U13" i="23"/>
  <c r="AC12" i="23"/>
  <c r="AE12" i="23"/>
  <c r="AV22" i="26" l="1"/>
  <c r="AU23" i="26" s="1"/>
  <c r="U13" i="26"/>
  <c r="AE12" i="26"/>
  <c r="AG12" i="26"/>
  <c r="AC12" i="26"/>
  <c r="AV24" i="25"/>
  <c r="AU25" i="25" s="1"/>
  <c r="AA13" i="25"/>
  <c r="AN12" i="25"/>
  <c r="V13" i="25"/>
  <c r="AH13" i="25" s="1"/>
  <c r="AV22" i="24"/>
  <c r="AU23" i="24" s="1"/>
  <c r="V12" i="24"/>
  <c r="AH12" i="24" s="1"/>
  <c r="AA12" i="24"/>
  <c r="AN11" i="24"/>
  <c r="AV24" i="23"/>
  <c r="AU25" i="23" s="1"/>
  <c r="AA13" i="23"/>
  <c r="AN12" i="23"/>
  <c r="V13" i="23"/>
  <c r="AH13" i="23" s="1"/>
  <c r="W13" i="25" l="1"/>
  <c r="X13" i="25" s="1"/>
  <c r="W12" i="24"/>
  <c r="X12" i="24" s="1"/>
  <c r="AG12" i="24" s="1"/>
  <c r="AV23" i="26"/>
  <c r="AU24" i="26" s="1"/>
  <c r="AA13" i="26"/>
  <c r="AN12" i="26"/>
  <c r="V13" i="26"/>
  <c r="AH13" i="26" s="1"/>
  <c r="AV25" i="25"/>
  <c r="AU26" i="25" s="1"/>
  <c r="AV23" i="24"/>
  <c r="AU24" i="24" s="1"/>
  <c r="AV25" i="23"/>
  <c r="AU26" i="23" s="1"/>
  <c r="W13" i="23"/>
  <c r="X13" i="23" s="1"/>
  <c r="AE12" i="24" l="1"/>
  <c r="U13" i="24"/>
  <c r="V13" i="24" s="1"/>
  <c r="AH13" i="24" s="1"/>
  <c r="AC12" i="24"/>
  <c r="W13" i="26"/>
  <c r="X13" i="26" s="1"/>
  <c r="AV24" i="26"/>
  <c r="AU25" i="26" s="1"/>
  <c r="AV26" i="25"/>
  <c r="AU27" i="25" s="1"/>
  <c r="AG13" i="25"/>
  <c r="U14" i="25"/>
  <c r="AE13" i="25"/>
  <c r="AC13" i="25"/>
  <c r="AV24" i="24"/>
  <c r="AU25" i="24" s="1"/>
  <c r="AG13" i="23"/>
  <c r="AE13" i="23"/>
  <c r="AC13" i="23"/>
  <c r="U14" i="23"/>
  <c r="AV26" i="23"/>
  <c r="AU27" i="23" s="1"/>
  <c r="W13" i="24" l="1"/>
  <c r="X13" i="24" s="1"/>
  <c r="AA13" i="24"/>
  <c r="AN12" i="24"/>
  <c r="AV25" i="26"/>
  <c r="AU26" i="26" s="1"/>
  <c r="AE13" i="26"/>
  <c r="U14" i="26"/>
  <c r="AG13" i="26"/>
  <c r="AC13" i="26"/>
  <c r="AV27" i="25"/>
  <c r="AU28" i="25" s="1"/>
  <c r="AA14" i="25"/>
  <c r="AN13" i="25"/>
  <c r="V14" i="25"/>
  <c r="AH14" i="25" s="1"/>
  <c r="AV25" i="24"/>
  <c r="AU26" i="24" s="1"/>
  <c r="AV27" i="23"/>
  <c r="AU28" i="23" s="1"/>
  <c r="V14" i="23"/>
  <c r="AH14" i="23" s="1"/>
  <c r="AA14" i="23"/>
  <c r="AN13" i="23"/>
  <c r="AV26" i="26" l="1"/>
  <c r="AU27" i="26" s="1"/>
  <c r="V14" i="26"/>
  <c r="AH14" i="26" s="1"/>
  <c r="AA14" i="26"/>
  <c r="AN13" i="26"/>
  <c r="W14" i="25"/>
  <c r="X14" i="25" s="1"/>
  <c r="AV28" i="25"/>
  <c r="AU29" i="25" s="1"/>
  <c r="AV26" i="24"/>
  <c r="AU27" i="24" s="1"/>
  <c r="AG13" i="24"/>
  <c r="AC13" i="24"/>
  <c r="AE13" i="24"/>
  <c r="U14" i="24"/>
  <c r="AV28" i="23"/>
  <c r="AU29" i="23" s="1"/>
  <c r="W14" i="23"/>
  <c r="X14" i="23" s="1"/>
  <c r="AV27" i="26" l="1"/>
  <c r="AU28" i="26" s="1"/>
  <c r="W14" i="26"/>
  <c r="X14" i="26" s="1"/>
  <c r="AG14" i="25"/>
  <c r="U15" i="25"/>
  <c r="AE14" i="25"/>
  <c r="AC14" i="25"/>
  <c r="AV29" i="25"/>
  <c r="AU30" i="25" s="1"/>
  <c r="AV27" i="24"/>
  <c r="AU28" i="24" s="1"/>
  <c r="V14" i="24"/>
  <c r="AH14" i="24" s="1"/>
  <c r="AA14" i="24"/>
  <c r="AN13" i="24"/>
  <c r="AV29" i="23"/>
  <c r="AU30" i="23" s="1"/>
  <c r="U15" i="23"/>
  <c r="AG14" i="23"/>
  <c r="AE14" i="23"/>
  <c r="AC14" i="23"/>
  <c r="U15" i="26" l="1"/>
  <c r="AE14" i="26"/>
  <c r="AG14" i="26"/>
  <c r="AC14" i="26"/>
  <c r="AV28" i="26"/>
  <c r="AU29" i="26" s="1"/>
  <c r="AV30" i="25"/>
  <c r="AU31" i="25" s="1"/>
  <c r="AA15" i="25"/>
  <c r="AN14" i="25"/>
  <c r="V15" i="25"/>
  <c r="AH15" i="25" s="1"/>
  <c r="AV28" i="24"/>
  <c r="AU29" i="24" s="1"/>
  <c r="W14" i="24"/>
  <c r="X14" i="24" s="1"/>
  <c r="AV30" i="23"/>
  <c r="AU31" i="23" s="1"/>
  <c r="AA15" i="23"/>
  <c r="AN14" i="23"/>
  <c r="V15" i="23"/>
  <c r="AH15" i="23" s="1"/>
  <c r="AV29" i="26" l="1"/>
  <c r="AU30" i="26" s="1"/>
  <c r="AA15" i="26"/>
  <c r="AN14" i="26"/>
  <c r="V15" i="26"/>
  <c r="AH15" i="26" s="1"/>
  <c r="AV31" i="25"/>
  <c r="AU32" i="25" s="1"/>
  <c r="W15" i="25"/>
  <c r="X15" i="25" s="1"/>
  <c r="AV29" i="24"/>
  <c r="AU30" i="24" s="1"/>
  <c r="AG14" i="24"/>
  <c r="AE14" i="24"/>
  <c r="U15" i="24"/>
  <c r="AC14" i="24"/>
  <c r="AV31" i="23"/>
  <c r="AU32" i="23" s="1"/>
  <c r="W15" i="23"/>
  <c r="X15" i="23" s="1"/>
  <c r="AV30" i="26" l="1"/>
  <c r="AU31" i="26" s="1"/>
  <c r="W15" i="26"/>
  <c r="X15" i="26" s="1"/>
  <c r="AV32" i="25"/>
  <c r="AU33" i="25" s="1"/>
  <c r="U16" i="25"/>
  <c r="AE15" i="25"/>
  <c r="AG15" i="25"/>
  <c r="AC15" i="25"/>
  <c r="AV30" i="24"/>
  <c r="AU31" i="24" s="1"/>
  <c r="AA15" i="24"/>
  <c r="AN14" i="24"/>
  <c r="V15" i="24"/>
  <c r="AH15" i="24" s="1"/>
  <c r="U16" i="23"/>
  <c r="AC15" i="23"/>
  <c r="AE15" i="23"/>
  <c r="AG15" i="23"/>
  <c r="AV32" i="23"/>
  <c r="AU33" i="23" s="1"/>
  <c r="U16" i="26" l="1"/>
  <c r="AE15" i="26"/>
  <c r="AG15" i="26"/>
  <c r="AC15" i="26"/>
  <c r="AV31" i="26"/>
  <c r="AU32" i="26" s="1"/>
  <c r="AV33" i="25"/>
  <c r="AU34" i="25" s="1"/>
  <c r="AA16" i="25"/>
  <c r="AN15" i="25"/>
  <c r="V16" i="25"/>
  <c r="AH16" i="25" s="1"/>
  <c r="AV31" i="24"/>
  <c r="AU32" i="24" s="1"/>
  <c r="W15" i="24"/>
  <c r="X15" i="24" s="1"/>
  <c r="AV33" i="23"/>
  <c r="AU34" i="23" s="1"/>
  <c r="V16" i="23"/>
  <c r="AH16" i="23" s="1"/>
  <c r="AA16" i="23"/>
  <c r="AN15" i="23"/>
  <c r="AV32" i="26" l="1"/>
  <c r="AU33" i="26" s="1"/>
  <c r="AA16" i="26"/>
  <c r="AN15" i="26"/>
  <c r="V16" i="26"/>
  <c r="AH16" i="26" s="1"/>
  <c r="W16" i="25"/>
  <c r="X16" i="25" s="1"/>
  <c r="AV34" i="25"/>
  <c r="AU35" i="25" s="1"/>
  <c r="AG15" i="24"/>
  <c r="AC15" i="24"/>
  <c r="U16" i="24"/>
  <c r="AE15" i="24"/>
  <c r="AV32" i="24"/>
  <c r="AU33" i="24" s="1"/>
  <c r="AV34" i="23"/>
  <c r="AU35" i="23" s="1"/>
  <c r="W16" i="23"/>
  <c r="X16" i="23" s="1"/>
  <c r="AV33" i="26" l="1"/>
  <c r="AU34" i="26" s="1"/>
  <c r="W16" i="26"/>
  <c r="X16" i="26" s="1"/>
  <c r="U17" i="25"/>
  <c r="AG16" i="25"/>
  <c r="AE16" i="25"/>
  <c r="AC16" i="25"/>
  <c r="AV35" i="25"/>
  <c r="AU36" i="25" s="1"/>
  <c r="AV33" i="24"/>
  <c r="AU34" i="24" s="1"/>
  <c r="V16" i="24"/>
  <c r="AH16" i="24" s="1"/>
  <c r="AA16" i="24"/>
  <c r="AN15" i="24"/>
  <c r="AG16" i="23"/>
  <c r="U17" i="23"/>
  <c r="AE16" i="23"/>
  <c r="AC16" i="23"/>
  <c r="AV35" i="23"/>
  <c r="AU36" i="23" s="1"/>
  <c r="AV34" i="26" l="1"/>
  <c r="AU35" i="26" s="1"/>
  <c r="U17" i="26"/>
  <c r="AE16" i="26"/>
  <c r="AG16" i="26"/>
  <c r="AC16" i="26"/>
  <c r="V17" i="25"/>
  <c r="AH17" i="25" s="1"/>
  <c r="AV36" i="25"/>
  <c r="AU37" i="25" s="1"/>
  <c r="AA17" i="25"/>
  <c r="AN16" i="25"/>
  <c r="AV34" i="24"/>
  <c r="AU35" i="24" s="1"/>
  <c r="W16" i="24"/>
  <c r="X16" i="24" s="1"/>
  <c r="AV36" i="23"/>
  <c r="AU37" i="23" s="1"/>
  <c r="V17" i="23"/>
  <c r="AH17" i="23" s="1"/>
  <c r="AA17" i="23"/>
  <c r="AN16" i="23"/>
  <c r="W17" i="25" l="1"/>
  <c r="X17" i="25" s="1"/>
  <c r="U18" i="25" s="1"/>
  <c r="W17" i="23"/>
  <c r="X17" i="23" s="1"/>
  <c r="AV35" i="26"/>
  <c r="AU36" i="26" s="1"/>
  <c r="AA17" i="26"/>
  <c r="AN16" i="26"/>
  <c r="V17" i="26"/>
  <c r="AH17" i="26" s="1"/>
  <c r="AV37" i="25"/>
  <c r="AU38" i="25" s="1"/>
  <c r="AV35" i="24"/>
  <c r="AU36" i="24" s="1"/>
  <c r="AG16" i="24"/>
  <c r="AE16" i="24"/>
  <c r="U17" i="24"/>
  <c r="AC16" i="24"/>
  <c r="AV37" i="23"/>
  <c r="AU38" i="23" s="1"/>
  <c r="AC17" i="25" l="1"/>
  <c r="AA18" i="25" s="1"/>
  <c r="AE17" i="25"/>
  <c r="AG17" i="25"/>
  <c r="AV36" i="26"/>
  <c r="AU37" i="26" s="1"/>
  <c r="W17" i="26"/>
  <c r="X17" i="26" s="1"/>
  <c r="AV38" i="25"/>
  <c r="AU39" i="25" s="1"/>
  <c r="V18" i="25"/>
  <c r="AH18" i="25" s="1"/>
  <c r="AV36" i="24"/>
  <c r="AU37" i="24" s="1"/>
  <c r="AA17" i="24"/>
  <c r="AN16" i="24"/>
  <c r="V17" i="24"/>
  <c r="AH17" i="24" s="1"/>
  <c r="U18" i="23"/>
  <c r="AE17" i="23"/>
  <c r="AG17" i="23"/>
  <c r="AC17" i="23"/>
  <c r="AV38" i="23"/>
  <c r="AU39" i="23" s="1"/>
  <c r="AN17" i="25" l="1"/>
  <c r="W18" i="25"/>
  <c r="X18" i="25" s="1"/>
  <c r="AC18" i="25" s="1"/>
  <c r="W17" i="24"/>
  <c r="X17" i="24" s="1"/>
  <c r="AC17" i="24" s="1"/>
  <c r="AA18" i="24" s="1"/>
  <c r="U18" i="26"/>
  <c r="AG17" i="26"/>
  <c r="AE17" i="26"/>
  <c r="AC17" i="26"/>
  <c r="AV37" i="26"/>
  <c r="AU38" i="26" s="1"/>
  <c r="AV39" i="25"/>
  <c r="AU40" i="25" s="1"/>
  <c r="AV37" i="24"/>
  <c r="AU38" i="24" s="1"/>
  <c r="AV39" i="23"/>
  <c r="AU40" i="23" s="1"/>
  <c r="AA18" i="23"/>
  <c r="AN17" i="23"/>
  <c r="V18" i="23"/>
  <c r="AH18" i="23" s="1"/>
  <c r="AG17" i="24" l="1"/>
  <c r="U18" i="24"/>
  <c r="V18" i="24" s="1"/>
  <c r="AH18" i="24" s="1"/>
  <c r="AE17" i="24"/>
  <c r="AN17" i="24"/>
  <c r="AE18" i="25"/>
  <c r="AG18" i="25"/>
  <c r="U19" i="25"/>
  <c r="V19" i="25" s="1"/>
  <c r="AH19" i="25" s="1"/>
  <c r="AV38" i="26"/>
  <c r="AU39" i="26" s="1"/>
  <c r="AA18" i="26"/>
  <c r="AN17" i="26"/>
  <c r="V18" i="26"/>
  <c r="AH18" i="26" s="1"/>
  <c r="AA19" i="25"/>
  <c r="AN18" i="25"/>
  <c r="AV40" i="25"/>
  <c r="AU41" i="25" s="1"/>
  <c r="AV38" i="24"/>
  <c r="AU39" i="24" s="1"/>
  <c r="AV40" i="23"/>
  <c r="AU41" i="23" s="1"/>
  <c r="W18" i="23"/>
  <c r="X18" i="23" s="1"/>
  <c r="AV39" i="26" l="1"/>
  <c r="AU40" i="26" s="1"/>
  <c r="W18" i="26"/>
  <c r="X18" i="26" s="1"/>
  <c r="W19" i="25"/>
  <c r="X19" i="25" s="1"/>
  <c r="AV41" i="25"/>
  <c r="AU42" i="25" s="1"/>
  <c r="AV39" i="24"/>
  <c r="AU40" i="24" s="1"/>
  <c r="W18" i="24"/>
  <c r="X18" i="24" s="1"/>
  <c r="AG18" i="23"/>
  <c r="U19" i="23"/>
  <c r="AE18" i="23"/>
  <c r="AC18" i="23"/>
  <c r="AV41" i="23"/>
  <c r="AU42" i="23" s="1"/>
  <c r="AV40" i="26" l="1"/>
  <c r="AU41" i="26" s="1"/>
  <c r="AE18" i="26"/>
  <c r="AG18" i="26"/>
  <c r="U19" i="26"/>
  <c r="AC18" i="26"/>
  <c r="AV42" i="25"/>
  <c r="AU43" i="25" s="1"/>
  <c r="U20" i="25"/>
  <c r="AE19" i="25"/>
  <c r="AG19" i="25"/>
  <c r="AC19" i="25"/>
  <c r="AC18" i="24"/>
  <c r="AE18" i="24"/>
  <c r="AG18" i="24"/>
  <c r="U19" i="24"/>
  <c r="AV40" i="24"/>
  <c r="AU41" i="24" s="1"/>
  <c r="AV42" i="23"/>
  <c r="AU43" i="23" s="1"/>
  <c r="AA19" i="23"/>
  <c r="AN18" i="23"/>
  <c r="V19" i="23"/>
  <c r="AH19" i="23" s="1"/>
  <c r="AA19" i="26" l="1"/>
  <c r="AN18" i="26"/>
  <c r="V19" i="26"/>
  <c r="AH19" i="26" s="1"/>
  <c r="AV41" i="26"/>
  <c r="AU42" i="26" s="1"/>
  <c r="AV43" i="25"/>
  <c r="AU44" i="25" s="1"/>
  <c r="AA20" i="25"/>
  <c r="AN19" i="25"/>
  <c r="V20" i="25"/>
  <c r="AH20" i="25" s="1"/>
  <c r="AV41" i="24"/>
  <c r="AU42" i="24" s="1"/>
  <c r="V19" i="24"/>
  <c r="AH19" i="24" s="1"/>
  <c r="AA19" i="24"/>
  <c r="AN18" i="24"/>
  <c r="AV43" i="23"/>
  <c r="AU44" i="23" s="1"/>
  <c r="W19" i="23"/>
  <c r="X19" i="23" s="1"/>
  <c r="AV42" i="26" l="1"/>
  <c r="AU43" i="26" s="1"/>
  <c r="W19" i="26"/>
  <c r="X19" i="26" s="1"/>
  <c r="AV44" i="25"/>
  <c r="AU45" i="25" s="1"/>
  <c r="W20" i="25"/>
  <c r="X20" i="25" s="1"/>
  <c r="AV42" i="24"/>
  <c r="AU43" i="24" s="1"/>
  <c r="W19" i="24"/>
  <c r="X19" i="24" s="1"/>
  <c r="AV44" i="23"/>
  <c r="AU45" i="23" s="1"/>
  <c r="AG19" i="23"/>
  <c r="AE19" i="23"/>
  <c r="U20" i="23"/>
  <c r="AC19" i="23"/>
  <c r="AV43" i="26" l="1"/>
  <c r="AU44" i="26" s="1"/>
  <c r="AE19" i="26"/>
  <c r="U20" i="26"/>
  <c r="AG19" i="26"/>
  <c r="AC19" i="26"/>
  <c r="AV45" i="25"/>
  <c r="AU46" i="25" s="1"/>
  <c r="U21" i="25"/>
  <c r="AE20" i="25"/>
  <c r="AG20" i="25"/>
  <c r="AC20" i="25"/>
  <c r="AE19" i="24"/>
  <c r="U20" i="24"/>
  <c r="AG19" i="24"/>
  <c r="AC19" i="24"/>
  <c r="AV43" i="24"/>
  <c r="AU44" i="24" s="1"/>
  <c r="AA20" i="23"/>
  <c r="AN19" i="23"/>
  <c r="V20" i="23"/>
  <c r="AH20" i="23" s="1"/>
  <c r="AV45" i="23"/>
  <c r="AU46" i="23" s="1"/>
  <c r="AA20" i="26" l="1"/>
  <c r="AN19" i="26"/>
  <c r="V20" i="26"/>
  <c r="AH20" i="26" s="1"/>
  <c r="AV44" i="26"/>
  <c r="AU45" i="26" s="1"/>
  <c r="AV46" i="25"/>
  <c r="AU47" i="25" s="1"/>
  <c r="AA21" i="25"/>
  <c r="AN20" i="25"/>
  <c r="V21" i="25"/>
  <c r="AH21" i="25" s="1"/>
  <c r="AV44" i="24"/>
  <c r="AU45" i="24" s="1"/>
  <c r="AA20" i="24"/>
  <c r="AN19" i="24"/>
  <c r="V20" i="24"/>
  <c r="AH20" i="24" s="1"/>
  <c r="AV46" i="23"/>
  <c r="AU47" i="23" s="1"/>
  <c r="W20" i="23"/>
  <c r="X20" i="23" s="1"/>
  <c r="AV45" i="26" l="1"/>
  <c r="AU46" i="26" s="1"/>
  <c r="W20" i="26"/>
  <c r="X20" i="26" s="1"/>
  <c r="AV47" i="25"/>
  <c r="AU48" i="25" s="1"/>
  <c r="W21" i="25"/>
  <c r="X21" i="25" s="1"/>
  <c r="AV45" i="24"/>
  <c r="AU46" i="24" s="1"/>
  <c r="W20" i="24"/>
  <c r="X20" i="24" s="1"/>
  <c r="AC20" i="23"/>
  <c r="U21" i="23"/>
  <c r="AE20" i="23"/>
  <c r="AG20" i="23"/>
  <c r="AV47" i="23"/>
  <c r="AU48" i="23" s="1"/>
  <c r="AV46" i="26" l="1"/>
  <c r="AU47" i="26" s="1"/>
  <c r="AE20" i="26"/>
  <c r="AG20" i="26"/>
  <c r="U21" i="26"/>
  <c r="AC20" i="26"/>
  <c r="AV48" i="25"/>
  <c r="AU49" i="25" s="1"/>
  <c r="AG21" i="25"/>
  <c r="U22" i="25"/>
  <c r="AE21" i="25"/>
  <c r="AC21" i="25"/>
  <c r="AV46" i="24"/>
  <c r="AU47" i="24" s="1"/>
  <c r="AE20" i="24"/>
  <c r="AG20" i="24"/>
  <c r="U21" i="24"/>
  <c r="AC20" i="24"/>
  <c r="AV48" i="23"/>
  <c r="AU49" i="23" s="1"/>
  <c r="V21" i="23"/>
  <c r="AH21" i="23" s="1"/>
  <c r="AA21" i="23"/>
  <c r="AN20" i="23"/>
  <c r="AV47" i="26" l="1"/>
  <c r="AU48" i="26" s="1"/>
  <c r="AA21" i="26"/>
  <c r="AN20" i="26"/>
  <c r="V21" i="26"/>
  <c r="AH21" i="26" s="1"/>
  <c r="AV49" i="25"/>
  <c r="AU50" i="25" s="1"/>
  <c r="AA22" i="25"/>
  <c r="AN21" i="25"/>
  <c r="V22" i="25"/>
  <c r="AH22" i="25" s="1"/>
  <c r="AV47" i="24"/>
  <c r="AU48" i="24" s="1"/>
  <c r="AA21" i="24"/>
  <c r="AN20" i="24"/>
  <c r="V21" i="24"/>
  <c r="AH21" i="24" s="1"/>
  <c r="W21" i="23"/>
  <c r="X21" i="23" s="1"/>
  <c r="AV49" i="23"/>
  <c r="AU50" i="23" s="1"/>
  <c r="AV48" i="26" l="1"/>
  <c r="AU49" i="26" s="1"/>
  <c r="W21" i="26"/>
  <c r="X21" i="26" s="1"/>
  <c r="AV50" i="25"/>
  <c r="AU51" i="25" s="1"/>
  <c r="W22" i="25"/>
  <c r="X22" i="25" s="1"/>
  <c r="AV48" i="24"/>
  <c r="AU49" i="24" s="1"/>
  <c r="W21" i="24"/>
  <c r="X21" i="24" s="1"/>
  <c r="AV50" i="23"/>
  <c r="AU51" i="23" s="1"/>
  <c r="U22" i="23"/>
  <c r="AG21" i="23"/>
  <c r="AE21" i="23"/>
  <c r="AC21" i="23"/>
  <c r="AE21" i="26" l="1"/>
  <c r="U22" i="26"/>
  <c r="AG21" i="26"/>
  <c r="AC21" i="26"/>
  <c r="AV49" i="26"/>
  <c r="AU50" i="26" s="1"/>
  <c r="AG22" i="25"/>
  <c r="U23" i="25"/>
  <c r="AE22" i="25"/>
  <c r="AC22" i="25"/>
  <c r="AV51" i="25"/>
  <c r="AU52" i="25" s="1"/>
  <c r="AE21" i="24"/>
  <c r="AC21" i="24"/>
  <c r="AG21" i="24"/>
  <c r="U22" i="24"/>
  <c r="AV49" i="24"/>
  <c r="AU50" i="24" s="1"/>
  <c r="AV51" i="23"/>
  <c r="AU52" i="23" s="1"/>
  <c r="AA22" i="23"/>
  <c r="AN21" i="23"/>
  <c r="V22" i="23"/>
  <c r="AH22" i="23" s="1"/>
  <c r="AA22" i="26" l="1"/>
  <c r="AN21" i="26"/>
  <c r="AV50" i="26"/>
  <c r="AU51" i="26" s="1"/>
  <c r="V22" i="26"/>
  <c r="AH22" i="26" s="1"/>
  <c r="AV52" i="25"/>
  <c r="AU53" i="25" s="1"/>
  <c r="AA23" i="25"/>
  <c r="AN22" i="25"/>
  <c r="V23" i="25"/>
  <c r="AH23" i="25" s="1"/>
  <c r="AV50" i="24"/>
  <c r="AU51" i="24" s="1"/>
  <c r="V22" i="24"/>
  <c r="AH22" i="24" s="1"/>
  <c r="AA22" i="24"/>
  <c r="AN21" i="24"/>
  <c r="AV52" i="23"/>
  <c r="AU53" i="23" s="1"/>
  <c r="W22" i="23"/>
  <c r="X22" i="23" s="1"/>
  <c r="W22" i="26" l="1"/>
  <c r="X22" i="26" s="1"/>
  <c r="AE22" i="26" s="1"/>
  <c r="AV51" i="26"/>
  <c r="AU52" i="26" s="1"/>
  <c r="AV53" i="25"/>
  <c r="AU54" i="25" s="1"/>
  <c r="W23" i="25"/>
  <c r="X23" i="25" s="1"/>
  <c r="AV51" i="24"/>
  <c r="AU52" i="24" s="1"/>
  <c r="W22" i="24"/>
  <c r="X22" i="24" s="1"/>
  <c r="AV53" i="23"/>
  <c r="AU54" i="23" s="1"/>
  <c r="U23" i="23"/>
  <c r="AE22" i="23"/>
  <c r="AG22" i="23"/>
  <c r="AC22" i="23"/>
  <c r="AC22" i="26" l="1"/>
  <c r="U23" i="26"/>
  <c r="AG22" i="26"/>
  <c r="AV52" i="26"/>
  <c r="AU53" i="26" s="1"/>
  <c r="V23" i="26"/>
  <c r="AH23" i="26" s="1"/>
  <c r="AV54" i="25"/>
  <c r="AU55" i="25" s="1"/>
  <c r="AE23" i="25"/>
  <c r="AG23" i="25"/>
  <c r="AC23" i="25"/>
  <c r="U24" i="25"/>
  <c r="AV52" i="24"/>
  <c r="AU53" i="24" s="1"/>
  <c r="AG22" i="24"/>
  <c r="U23" i="24"/>
  <c r="AE22" i="24"/>
  <c r="AC22" i="24"/>
  <c r="AV54" i="23"/>
  <c r="AU55" i="23" s="1"/>
  <c r="AA23" i="23"/>
  <c r="AN22" i="23"/>
  <c r="V23" i="23"/>
  <c r="AH23" i="23" s="1"/>
  <c r="AA23" i="26" l="1"/>
  <c r="AN22" i="26"/>
  <c r="W23" i="26"/>
  <c r="X23" i="26" s="1"/>
  <c r="AV53" i="26"/>
  <c r="AU54" i="26" s="1"/>
  <c r="AV55" i="25"/>
  <c r="AU56" i="25" s="1"/>
  <c r="V24" i="25"/>
  <c r="AH24" i="25" s="1"/>
  <c r="AA24" i="25"/>
  <c r="AN23" i="25"/>
  <c r="AV53" i="24"/>
  <c r="AU54" i="24" s="1"/>
  <c r="V23" i="24"/>
  <c r="AH23" i="24" s="1"/>
  <c r="AA23" i="24"/>
  <c r="AN22" i="24"/>
  <c r="AV55" i="23"/>
  <c r="AU56" i="23" s="1"/>
  <c r="W23" i="23"/>
  <c r="X23" i="23" s="1"/>
  <c r="AV54" i="26" l="1"/>
  <c r="AU55" i="26" s="1"/>
  <c r="AE23" i="26"/>
  <c r="U24" i="26"/>
  <c r="AG23" i="26"/>
  <c r="AC23" i="26"/>
  <c r="AV56" i="25"/>
  <c r="AU57" i="25" s="1"/>
  <c r="W24" i="25"/>
  <c r="X24" i="25" s="1"/>
  <c r="AV54" i="24"/>
  <c r="AU55" i="24" s="1"/>
  <c r="W23" i="24"/>
  <c r="X23" i="24" s="1"/>
  <c r="AG23" i="23"/>
  <c r="AE23" i="23"/>
  <c r="U24" i="23"/>
  <c r="AC23" i="23"/>
  <c r="AV56" i="23"/>
  <c r="AU57" i="23" s="1"/>
  <c r="AV55" i="26" l="1"/>
  <c r="AU56" i="26" s="1"/>
  <c r="AA24" i="26"/>
  <c r="AN23" i="26"/>
  <c r="V24" i="26"/>
  <c r="AH24" i="26" s="1"/>
  <c r="AV57" i="25"/>
  <c r="AU58" i="25" s="1"/>
  <c r="AE24" i="25"/>
  <c r="AG24" i="25"/>
  <c r="U25" i="25"/>
  <c r="AC24" i="25"/>
  <c r="AG23" i="24"/>
  <c r="AE23" i="24"/>
  <c r="AC23" i="24"/>
  <c r="U24" i="24"/>
  <c r="AV55" i="24"/>
  <c r="AU56" i="24" s="1"/>
  <c r="V24" i="23"/>
  <c r="AH24" i="23" s="1"/>
  <c r="AV57" i="23"/>
  <c r="AU58" i="23" s="1"/>
  <c r="AA24" i="23"/>
  <c r="AN23" i="23"/>
  <c r="AV56" i="26" l="1"/>
  <c r="AU57" i="26" s="1"/>
  <c r="W24" i="26"/>
  <c r="X24" i="26" s="1"/>
  <c r="AV58" i="25"/>
  <c r="AU59" i="25" s="1"/>
  <c r="AA25" i="25"/>
  <c r="AN24" i="25"/>
  <c r="V25" i="25"/>
  <c r="AH25" i="25" s="1"/>
  <c r="AV56" i="24"/>
  <c r="AU57" i="24" s="1"/>
  <c r="V24" i="24"/>
  <c r="AH24" i="24" s="1"/>
  <c r="AA24" i="24"/>
  <c r="AN23" i="24"/>
  <c r="AV58" i="23"/>
  <c r="AU59" i="23" s="1"/>
  <c r="W24" i="23"/>
  <c r="X24" i="23" s="1"/>
  <c r="AE24" i="26" l="1"/>
  <c r="AG24" i="26"/>
  <c r="U25" i="26"/>
  <c r="AC24" i="26"/>
  <c r="AV57" i="26"/>
  <c r="AU58" i="26" s="1"/>
  <c r="AV59" i="25"/>
  <c r="AU60" i="25" s="1"/>
  <c r="W25" i="25"/>
  <c r="X25" i="25" s="1"/>
  <c r="W24" i="24"/>
  <c r="X24" i="24" s="1"/>
  <c r="AV57" i="24"/>
  <c r="AU58" i="24" s="1"/>
  <c r="AE24" i="23"/>
  <c r="AG24" i="23"/>
  <c r="U25" i="23"/>
  <c r="AC24" i="23"/>
  <c r="AV59" i="23"/>
  <c r="AU60" i="23" s="1"/>
  <c r="AV60" i="25" l="1"/>
  <c r="AU61" i="25" s="1"/>
  <c r="AV60" i="23"/>
  <c r="AU61" i="23" s="1"/>
  <c r="AV58" i="26"/>
  <c r="AU59" i="26" s="1"/>
  <c r="AA25" i="26"/>
  <c r="AN24" i="26"/>
  <c r="V25" i="26"/>
  <c r="AH25" i="26" s="1"/>
  <c r="U26" i="25"/>
  <c r="AG25" i="25"/>
  <c r="AE25" i="25"/>
  <c r="AC25" i="25"/>
  <c r="AV58" i="24"/>
  <c r="AU59" i="24" s="1"/>
  <c r="U25" i="24"/>
  <c r="AG24" i="24"/>
  <c r="AE24" i="24"/>
  <c r="AC24" i="24"/>
  <c r="AA25" i="23"/>
  <c r="AN24" i="23"/>
  <c r="V25" i="23"/>
  <c r="AH25" i="23" s="1"/>
  <c r="AV61" i="25" l="1"/>
  <c r="AU62" i="25" s="1"/>
  <c r="AV61" i="23"/>
  <c r="AV59" i="26"/>
  <c r="AU60" i="26" s="1"/>
  <c r="W25" i="26"/>
  <c r="X25" i="26" s="1"/>
  <c r="AA26" i="25"/>
  <c r="AN25" i="25"/>
  <c r="V26" i="25"/>
  <c r="AH26" i="25" s="1"/>
  <c r="AV59" i="24"/>
  <c r="AU60" i="24" s="1"/>
  <c r="AA25" i="24"/>
  <c r="AN24" i="24"/>
  <c r="V25" i="24"/>
  <c r="AH25" i="24" s="1"/>
  <c r="W25" i="23"/>
  <c r="X25" i="23" s="1"/>
  <c r="AV60" i="26" l="1"/>
  <c r="AU61" i="26" s="1"/>
  <c r="AV62" i="25"/>
  <c r="AV60" i="24"/>
  <c r="AU61" i="24" s="1"/>
  <c r="AU62" i="23"/>
  <c r="W26" i="25"/>
  <c r="X26" i="25" s="1"/>
  <c r="AG26" i="25" s="1"/>
  <c r="AE25" i="26"/>
  <c r="U26" i="26"/>
  <c r="AG25" i="26"/>
  <c r="AC25" i="26"/>
  <c r="W25" i="24"/>
  <c r="X25" i="24" s="1"/>
  <c r="AE25" i="23"/>
  <c r="U26" i="23"/>
  <c r="AG25" i="23"/>
  <c r="AC25" i="23"/>
  <c r="AV61" i="26" l="1"/>
  <c r="AC26" i="25"/>
  <c r="AA27" i="25" s="1"/>
  <c r="AE26" i="25"/>
  <c r="AU63" i="25"/>
  <c r="U27" i="25"/>
  <c r="V27" i="25" s="1"/>
  <c r="AH27" i="25" s="1"/>
  <c r="AV61" i="24"/>
  <c r="AV62" i="23"/>
  <c r="AA26" i="26"/>
  <c r="AN25" i="26"/>
  <c r="V26" i="26"/>
  <c r="AH26" i="26" s="1"/>
  <c r="U26" i="24"/>
  <c r="AG25" i="24"/>
  <c r="AE25" i="24"/>
  <c r="AC25" i="24"/>
  <c r="AA26" i="23"/>
  <c r="AN25" i="23"/>
  <c r="V26" i="23"/>
  <c r="AH26" i="23" s="1"/>
  <c r="AN26" i="25" l="1"/>
  <c r="AU62" i="26"/>
  <c r="AV63" i="25"/>
  <c r="AU64" i="25" s="1"/>
  <c r="AU62" i="24"/>
  <c r="AU63" i="23"/>
  <c r="W26" i="26"/>
  <c r="X26" i="26" s="1"/>
  <c r="W27" i="25"/>
  <c r="AA26" i="24"/>
  <c r="AN25" i="24"/>
  <c r="V26" i="24"/>
  <c r="AH26" i="24" s="1"/>
  <c r="W26" i="23"/>
  <c r="AV62" i="26" l="1"/>
  <c r="AU63" i="26" s="1"/>
  <c r="AV64" i="25"/>
  <c r="AU65" i="25" s="1"/>
  <c r="AV62" i="24"/>
  <c r="AV63" i="23"/>
  <c r="AU64" i="23" s="1"/>
  <c r="X26" i="23"/>
  <c r="AE26" i="23" s="1"/>
  <c r="AG26" i="26"/>
  <c r="AE26" i="26"/>
  <c r="U27" i="26"/>
  <c r="AC26" i="26"/>
  <c r="X27" i="25"/>
  <c r="W26" i="24"/>
  <c r="AV63" i="26" l="1"/>
  <c r="AU64" i="26" s="1"/>
  <c r="AV65" i="25"/>
  <c r="AU66" i="25" s="1"/>
  <c r="AU63" i="24"/>
  <c r="AV64" i="23"/>
  <c r="AU65" i="23" s="1"/>
  <c r="AC26" i="23"/>
  <c r="AN26" i="23" s="1"/>
  <c r="U27" i="23"/>
  <c r="V27" i="23" s="1"/>
  <c r="AH27" i="23" s="1"/>
  <c r="AG26" i="23"/>
  <c r="V27" i="26"/>
  <c r="AH27" i="26" s="1"/>
  <c r="AA27" i="26"/>
  <c r="AN26" i="26"/>
  <c r="AE27" i="25"/>
  <c r="U28" i="25"/>
  <c r="AG27" i="25"/>
  <c r="AC27" i="25"/>
  <c r="X26" i="24"/>
  <c r="AV64" i="26" l="1"/>
  <c r="AU65" i="26" s="1"/>
  <c r="AV66" i="25"/>
  <c r="AU67" i="25" s="1"/>
  <c r="AV63" i="24"/>
  <c r="AU64" i="24" s="1"/>
  <c r="AA27" i="23"/>
  <c r="AV65" i="23"/>
  <c r="AU66" i="23" s="1"/>
  <c r="W27" i="26"/>
  <c r="X27" i="26" s="1"/>
  <c r="W27" i="23"/>
  <c r="V28" i="25"/>
  <c r="AH28" i="25" s="1"/>
  <c r="AA28" i="25"/>
  <c r="AN27" i="25"/>
  <c r="AC26" i="24"/>
  <c r="U27" i="24"/>
  <c r="AG26" i="24"/>
  <c r="AE26" i="24"/>
  <c r="AV65" i="26" l="1"/>
  <c r="AU66" i="26" s="1"/>
  <c r="AV67" i="25"/>
  <c r="AV64" i="24"/>
  <c r="AV66" i="23"/>
  <c r="X27" i="23"/>
  <c r="AC27" i="23" s="1"/>
  <c r="U28" i="26"/>
  <c r="AC27" i="26"/>
  <c r="AG27" i="26"/>
  <c r="AE27" i="26"/>
  <c r="W28" i="25"/>
  <c r="V27" i="24"/>
  <c r="AH27" i="24" s="1"/>
  <c r="AA27" i="24"/>
  <c r="AN26" i="24"/>
  <c r="AV66" i="26" l="1"/>
  <c r="AU67" i="26" s="1"/>
  <c r="AU68" i="25"/>
  <c r="AU65" i="24"/>
  <c r="AE27" i="23"/>
  <c r="AG27" i="23"/>
  <c r="AU67" i="23"/>
  <c r="U28" i="23"/>
  <c r="V28" i="23" s="1"/>
  <c r="AH28" i="23" s="1"/>
  <c r="AA28" i="26"/>
  <c r="AN27" i="26"/>
  <c r="V28" i="26"/>
  <c r="AH28" i="26" s="1"/>
  <c r="X28" i="25"/>
  <c r="W27" i="24"/>
  <c r="X27" i="24" s="1"/>
  <c r="AA28" i="23"/>
  <c r="AN27" i="23"/>
  <c r="AV67" i="26" l="1"/>
  <c r="AV68" i="25"/>
  <c r="AV65" i="24"/>
  <c r="AU66" i="24" s="1"/>
  <c r="AV67" i="23"/>
  <c r="AU68" i="23" s="1"/>
  <c r="W28" i="26"/>
  <c r="X28" i="26" s="1"/>
  <c r="U29" i="25"/>
  <c r="AG28" i="25"/>
  <c r="AE28" i="25"/>
  <c r="AC28" i="25"/>
  <c r="U28" i="24"/>
  <c r="AE27" i="24"/>
  <c r="AG27" i="24"/>
  <c r="AC27" i="24"/>
  <c r="W28" i="23"/>
  <c r="AU68" i="26" l="1"/>
  <c r="AU69" i="25"/>
  <c r="AV66" i="24"/>
  <c r="AV68" i="23"/>
  <c r="AG28" i="26"/>
  <c r="U29" i="26"/>
  <c r="AC28" i="26"/>
  <c r="AE28" i="26"/>
  <c r="AA29" i="25"/>
  <c r="AN28" i="25"/>
  <c r="V29" i="25"/>
  <c r="AH29" i="25" s="1"/>
  <c r="V28" i="24"/>
  <c r="AH28" i="24" s="1"/>
  <c r="AA28" i="24"/>
  <c r="AN27" i="24"/>
  <c r="X28" i="23"/>
  <c r="AV68" i="26" l="1"/>
  <c r="AV69" i="25"/>
  <c r="W28" i="24"/>
  <c r="AU67" i="24"/>
  <c r="AU69" i="23"/>
  <c r="AA29" i="26"/>
  <c r="AN28" i="26"/>
  <c r="V29" i="26"/>
  <c r="AH29" i="26" s="1"/>
  <c r="W29" i="25"/>
  <c r="AG28" i="23"/>
  <c r="AE28" i="23"/>
  <c r="U29" i="23"/>
  <c r="AC28" i="23"/>
  <c r="AU69" i="26" l="1"/>
  <c r="AU70" i="25"/>
  <c r="AV67" i="24"/>
  <c r="X28" i="24"/>
  <c r="AG28" i="24" s="1"/>
  <c r="AV69" i="23"/>
  <c r="AU70" i="23" s="1"/>
  <c r="X29" i="25"/>
  <c r="AE29" i="25" s="1"/>
  <c r="W29" i="26"/>
  <c r="AA29" i="23"/>
  <c r="AN28" i="23"/>
  <c r="V29" i="23"/>
  <c r="AH29" i="23" s="1"/>
  <c r="AV69" i="26" l="1"/>
  <c r="AU70" i="26" s="1"/>
  <c r="AV70" i="25"/>
  <c r="U30" i="25"/>
  <c r="AC29" i="25"/>
  <c r="AA30" i="25" s="1"/>
  <c r="AG29" i="25"/>
  <c r="AE28" i="24"/>
  <c r="U29" i="24"/>
  <c r="V29" i="24" s="1"/>
  <c r="AH29" i="24" s="1"/>
  <c r="AC28" i="24"/>
  <c r="AA29" i="24" s="1"/>
  <c r="AU68" i="24"/>
  <c r="AV70" i="23"/>
  <c r="X29" i="26"/>
  <c r="V30" i="25"/>
  <c r="AH30" i="25" s="1"/>
  <c r="W29" i="23"/>
  <c r="AN28" i="24" l="1"/>
  <c r="AV70" i="26"/>
  <c r="AU71" i="26" s="1"/>
  <c r="AN29" i="25"/>
  <c r="AU71" i="25"/>
  <c r="AV68" i="24"/>
  <c r="AU69" i="24" s="1"/>
  <c r="AU71" i="23"/>
  <c r="X29" i="23"/>
  <c r="AG29" i="23" s="1"/>
  <c r="AC29" i="26"/>
  <c r="U30" i="26"/>
  <c r="AE29" i="26"/>
  <c r="AG29" i="26"/>
  <c r="W30" i="25"/>
  <c r="W29" i="24"/>
  <c r="AV71" i="26" l="1"/>
  <c r="AU72" i="26" s="1"/>
  <c r="AV71" i="25"/>
  <c r="AU72" i="25" s="1"/>
  <c r="AV69" i="24"/>
  <c r="AU70" i="24" s="1"/>
  <c r="AV71" i="23"/>
  <c r="U30" i="23"/>
  <c r="V30" i="23" s="1"/>
  <c r="AH30" i="23" s="1"/>
  <c r="AE29" i="23"/>
  <c r="AC29" i="23"/>
  <c r="AA30" i="23" s="1"/>
  <c r="V30" i="26"/>
  <c r="AH30" i="26" s="1"/>
  <c r="AA30" i="26"/>
  <c r="AN29" i="26"/>
  <c r="X30" i="25"/>
  <c r="X29" i="24"/>
  <c r="AV72" i="26" l="1"/>
  <c r="AV72" i="25"/>
  <c r="AU73" i="25" s="1"/>
  <c r="AV70" i="24"/>
  <c r="AU71" i="24" s="1"/>
  <c r="AU72" i="23"/>
  <c r="AN29" i="23"/>
  <c r="W30" i="26"/>
  <c r="AG30" i="25"/>
  <c r="AE30" i="25"/>
  <c r="U31" i="25"/>
  <c r="AC30" i="25"/>
  <c r="AE29" i="24"/>
  <c r="AG29" i="24"/>
  <c r="U30" i="24"/>
  <c r="AC29" i="24"/>
  <c r="W30" i="23"/>
  <c r="AU73" i="26" l="1"/>
  <c r="AV73" i="25"/>
  <c r="AV71" i="24"/>
  <c r="AU72" i="24" s="1"/>
  <c r="AV72" i="23"/>
  <c r="X30" i="23"/>
  <c r="U31" i="23" s="1"/>
  <c r="X30" i="26"/>
  <c r="V31" i="25"/>
  <c r="AH31" i="25" s="1"/>
  <c r="AA31" i="25"/>
  <c r="AN30" i="25"/>
  <c r="AA30" i="24"/>
  <c r="AN29" i="24"/>
  <c r="V30" i="24"/>
  <c r="AH30" i="24" s="1"/>
  <c r="AV73" i="26" l="1"/>
  <c r="AU74" i="25"/>
  <c r="AV72" i="24"/>
  <c r="AU73" i="24" s="1"/>
  <c r="AG30" i="23"/>
  <c r="AC30" i="23"/>
  <c r="AN30" i="23" s="1"/>
  <c r="AU73" i="23"/>
  <c r="AE30" i="23"/>
  <c r="AE30" i="26"/>
  <c r="AG30" i="26"/>
  <c r="U31" i="26"/>
  <c r="AC30" i="26"/>
  <c r="W31" i="25"/>
  <c r="W30" i="24"/>
  <c r="V31" i="23"/>
  <c r="AH31" i="23" s="1"/>
  <c r="AA31" i="23" l="1"/>
  <c r="AU74" i="26"/>
  <c r="AV74" i="25"/>
  <c r="AV73" i="24"/>
  <c r="AU74" i="24" s="1"/>
  <c r="AV73" i="23"/>
  <c r="X31" i="25"/>
  <c r="AE31" i="25" s="1"/>
  <c r="W31" i="23"/>
  <c r="V31" i="26"/>
  <c r="AH31" i="26" s="1"/>
  <c r="AA31" i="26"/>
  <c r="AN30" i="26"/>
  <c r="X30" i="24"/>
  <c r="AV74" i="26" l="1"/>
  <c r="U32" i="25"/>
  <c r="V32" i="25" s="1"/>
  <c r="AH32" i="25" s="1"/>
  <c r="AC31" i="25"/>
  <c r="AA32" i="25" s="1"/>
  <c r="AG31" i="25"/>
  <c r="AU75" i="25"/>
  <c r="AV74" i="24"/>
  <c r="AU75" i="24" s="1"/>
  <c r="AU74" i="23"/>
  <c r="W31" i="26"/>
  <c r="X31" i="26" s="1"/>
  <c r="X31" i="23"/>
  <c r="U31" i="24"/>
  <c r="AG30" i="24"/>
  <c r="AE30" i="24"/>
  <c r="AC30" i="24"/>
  <c r="AE31" i="26" l="1"/>
  <c r="AG31" i="26"/>
  <c r="AC31" i="26"/>
  <c r="AA32" i="26" s="1"/>
  <c r="U32" i="26"/>
  <c r="V32" i="26" s="1"/>
  <c r="AH32" i="26" s="1"/>
  <c r="AU75" i="26"/>
  <c r="AN31" i="25"/>
  <c r="AV75" i="25"/>
  <c r="AV75" i="24"/>
  <c r="AU76" i="24" s="1"/>
  <c r="AV74" i="23"/>
  <c r="U32" i="23"/>
  <c r="AE31" i="23"/>
  <c r="AC31" i="23"/>
  <c r="AG31" i="23"/>
  <c r="W32" i="25"/>
  <c r="AA31" i="24"/>
  <c r="AN30" i="24"/>
  <c r="V31" i="24"/>
  <c r="AH31" i="24" s="1"/>
  <c r="AN31" i="26" l="1"/>
  <c r="AV75" i="26"/>
  <c r="AU76" i="25"/>
  <c r="AV76" i="25" s="1"/>
  <c r="AV76" i="24"/>
  <c r="W31" i="24"/>
  <c r="X31" i="24" s="1"/>
  <c r="AU75" i="23"/>
  <c r="AA32" i="23"/>
  <c r="AN31" i="23"/>
  <c r="V32" i="23"/>
  <c r="AH32" i="23" s="1"/>
  <c r="W32" i="26"/>
  <c r="X32" i="25"/>
  <c r="AU76" i="26" l="1"/>
  <c r="AV76" i="26" s="1"/>
  <c r="AU77" i="26" s="1"/>
  <c r="AV77" i="26" s="1"/>
  <c r="AU78" i="26" s="1"/>
  <c r="AV78" i="26" s="1"/>
  <c r="AU79" i="26" s="1"/>
  <c r="AV79" i="26" s="1"/>
  <c r="AU80" i="26" s="1"/>
  <c r="AU77" i="25"/>
  <c r="AU77" i="24"/>
  <c r="AV75" i="23"/>
  <c r="W32" i="23"/>
  <c r="X32" i="26"/>
  <c r="U33" i="25"/>
  <c r="AC32" i="25"/>
  <c r="AE32" i="25"/>
  <c r="AG32" i="25"/>
  <c r="AE31" i="24"/>
  <c r="U32" i="24"/>
  <c r="AC31" i="24"/>
  <c r="AG31" i="24"/>
  <c r="AV80" i="26" l="1"/>
  <c r="AU81" i="26" s="1"/>
  <c r="AV81" i="26" s="1"/>
  <c r="AU82" i="26" s="1"/>
  <c r="AV82" i="26" s="1"/>
  <c r="AU83" i="26" s="1"/>
  <c r="AV83" i="26" s="1"/>
  <c r="AU84" i="26" s="1"/>
  <c r="AV2" i="26"/>
  <c r="AV1" i="26"/>
  <c r="AU2" i="26"/>
  <c r="AU1" i="26"/>
  <c r="AV77" i="25"/>
  <c r="AV77" i="24"/>
  <c r="AU76" i="23"/>
  <c r="X32" i="23"/>
  <c r="AG32" i="26"/>
  <c r="AE32" i="26"/>
  <c r="U33" i="26"/>
  <c r="AC32" i="26"/>
  <c r="AA33" i="25"/>
  <c r="AN32" i="25"/>
  <c r="V33" i="25"/>
  <c r="AH33" i="25" s="1"/>
  <c r="AA32" i="24"/>
  <c r="AN31" i="24"/>
  <c r="V32" i="24"/>
  <c r="AH32" i="24" s="1"/>
  <c r="AW1" i="26" l="1"/>
  <c r="AW94" i="26" s="1"/>
  <c r="O94" i="26" s="1"/>
  <c r="AW2" i="26"/>
  <c r="AX102" i="26" s="1"/>
  <c r="N102" i="26" s="1"/>
  <c r="AV84" i="26"/>
  <c r="AU85" i="26" s="1"/>
  <c r="AV85" i="26" s="1"/>
  <c r="AU86" i="26" s="1"/>
  <c r="AW103" i="26"/>
  <c r="O103" i="26" s="1"/>
  <c r="AW116" i="26"/>
  <c r="O116" i="26" s="1"/>
  <c r="AW113" i="26"/>
  <c r="O113" i="26" s="1"/>
  <c r="AX101" i="26"/>
  <c r="N101" i="26" s="1"/>
  <c r="AX93" i="26"/>
  <c r="N93" i="26" s="1"/>
  <c r="AX97" i="26"/>
  <c r="N97" i="26" s="1"/>
  <c r="AX117" i="26"/>
  <c r="N117" i="26" s="1"/>
  <c r="AX100" i="26"/>
  <c r="N100" i="26" s="1"/>
  <c r="AX107" i="26"/>
  <c r="N107" i="26" s="1"/>
  <c r="AX96" i="26"/>
  <c r="N96" i="26" s="1"/>
  <c r="AX108" i="26"/>
  <c r="N108" i="26" s="1"/>
  <c r="AX90" i="26"/>
  <c r="N90" i="26" s="1"/>
  <c r="AX123" i="26"/>
  <c r="N123" i="26" s="1"/>
  <c r="AX115" i="26"/>
  <c r="N115" i="26" s="1"/>
  <c r="AX98" i="26"/>
  <c r="N98" i="26" s="1"/>
  <c r="AX95" i="26"/>
  <c r="N95" i="26" s="1"/>
  <c r="AX122" i="26"/>
  <c r="N122" i="26" s="1"/>
  <c r="AX114" i="26"/>
  <c r="N114" i="26" s="1"/>
  <c r="AX106" i="26"/>
  <c r="N106" i="26" s="1"/>
  <c r="AX105" i="26"/>
  <c r="N105" i="26" s="1"/>
  <c r="AX91" i="26"/>
  <c r="N91" i="26" s="1"/>
  <c r="AX110" i="26"/>
  <c r="N110" i="26" s="1"/>
  <c r="AX121" i="26"/>
  <c r="N121" i="26" s="1"/>
  <c r="AX113" i="26"/>
  <c r="N113" i="26" s="1"/>
  <c r="AX104" i="26"/>
  <c r="N104" i="26" s="1"/>
  <c r="AX89" i="26"/>
  <c r="N89" i="26" s="1"/>
  <c r="P89" i="26" s="1"/>
  <c r="AX109" i="26"/>
  <c r="N109" i="26" s="1"/>
  <c r="AX118" i="26"/>
  <c r="N118" i="26" s="1"/>
  <c r="AX120" i="26"/>
  <c r="N120" i="26" s="1"/>
  <c r="AX112" i="26"/>
  <c r="N112" i="26" s="1"/>
  <c r="AX103" i="26"/>
  <c r="N103" i="26" s="1"/>
  <c r="AX92" i="26"/>
  <c r="N92" i="26" s="1"/>
  <c r="AX124" i="26"/>
  <c r="N124" i="26" s="1"/>
  <c r="AX94" i="26"/>
  <c r="N94" i="26" s="1"/>
  <c r="AX119" i="26"/>
  <c r="N119" i="26" s="1"/>
  <c r="AX111" i="26"/>
  <c r="N111" i="26" s="1"/>
  <c r="AX99" i="26"/>
  <c r="N99" i="26" s="1"/>
  <c r="AX116" i="26"/>
  <c r="N116" i="26" s="1"/>
  <c r="AU78" i="25"/>
  <c r="AV78" i="25" s="1"/>
  <c r="AU78" i="24"/>
  <c r="AV76" i="23"/>
  <c r="W33" i="25"/>
  <c r="X33" i="25" s="1"/>
  <c r="U33" i="23"/>
  <c r="AE32" i="23"/>
  <c r="AG32" i="23"/>
  <c r="AC32" i="23"/>
  <c r="AA33" i="26"/>
  <c r="AN32" i="26"/>
  <c r="V33" i="26"/>
  <c r="AH33" i="26" s="1"/>
  <c r="W32" i="24"/>
  <c r="AW100" i="26" l="1"/>
  <c r="O100" i="26" s="1"/>
  <c r="AW104" i="26"/>
  <c r="O104" i="26" s="1"/>
  <c r="AW115" i="26"/>
  <c r="O115" i="26" s="1"/>
  <c r="AW110" i="26"/>
  <c r="O110" i="26" s="1"/>
  <c r="AW124" i="26"/>
  <c r="O124" i="26" s="1"/>
  <c r="AW120" i="26"/>
  <c r="O120" i="26" s="1"/>
  <c r="AW98" i="26"/>
  <c r="O98" i="26" s="1"/>
  <c r="AW112" i="26"/>
  <c r="O112" i="26" s="1"/>
  <c r="AW106" i="26"/>
  <c r="O106" i="26" s="1"/>
  <c r="AW118" i="26"/>
  <c r="O118" i="26" s="1"/>
  <c r="AW90" i="26"/>
  <c r="O90" i="26" s="1"/>
  <c r="AW111" i="26"/>
  <c r="O111" i="26" s="1"/>
  <c r="AW107" i="26"/>
  <c r="O107" i="26" s="1"/>
  <c r="AW121" i="26"/>
  <c r="O121" i="26" s="1"/>
  <c r="AW101" i="26"/>
  <c r="O101" i="26" s="1"/>
  <c r="AW117" i="26"/>
  <c r="O117" i="26" s="1"/>
  <c r="AW105" i="26"/>
  <c r="O105" i="26" s="1"/>
  <c r="AW109" i="26"/>
  <c r="O109" i="26" s="1"/>
  <c r="AW97" i="26"/>
  <c r="O97" i="26" s="1"/>
  <c r="AW102" i="26"/>
  <c r="O102" i="26" s="1"/>
  <c r="AW95" i="26"/>
  <c r="O95" i="26" s="1"/>
  <c r="AW114" i="26"/>
  <c r="O114" i="26" s="1"/>
  <c r="AW96" i="26"/>
  <c r="O96" i="26" s="1"/>
  <c r="AW108" i="26"/>
  <c r="O108" i="26" s="1"/>
  <c r="AW123" i="26"/>
  <c r="O123" i="26" s="1"/>
  <c r="AW122" i="26"/>
  <c r="O122" i="26" s="1"/>
  <c r="AW91" i="26"/>
  <c r="O91" i="26" s="1"/>
  <c r="AW93" i="26"/>
  <c r="O93" i="26" s="1"/>
  <c r="AW92" i="26"/>
  <c r="O92" i="26" s="1"/>
  <c r="AW89" i="26"/>
  <c r="O89" i="26" s="1"/>
  <c r="Q89" i="26" s="1"/>
  <c r="AW99" i="26"/>
  <c r="O99" i="26" s="1"/>
  <c r="AW119" i="26"/>
  <c r="O119" i="26" s="1"/>
  <c r="AV86" i="26"/>
  <c r="AU79" i="25"/>
  <c r="AV78" i="24"/>
  <c r="AU79" i="24" s="1"/>
  <c r="AU77" i="23"/>
  <c r="AV77" i="23" s="1"/>
  <c r="X32" i="24"/>
  <c r="AG32" i="24" s="1"/>
  <c r="AN32" i="23"/>
  <c r="AA33" i="23"/>
  <c r="V33" i="23"/>
  <c r="AH33" i="23" s="1"/>
  <c r="W33" i="26"/>
  <c r="U34" i="25"/>
  <c r="AG33" i="25"/>
  <c r="AE33" i="25"/>
  <c r="AC33" i="25"/>
  <c r="AU87" i="26" l="1"/>
  <c r="AV79" i="25"/>
  <c r="AU80" i="25" s="1"/>
  <c r="AU2" i="25"/>
  <c r="AU1" i="25"/>
  <c r="AV79" i="24"/>
  <c r="AV2" i="24" s="1"/>
  <c r="AU1" i="24"/>
  <c r="AU2" i="24"/>
  <c r="U33" i="24"/>
  <c r="V33" i="24" s="1"/>
  <c r="AH33" i="24" s="1"/>
  <c r="AE32" i="24"/>
  <c r="AC32" i="24"/>
  <c r="AA33" i="24" s="1"/>
  <c r="AU78" i="23"/>
  <c r="AV78" i="23" s="1"/>
  <c r="W33" i="23"/>
  <c r="X33" i="26"/>
  <c r="V34" i="25"/>
  <c r="AH34" i="25" s="1"/>
  <c r="AA34" i="25"/>
  <c r="AN33" i="25"/>
  <c r="AU80" i="24" l="1"/>
  <c r="AV80" i="24" s="1"/>
  <c r="AV87" i="26"/>
  <c r="AV80" i="25"/>
  <c r="AU81" i="25" s="1"/>
  <c r="AV81" i="25" s="1"/>
  <c r="AV1" i="25"/>
  <c r="AW1" i="25" s="1"/>
  <c r="AV2" i="25"/>
  <c r="AW2" i="25" s="1"/>
  <c r="AV1" i="24"/>
  <c r="AW1" i="24" s="1"/>
  <c r="AW102" i="24" s="1"/>
  <c r="O102" i="24" s="1"/>
  <c r="AW2" i="24"/>
  <c r="AX108" i="24" s="1"/>
  <c r="N108" i="24" s="1"/>
  <c r="AN32" i="24"/>
  <c r="AU79" i="23"/>
  <c r="W33" i="24"/>
  <c r="X33" i="23"/>
  <c r="AC33" i="23" s="1"/>
  <c r="AG33" i="26"/>
  <c r="AE33" i="26"/>
  <c r="AC33" i="26"/>
  <c r="U34" i="26"/>
  <c r="W34" i="25"/>
  <c r="AU81" i="24" l="1"/>
  <c r="AV81" i="24" s="1"/>
  <c r="AW91" i="24"/>
  <c r="O91" i="24" s="1"/>
  <c r="AX99" i="24"/>
  <c r="N99" i="24" s="1"/>
  <c r="AX110" i="24"/>
  <c r="N110" i="24" s="1"/>
  <c r="AX115" i="24"/>
  <c r="N115" i="24" s="1"/>
  <c r="AX95" i="24"/>
  <c r="N95" i="24" s="1"/>
  <c r="AX90" i="24"/>
  <c r="N90" i="24" s="1"/>
  <c r="AX121" i="24"/>
  <c r="N121" i="24" s="1"/>
  <c r="AX91" i="24"/>
  <c r="N91" i="24" s="1"/>
  <c r="AX93" i="24"/>
  <c r="N93" i="24" s="1"/>
  <c r="AX118" i="24"/>
  <c r="N118" i="24" s="1"/>
  <c r="AX116" i="24"/>
  <c r="N116" i="24" s="1"/>
  <c r="AX104" i="24"/>
  <c r="N104" i="24" s="1"/>
  <c r="AX97" i="24"/>
  <c r="N97" i="24" s="1"/>
  <c r="AX101" i="24"/>
  <c r="N101" i="24" s="1"/>
  <c r="AX107" i="24"/>
  <c r="N107" i="24" s="1"/>
  <c r="AW122" i="24"/>
  <c r="O122" i="24" s="1"/>
  <c r="AW119" i="24"/>
  <c r="O119" i="24" s="1"/>
  <c r="AW117" i="24"/>
  <c r="O117" i="24" s="1"/>
  <c r="AX89" i="24"/>
  <c r="N89" i="24" s="1"/>
  <c r="P89" i="24" s="1"/>
  <c r="AX112" i="24"/>
  <c r="N112" i="24" s="1"/>
  <c r="AX105" i="24"/>
  <c r="N105" i="24" s="1"/>
  <c r="AW89" i="24"/>
  <c r="O89" i="24" s="1"/>
  <c r="Q89" i="24" s="1"/>
  <c r="AX106" i="24"/>
  <c r="N106" i="24" s="1"/>
  <c r="AX92" i="24"/>
  <c r="N92" i="24" s="1"/>
  <c r="AX119" i="24"/>
  <c r="N119" i="24" s="1"/>
  <c r="AX109" i="24"/>
  <c r="N109" i="24" s="1"/>
  <c r="AW118" i="24"/>
  <c r="O118" i="24" s="1"/>
  <c r="AX123" i="24"/>
  <c r="N123" i="24" s="1"/>
  <c r="AX114" i="24"/>
  <c r="N114" i="24" s="1"/>
  <c r="AX100" i="24"/>
  <c r="N100" i="24" s="1"/>
  <c r="AX98" i="24"/>
  <c r="N98" i="24" s="1"/>
  <c r="AW94" i="24"/>
  <c r="O94" i="24" s="1"/>
  <c r="AX120" i="24"/>
  <c r="N120" i="24" s="1"/>
  <c r="AX103" i="24"/>
  <c r="N103" i="24" s="1"/>
  <c r="AX96" i="24"/>
  <c r="N96" i="24" s="1"/>
  <c r="AX122" i="24"/>
  <c r="N122" i="24" s="1"/>
  <c r="AX111" i="24"/>
  <c r="N111" i="24" s="1"/>
  <c r="AW114" i="24"/>
  <c r="O114" i="24" s="1"/>
  <c r="AX113" i="24"/>
  <c r="N113" i="24" s="1"/>
  <c r="AX94" i="24"/>
  <c r="N94" i="24" s="1"/>
  <c r="AX102" i="24"/>
  <c r="N102" i="24" s="1"/>
  <c r="AX117" i="24"/>
  <c r="N117" i="24" s="1"/>
  <c r="AX124" i="24"/>
  <c r="N124" i="24" s="1"/>
  <c r="AW105" i="24"/>
  <c r="O105" i="24" s="1"/>
  <c r="AW100" i="24"/>
  <c r="O100" i="24" s="1"/>
  <c r="AW103" i="24"/>
  <c r="O103" i="24" s="1"/>
  <c r="AW99" i="24"/>
  <c r="O99" i="24" s="1"/>
  <c r="AW123" i="24"/>
  <c r="O123" i="24" s="1"/>
  <c r="AW115" i="24"/>
  <c r="O115" i="24" s="1"/>
  <c r="AW111" i="24"/>
  <c r="O111" i="24" s="1"/>
  <c r="AW97" i="24"/>
  <c r="O97" i="24" s="1"/>
  <c r="AW108" i="24"/>
  <c r="O108" i="24" s="1"/>
  <c r="AW104" i="24"/>
  <c r="O104" i="24" s="1"/>
  <c r="AW93" i="24"/>
  <c r="O93" i="24" s="1"/>
  <c r="AW95" i="24"/>
  <c r="O95" i="24" s="1"/>
  <c r="AW124" i="24"/>
  <c r="O124" i="24" s="1"/>
  <c r="AW92" i="24"/>
  <c r="O92" i="24" s="1"/>
  <c r="AU88" i="26"/>
  <c r="AX103" i="25"/>
  <c r="N103" i="25" s="1"/>
  <c r="AX117" i="25"/>
  <c r="N117" i="25" s="1"/>
  <c r="AX97" i="25"/>
  <c r="N97" i="25" s="1"/>
  <c r="AX93" i="25"/>
  <c r="N93" i="25" s="1"/>
  <c r="AX105" i="25"/>
  <c r="N105" i="25" s="1"/>
  <c r="AX114" i="25"/>
  <c r="N114" i="25" s="1"/>
  <c r="AX113" i="25"/>
  <c r="N113" i="25" s="1"/>
  <c r="AX90" i="25"/>
  <c r="N90" i="25" s="1"/>
  <c r="AX106" i="25"/>
  <c r="N106" i="25" s="1"/>
  <c r="AX100" i="25"/>
  <c r="N100" i="25" s="1"/>
  <c r="AX110" i="25"/>
  <c r="N110" i="25" s="1"/>
  <c r="AX99" i="25"/>
  <c r="N99" i="25" s="1"/>
  <c r="AX123" i="25"/>
  <c r="N123" i="25" s="1"/>
  <c r="AX91" i="25"/>
  <c r="N91" i="25" s="1"/>
  <c r="AX98" i="25"/>
  <c r="N98" i="25" s="1"/>
  <c r="AX118" i="25"/>
  <c r="N118" i="25" s="1"/>
  <c r="AX122" i="25"/>
  <c r="N122" i="25" s="1"/>
  <c r="AX121" i="25"/>
  <c r="N121" i="25" s="1"/>
  <c r="AX89" i="25"/>
  <c r="N89" i="25" s="1"/>
  <c r="P89" i="25" s="1"/>
  <c r="AX94" i="25"/>
  <c r="N94" i="25" s="1"/>
  <c r="AX95" i="25"/>
  <c r="N95" i="25" s="1"/>
  <c r="AX92" i="25"/>
  <c r="N92" i="25" s="1"/>
  <c r="AX104" i="25"/>
  <c r="N104" i="25" s="1"/>
  <c r="AX116" i="25"/>
  <c r="N116" i="25" s="1"/>
  <c r="AX109" i="25"/>
  <c r="N109" i="25" s="1"/>
  <c r="AX111" i="25"/>
  <c r="N111" i="25" s="1"/>
  <c r="AX107" i="25"/>
  <c r="N107" i="25" s="1"/>
  <c r="AX108" i="25"/>
  <c r="N108" i="25" s="1"/>
  <c r="AX115" i="25"/>
  <c r="N115" i="25" s="1"/>
  <c r="AX119" i="25"/>
  <c r="N119" i="25" s="1"/>
  <c r="AX96" i="25"/>
  <c r="N96" i="25" s="1"/>
  <c r="AX101" i="25"/>
  <c r="N101" i="25" s="1"/>
  <c r="AX120" i="25"/>
  <c r="N120" i="25" s="1"/>
  <c r="AX112" i="25"/>
  <c r="N112" i="25" s="1"/>
  <c r="AX102" i="25"/>
  <c r="N102" i="25" s="1"/>
  <c r="AX124" i="25"/>
  <c r="N124" i="25" s="1"/>
  <c r="AW94" i="25"/>
  <c r="O94" i="25" s="1"/>
  <c r="AW102" i="25"/>
  <c r="O102" i="25" s="1"/>
  <c r="AW124" i="25"/>
  <c r="O124" i="25" s="1"/>
  <c r="AW90" i="25"/>
  <c r="O90" i="25" s="1"/>
  <c r="AW119" i="25"/>
  <c r="O119" i="25" s="1"/>
  <c r="AW98" i="25"/>
  <c r="O98" i="25" s="1"/>
  <c r="AW120" i="25"/>
  <c r="O120" i="25" s="1"/>
  <c r="AW101" i="25"/>
  <c r="O101" i="25" s="1"/>
  <c r="AW105" i="25"/>
  <c r="O105" i="25" s="1"/>
  <c r="AW110" i="25"/>
  <c r="O110" i="25" s="1"/>
  <c r="AW111" i="25"/>
  <c r="O111" i="25" s="1"/>
  <c r="AW99" i="25"/>
  <c r="O99" i="25" s="1"/>
  <c r="AW104" i="25"/>
  <c r="O104" i="25" s="1"/>
  <c r="AW107" i="25"/>
  <c r="O107" i="25" s="1"/>
  <c r="AW96" i="25"/>
  <c r="O96" i="25" s="1"/>
  <c r="AW91" i="25"/>
  <c r="O91" i="25" s="1"/>
  <c r="AW116" i="25"/>
  <c r="O116" i="25" s="1"/>
  <c r="AW121" i="25"/>
  <c r="O121" i="25" s="1"/>
  <c r="AW106" i="25"/>
  <c r="O106" i="25" s="1"/>
  <c r="AW89" i="25"/>
  <c r="O89" i="25" s="1"/>
  <c r="Q89" i="25" s="1"/>
  <c r="AW109" i="25"/>
  <c r="O109" i="25" s="1"/>
  <c r="AW112" i="25"/>
  <c r="O112" i="25" s="1"/>
  <c r="AW117" i="25"/>
  <c r="O117" i="25" s="1"/>
  <c r="AW92" i="25"/>
  <c r="O92" i="25" s="1"/>
  <c r="AW95" i="25"/>
  <c r="O95" i="25" s="1"/>
  <c r="AW103" i="25"/>
  <c r="O103" i="25" s="1"/>
  <c r="AW115" i="25"/>
  <c r="O115" i="25" s="1"/>
  <c r="AW122" i="25"/>
  <c r="O122" i="25" s="1"/>
  <c r="AW93" i="25"/>
  <c r="O93" i="25" s="1"/>
  <c r="AW113" i="25"/>
  <c r="O113" i="25" s="1"/>
  <c r="AW108" i="25"/>
  <c r="O108" i="25" s="1"/>
  <c r="AW114" i="25"/>
  <c r="O114" i="25" s="1"/>
  <c r="AW97" i="25"/>
  <c r="O97" i="25" s="1"/>
  <c r="AW123" i="25"/>
  <c r="O123" i="25" s="1"/>
  <c r="AW100" i="25"/>
  <c r="O100" i="25" s="1"/>
  <c r="AW118" i="25"/>
  <c r="O118" i="25" s="1"/>
  <c r="AU82" i="25"/>
  <c r="AV82" i="25" s="1"/>
  <c r="AW110" i="24"/>
  <c r="O110" i="24" s="1"/>
  <c r="AW121" i="24"/>
  <c r="O121" i="24" s="1"/>
  <c r="AW90" i="24"/>
  <c r="O90" i="24" s="1"/>
  <c r="AW107" i="24"/>
  <c r="O107" i="24" s="1"/>
  <c r="AW98" i="24"/>
  <c r="O98" i="24" s="1"/>
  <c r="AW101" i="24"/>
  <c r="O101" i="24" s="1"/>
  <c r="AW109" i="24"/>
  <c r="O109" i="24" s="1"/>
  <c r="AW96" i="24"/>
  <c r="O96" i="24" s="1"/>
  <c r="AW106" i="24"/>
  <c r="O106" i="24" s="1"/>
  <c r="AW120" i="24"/>
  <c r="O120" i="24" s="1"/>
  <c r="AW113" i="24"/>
  <c r="O113" i="24" s="1"/>
  <c r="AW116" i="24"/>
  <c r="O116" i="24" s="1"/>
  <c r="AW112" i="24"/>
  <c r="O112" i="24" s="1"/>
  <c r="AU82" i="24"/>
  <c r="AV79" i="23"/>
  <c r="AU80" i="23" s="1"/>
  <c r="AV80" i="23" s="1"/>
  <c r="X33" i="24"/>
  <c r="U34" i="23"/>
  <c r="V34" i="23" s="1"/>
  <c r="AG33" i="23"/>
  <c r="AE33" i="23"/>
  <c r="AA34" i="23"/>
  <c r="AN33" i="23"/>
  <c r="AA34" i="26"/>
  <c r="AN33" i="26"/>
  <c r="V34" i="26"/>
  <c r="AH34" i="26" s="1"/>
  <c r="X34" i="25"/>
  <c r="AV88" i="26" l="1"/>
  <c r="AU89" i="26"/>
  <c r="AV89" i="26" s="1"/>
  <c r="AX76" i="26" s="1"/>
  <c r="N76" i="26" s="1"/>
  <c r="P76" i="26" s="1"/>
  <c r="AX31" i="26"/>
  <c r="N31" i="26" s="1"/>
  <c r="P31" i="26" s="1"/>
  <c r="AI31" i="26" s="1"/>
  <c r="AJ31" i="26" s="1"/>
  <c r="AW15" i="26"/>
  <c r="O15" i="26" s="1"/>
  <c r="Q15" i="26" s="1"/>
  <c r="AB15" i="26" s="1"/>
  <c r="Z16" i="26" s="1"/>
  <c r="AX43" i="26"/>
  <c r="N43" i="26" s="1"/>
  <c r="P43" i="26" s="1"/>
  <c r="AW77" i="26"/>
  <c r="O77" i="26" s="1"/>
  <c r="Q77" i="26" s="1"/>
  <c r="AW46" i="26"/>
  <c r="O46" i="26" s="1"/>
  <c r="Q46" i="26" s="1"/>
  <c r="AX85" i="26"/>
  <c r="N85" i="26" s="1"/>
  <c r="P85" i="26" s="1"/>
  <c r="W34" i="26"/>
  <c r="X34" i="26" s="1"/>
  <c r="AU83" i="25"/>
  <c r="AV83" i="25" s="1"/>
  <c r="AV82" i="24"/>
  <c r="AU81" i="23"/>
  <c r="AV81" i="23" s="1"/>
  <c r="AC33" i="24"/>
  <c r="U34" i="24"/>
  <c r="V34" i="24" s="1"/>
  <c r="AH34" i="24" s="1"/>
  <c r="AG33" i="24"/>
  <c r="AE33" i="24"/>
  <c r="AH34" i="23"/>
  <c r="W34" i="23"/>
  <c r="U35" i="25"/>
  <c r="AE34" i="25"/>
  <c r="AG34" i="25"/>
  <c r="AC34" i="25"/>
  <c r="AX30" i="26" l="1"/>
  <c r="N30" i="26" s="1"/>
  <c r="P30" i="26" s="1"/>
  <c r="AI30" i="26" s="1"/>
  <c r="AJ30" i="26" s="1"/>
  <c r="AW51" i="26"/>
  <c r="O51" i="26" s="1"/>
  <c r="Q51" i="26" s="1"/>
  <c r="AW25" i="26"/>
  <c r="O25" i="26" s="1"/>
  <c r="Q25" i="26" s="1"/>
  <c r="AB25" i="26" s="1"/>
  <c r="Z26" i="26" s="1"/>
  <c r="AX37" i="26"/>
  <c r="N37" i="26" s="1"/>
  <c r="P37" i="26" s="1"/>
  <c r="AX35" i="26"/>
  <c r="N35" i="26" s="1"/>
  <c r="P35" i="26" s="1"/>
  <c r="AW57" i="26"/>
  <c r="O57" i="26" s="1"/>
  <c r="Q57" i="26" s="1"/>
  <c r="AX67" i="26"/>
  <c r="N67" i="26" s="1"/>
  <c r="P67" i="26" s="1"/>
  <c r="AW20" i="26"/>
  <c r="O20" i="26" s="1"/>
  <c r="Q20" i="26" s="1"/>
  <c r="AB20" i="26" s="1"/>
  <c r="Z21" i="26" s="1"/>
  <c r="AL21" i="26" s="1"/>
  <c r="AX42" i="26"/>
  <c r="N42" i="26" s="1"/>
  <c r="P42" i="26" s="1"/>
  <c r="AX20" i="26"/>
  <c r="N20" i="26" s="1"/>
  <c r="P20" i="26" s="1"/>
  <c r="AI20" i="26" s="1"/>
  <c r="AJ20" i="26" s="1"/>
  <c r="AW24" i="26"/>
  <c r="O24" i="26" s="1"/>
  <c r="Q24" i="26" s="1"/>
  <c r="AB24" i="26" s="1"/>
  <c r="Z25" i="26" s="1"/>
  <c r="AX28" i="26"/>
  <c r="N28" i="26" s="1"/>
  <c r="P28" i="26" s="1"/>
  <c r="AI28" i="26" s="1"/>
  <c r="AJ28" i="26" s="1"/>
  <c r="AX53" i="26"/>
  <c r="N53" i="26" s="1"/>
  <c r="P53" i="26" s="1"/>
  <c r="AW56" i="26"/>
  <c r="O56" i="26" s="1"/>
  <c r="Q56" i="26" s="1"/>
  <c r="AW80" i="26"/>
  <c r="O80" i="26" s="1"/>
  <c r="Q80" i="26" s="1"/>
  <c r="AW9" i="26"/>
  <c r="O9" i="26" s="1"/>
  <c r="Q9" i="26" s="1"/>
  <c r="AB9" i="26" s="1"/>
  <c r="Z10" i="26" s="1"/>
  <c r="AL10" i="26" s="1"/>
  <c r="AX14" i="26"/>
  <c r="N14" i="26" s="1"/>
  <c r="P14" i="26" s="1"/>
  <c r="AI14" i="26" s="1"/>
  <c r="AJ14" i="26" s="1"/>
  <c r="AW5" i="26"/>
  <c r="O5" i="26" s="1"/>
  <c r="Q5" i="26" s="1"/>
  <c r="AB5" i="26" s="1"/>
  <c r="Z6" i="26" s="1"/>
  <c r="AW45" i="26"/>
  <c r="O45" i="26" s="1"/>
  <c r="Q45" i="26" s="1"/>
  <c r="AW59" i="26"/>
  <c r="O59" i="26" s="1"/>
  <c r="Q59" i="26" s="1"/>
  <c r="AX79" i="26"/>
  <c r="N79" i="26" s="1"/>
  <c r="P79" i="26" s="1"/>
  <c r="AX60" i="26"/>
  <c r="N60" i="26" s="1"/>
  <c r="P60" i="26" s="1"/>
  <c r="AW74" i="26"/>
  <c r="O74" i="26" s="1"/>
  <c r="Q74" i="26" s="1"/>
  <c r="AX55" i="26"/>
  <c r="N55" i="26" s="1"/>
  <c r="P55" i="26" s="1"/>
  <c r="AX65" i="26"/>
  <c r="N65" i="26" s="1"/>
  <c r="P65" i="26" s="1"/>
  <c r="AW60" i="26"/>
  <c r="O60" i="26" s="1"/>
  <c r="Q60" i="26" s="1"/>
  <c r="AW26" i="26"/>
  <c r="O26" i="26" s="1"/>
  <c r="Q26" i="26" s="1"/>
  <c r="AB26" i="26" s="1"/>
  <c r="Z27" i="26" s="1"/>
  <c r="AX78" i="26"/>
  <c r="N78" i="26" s="1"/>
  <c r="P78" i="26" s="1"/>
  <c r="AX17" i="26"/>
  <c r="N17" i="26" s="1"/>
  <c r="P17" i="26" s="1"/>
  <c r="AI17" i="26" s="1"/>
  <c r="AJ17" i="26" s="1"/>
  <c r="AX52" i="26"/>
  <c r="N52" i="26" s="1"/>
  <c r="P52" i="26" s="1"/>
  <c r="AW16" i="26"/>
  <c r="O16" i="26" s="1"/>
  <c r="Q16" i="26" s="1"/>
  <c r="AB16" i="26" s="1"/>
  <c r="Z17" i="26" s="1"/>
  <c r="AL17" i="26" s="1"/>
  <c r="AW12" i="26"/>
  <c r="O12" i="26" s="1"/>
  <c r="Q12" i="26" s="1"/>
  <c r="AB12" i="26" s="1"/>
  <c r="Z13" i="26" s="1"/>
  <c r="AX66" i="26"/>
  <c r="N66" i="26" s="1"/>
  <c r="P66" i="26" s="1"/>
  <c r="AX32" i="26"/>
  <c r="N32" i="26" s="1"/>
  <c r="P32" i="26" s="1"/>
  <c r="AI32" i="26" s="1"/>
  <c r="AJ32" i="26" s="1"/>
  <c r="AW21" i="26"/>
  <c r="O21" i="26" s="1"/>
  <c r="Q21" i="26" s="1"/>
  <c r="AB21" i="26" s="1"/>
  <c r="Z22" i="26" s="1"/>
  <c r="AW50" i="26"/>
  <c r="O50" i="26" s="1"/>
  <c r="Q50" i="26" s="1"/>
  <c r="AX70" i="26"/>
  <c r="N70" i="26" s="1"/>
  <c r="P70" i="26" s="1"/>
  <c r="AX33" i="26"/>
  <c r="N33" i="26" s="1"/>
  <c r="P33" i="26" s="1"/>
  <c r="AI33" i="26" s="1"/>
  <c r="AJ33" i="26" s="1"/>
  <c r="AW14" i="26"/>
  <c r="O14" i="26" s="1"/>
  <c r="Q14" i="26" s="1"/>
  <c r="AB14" i="26" s="1"/>
  <c r="Z15" i="26" s="1"/>
  <c r="AL15" i="26" s="1"/>
  <c r="AW42" i="26"/>
  <c r="O42" i="26" s="1"/>
  <c r="Q42" i="26" s="1"/>
  <c r="AX82" i="26"/>
  <c r="N82" i="26" s="1"/>
  <c r="P82" i="26" s="1"/>
  <c r="AW49" i="26"/>
  <c r="O49" i="26" s="1"/>
  <c r="Q49" i="26" s="1"/>
  <c r="AX83" i="26"/>
  <c r="N83" i="26" s="1"/>
  <c r="P83" i="26" s="1"/>
  <c r="AW43" i="26"/>
  <c r="O43" i="26" s="1"/>
  <c r="Q43" i="26" s="1"/>
  <c r="AX73" i="26"/>
  <c r="N73" i="26" s="1"/>
  <c r="P73" i="26" s="1"/>
  <c r="AW58" i="26"/>
  <c r="O58" i="26" s="1"/>
  <c r="Q58" i="26" s="1"/>
  <c r="AW79" i="26"/>
  <c r="O79" i="26" s="1"/>
  <c r="Q79" i="26" s="1"/>
  <c r="AX39" i="26"/>
  <c r="N39" i="26" s="1"/>
  <c r="P39" i="26" s="1"/>
  <c r="AX74" i="26"/>
  <c r="N74" i="26" s="1"/>
  <c r="P74" i="26" s="1"/>
  <c r="AX48" i="26"/>
  <c r="N48" i="26" s="1"/>
  <c r="P48" i="26" s="1"/>
  <c r="AX71" i="26"/>
  <c r="N71" i="26" s="1"/>
  <c r="P71" i="26" s="1"/>
  <c r="AW23" i="26"/>
  <c r="O23" i="26" s="1"/>
  <c r="Q23" i="26" s="1"/>
  <c r="AB23" i="26" s="1"/>
  <c r="Z24" i="26" s="1"/>
  <c r="AX18" i="26"/>
  <c r="N18" i="26" s="1"/>
  <c r="P18" i="26" s="1"/>
  <c r="AI18" i="26" s="1"/>
  <c r="AJ18" i="26" s="1"/>
  <c r="AW76" i="26"/>
  <c r="O76" i="26" s="1"/>
  <c r="Q76" i="26" s="1"/>
  <c r="AW86" i="26"/>
  <c r="O86" i="26" s="1"/>
  <c r="Q86" i="26" s="1"/>
  <c r="AX38" i="26"/>
  <c r="N38" i="26" s="1"/>
  <c r="P38" i="26" s="1"/>
  <c r="AX34" i="26"/>
  <c r="N34" i="26" s="1"/>
  <c r="P34" i="26" s="1"/>
  <c r="AW29" i="26"/>
  <c r="O29" i="26" s="1"/>
  <c r="Q29" i="26" s="1"/>
  <c r="AB29" i="26" s="1"/>
  <c r="Z30" i="26" s="1"/>
  <c r="AL30" i="26" s="1"/>
  <c r="AX49" i="26"/>
  <c r="N49" i="26" s="1"/>
  <c r="P49" i="26" s="1"/>
  <c r="AW47" i="26"/>
  <c r="O47" i="26" s="1"/>
  <c r="Q47" i="26" s="1"/>
  <c r="AX62" i="26"/>
  <c r="N62" i="26" s="1"/>
  <c r="P62" i="26" s="1"/>
  <c r="AW8" i="26"/>
  <c r="O8" i="26" s="1"/>
  <c r="Q8" i="26" s="1"/>
  <c r="AB8" i="26" s="1"/>
  <c r="Z9" i="26" s="1"/>
  <c r="AL9" i="26" s="1"/>
  <c r="AW85" i="26"/>
  <c r="O85" i="26" s="1"/>
  <c r="Q85" i="26" s="1"/>
  <c r="AX36" i="26"/>
  <c r="N36" i="26" s="1"/>
  <c r="P36" i="26" s="1"/>
  <c r="AW63" i="26"/>
  <c r="O63" i="26" s="1"/>
  <c r="Q63" i="26" s="1"/>
  <c r="AX27" i="26"/>
  <c r="N27" i="26" s="1"/>
  <c r="P27" i="26" s="1"/>
  <c r="AI27" i="26" s="1"/>
  <c r="AJ27" i="26" s="1"/>
  <c r="AX13" i="26"/>
  <c r="N13" i="26" s="1"/>
  <c r="P13" i="26" s="1"/>
  <c r="AI13" i="26" s="1"/>
  <c r="AJ13" i="26" s="1"/>
  <c r="AX77" i="26"/>
  <c r="N77" i="26" s="1"/>
  <c r="P77" i="26" s="1"/>
  <c r="AX40" i="26"/>
  <c r="N40" i="26" s="1"/>
  <c r="P40" i="26" s="1"/>
  <c r="AW44" i="26"/>
  <c r="O44" i="26" s="1"/>
  <c r="Q44" i="26" s="1"/>
  <c r="AX86" i="26"/>
  <c r="N86" i="26" s="1"/>
  <c r="P86" i="26" s="1"/>
  <c r="AW31" i="26"/>
  <c r="O31" i="26" s="1"/>
  <c r="Q31" i="26" s="1"/>
  <c r="AB31" i="26" s="1"/>
  <c r="Z32" i="26" s="1"/>
  <c r="AL32" i="26" s="1"/>
  <c r="AW35" i="26"/>
  <c r="O35" i="26" s="1"/>
  <c r="Q35" i="26" s="1"/>
  <c r="AW66" i="26"/>
  <c r="O66" i="26" s="1"/>
  <c r="Q66" i="26" s="1"/>
  <c r="AW41" i="26"/>
  <c r="O41" i="26" s="1"/>
  <c r="Q41" i="26" s="1"/>
  <c r="AW4" i="26"/>
  <c r="O4" i="26" s="1"/>
  <c r="Q4" i="26" s="1"/>
  <c r="AB4" i="26" s="1"/>
  <c r="AW55" i="26"/>
  <c r="O55" i="26" s="1"/>
  <c r="Q55" i="26" s="1"/>
  <c r="AW10" i="26"/>
  <c r="O10" i="26" s="1"/>
  <c r="Q10" i="26" s="1"/>
  <c r="AB10" i="26" s="1"/>
  <c r="Z11" i="26" s="1"/>
  <c r="AL11" i="26" s="1"/>
  <c r="AX68" i="26"/>
  <c r="N68" i="26" s="1"/>
  <c r="P68" i="26" s="1"/>
  <c r="AW13" i="26"/>
  <c r="O13" i="26" s="1"/>
  <c r="Q13" i="26" s="1"/>
  <c r="AB13" i="26" s="1"/>
  <c r="Z14" i="26" s="1"/>
  <c r="AL14" i="26" s="1"/>
  <c r="AX24" i="26"/>
  <c r="N24" i="26" s="1"/>
  <c r="P24" i="26" s="1"/>
  <c r="AI24" i="26" s="1"/>
  <c r="AJ24" i="26" s="1"/>
  <c r="AX46" i="26"/>
  <c r="N46" i="26" s="1"/>
  <c r="P46" i="26" s="1"/>
  <c r="AX16" i="26"/>
  <c r="N16" i="26" s="1"/>
  <c r="P16" i="26" s="1"/>
  <c r="AI16" i="26" s="1"/>
  <c r="AJ16" i="26" s="1"/>
  <c r="AX57" i="26"/>
  <c r="N57" i="26" s="1"/>
  <c r="P57" i="26" s="1"/>
  <c r="AX5" i="26"/>
  <c r="N5" i="26" s="1"/>
  <c r="P5" i="26" s="1"/>
  <c r="AI5" i="26" s="1"/>
  <c r="AJ5" i="26" s="1"/>
  <c r="AW18" i="26"/>
  <c r="O18" i="26" s="1"/>
  <c r="Q18" i="26" s="1"/>
  <c r="AB18" i="26" s="1"/>
  <c r="Z19" i="26" s="1"/>
  <c r="AX44" i="26"/>
  <c r="N44" i="26" s="1"/>
  <c r="P44" i="26" s="1"/>
  <c r="AW68" i="26"/>
  <c r="O68" i="26" s="1"/>
  <c r="Q68" i="26" s="1"/>
  <c r="AX12" i="26"/>
  <c r="N12" i="26" s="1"/>
  <c r="P12" i="26" s="1"/>
  <c r="AI12" i="26" s="1"/>
  <c r="AJ12" i="26" s="1"/>
  <c r="AX81" i="26"/>
  <c r="N81" i="26" s="1"/>
  <c r="P81" i="26" s="1"/>
  <c r="AW6" i="26"/>
  <c r="O6" i="26" s="1"/>
  <c r="Q6" i="26" s="1"/>
  <c r="AB6" i="26" s="1"/>
  <c r="Z7" i="26" s="1"/>
  <c r="AL7" i="26" s="1"/>
  <c r="AX21" i="26"/>
  <c r="N21" i="26" s="1"/>
  <c r="P21" i="26" s="1"/>
  <c r="AI21" i="26" s="1"/>
  <c r="AJ21" i="26" s="1"/>
  <c r="AW81" i="26"/>
  <c r="O81" i="26" s="1"/>
  <c r="Q81" i="26" s="1"/>
  <c r="AW71" i="26"/>
  <c r="O71" i="26" s="1"/>
  <c r="Q71" i="26" s="1"/>
  <c r="AX72" i="26"/>
  <c r="N72" i="26" s="1"/>
  <c r="P72" i="26" s="1"/>
  <c r="AX84" i="26"/>
  <c r="N84" i="26" s="1"/>
  <c r="P84" i="26" s="1"/>
  <c r="AW82" i="26"/>
  <c r="O82" i="26" s="1"/>
  <c r="Q82" i="26" s="1"/>
  <c r="AW54" i="26"/>
  <c r="O54" i="26" s="1"/>
  <c r="Q54" i="26" s="1"/>
  <c r="AW19" i="26"/>
  <c r="O19" i="26" s="1"/>
  <c r="Q19" i="26" s="1"/>
  <c r="AB19" i="26" s="1"/>
  <c r="Z20" i="26" s="1"/>
  <c r="AX80" i="26"/>
  <c r="N80" i="26" s="1"/>
  <c r="P80" i="26" s="1"/>
  <c r="AW39" i="26"/>
  <c r="O39" i="26" s="1"/>
  <c r="Q39" i="26" s="1"/>
  <c r="AX11" i="26"/>
  <c r="N11" i="26" s="1"/>
  <c r="P11" i="26" s="1"/>
  <c r="AI11" i="26" s="1"/>
  <c r="AJ11" i="26" s="1"/>
  <c r="AW32" i="26"/>
  <c r="O32" i="26" s="1"/>
  <c r="Q32" i="26" s="1"/>
  <c r="AB32" i="26" s="1"/>
  <c r="Z33" i="26" s="1"/>
  <c r="AL33" i="26" s="1"/>
  <c r="AX45" i="26"/>
  <c r="N45" i="26" s="1"/>
  <c r="P45" i="26" s="1"/>
  <c r="AW73" i="26"/>
  <c r="O73" i="26" s="1"/>
  <c r="Q73" i="26" s="1"/>
  <c r="AW84" i="26"/>
  <c r="O84" i="26" s="1"/>
  <c r="Q84" i="26" s="1"/>
  <c r="AX64" i="26"/>
  <c r="N64" i="26" s="1"/>
  <c r="P64" i="26" s="1"/>
  <c r="AW62" i="26"/>
  <c r="O62" i="26" s="1"/>
  <c r="Q62" i="26" s="1"/>
  <c r="AX63" i="26"/>
  <c r="N63" i="26" s="1"/>
  <c r="P63" i="26" s="1"/>
  <c r="AX22" i="26"/>
  <c r="N22" i="26" s="1"/>
  <c r="P22" i="26" s="1"/>
  <c r="AI22" i="26" s="1"/>
  <c r="AJ22" i="26" s="1"/>
  <c r="AW11" i="26"/>
  <c r="O11" i="26" s="1"/>
  <c r="Q11" i="26" s="1"/>
  <c r="AB11" i="26" s="1"/>
  <c r="Z12" i="26" s="1"/>
  <c r="AW22" i="26"/>
  <c r="O22" i="26" s="1"/>
  <c r="Q22" i="26" s="1"/>
  <c r="AB22" i="26" s="1"/>
  <c r="Z23" i="26" s="1"/>
  <c r="AK23" i="26" s="1"/>
  <c r="AX8" i="26"/>
  <c r="N8" i="26" s="1"/>
  <c r="P8" i="26" s="1"/>
  <c r="AI8" i="26" s="1"/>
  <c r="AJ8" i="26" s="1"/>
  <c r="AW67" i="26"/>
  <c r="O67" i="26" s="1"/>
  <c r="Q67" i="26" s="1"/>
  <c r="AW72" i="26"/>
  <c r="O72" i="26" s="1"/>
  <c r="Q72" i="26" s="1"/>
  <c r="AW27" i="26"/>
  <c r="O27" i="26" s="1"/>
  <c r="Q27" i="26" s="1"/>
  <c r="AB27" i="26" s="1"/>
  <c r="Z28" i="26" s="1"/>
  <c r="AL28" i="26" s="1"/>
  <c r="AX26" i="26"/>
  <c r="N26" i="26" s="1"/>
  <c r="P26" i="26" s="1"/>
  <c r="AI26" i="26" s="1"/>
  <c r="AJ26" i="26" s="1"/>
  <c r="AW37" i="26"/>
  <c r="O37" i="26" s="1"/>
  <c r="Q37" i="26" s="1"/>
  <c r="AW70" i="26"/>
  <c r="O70" i="26" s="1"/>
  <c r="Q70" i="26" s="1"/>
  <c r="AW48" i="26"/>
  <c r="O48" i="26" s="1"/>
  <c r="Q48" i="26" s="1"/>
  <c r="AW53" i="26"/>
  <c r="O53" i="26" s="1"/>
  <c r="Q53" i="26" s="1"/>
  <c r="AW36" i="26"/>
  <c r="O36" i="26" s="1"/>
  <c r="Q36" i="26" s="1"/>
  <c r="AW28" i="26"/>
  <c r="O28" i="26" s="1"/>
  <c r="Q28" i="26" s="1"/>
  <c r="AB28" i="26" s="1"/>
  <c r="Z29" i="26" s="1"/>
  <c r="AL29" i="26" s="1"/>
  <c r="AX10" i="26"/>
  <c r="N10" i="26" s="1"/>
  <c r="P10" i="26" s="1"/>
  <c r="AI10" i="26" s="1"/>
  <c r="AJ10" i="26" s="1"/>
  <c r="AX6" i="26"/>
  <c r="N6" i="26" s="1"/>
  <c r="P6" i="26" s="1"/>
  <c r="AI6" i="26" s="1"/>
  <c r="AJ6" i="26" s="1"/>
  <c r="AW52" i="26"/>
  <c r="O52" i="26" s="1"/>
  <c r="Q52" i="26" s="1"/>
  <c r="AW78" i="26"/>
  <c r="O78" i="26" s="1"/>
  <c r="Q78" i="26" s="1"/>
  <c r="AX29" i="26"/>
  <c r="N29" i="26" s="1"/>
  <c r="P29" i="26" s="1"/>
  <c r="AI29" i="26" s="1"/>
  <c r="AJ29" i="26" s="1"/>
  <c r="AW17" i="26"/>
  <c r="O17" i="26" s="1"/>
  <c r="Q17" i="26" s="1"/>
  <c r="AB17" i="26" s="1"/>
  <c r="Z18" i="26" s="1"/>
  <c r="AW69" i="26"/>
  <c r="O69" i="26" s="1"/>
  <c r="Q69" i="26" s="1"/>
  <c r="AX58" i="26"/>
  <c r="N58" i="26" s="1"/>
  <c r="P58" i="26" s="1"/>
  <c r="AW34" i="26"/>
  <c r="O34" i="26" s="1"/>
  <c r="Q34" i="26" s="1"/>
  <c r="AB34" i="26" s="1"/>
  <c r="AW61" i="26"/>
  <c r="O61" i="26" s="1"/>
  <c r="Q61" i="26" s="1"/>
  <c r="AX61" i="26"/>
  <c r="N61" i="26" s="1"/>
  <c r="P61" i="26" s="1"/>
  <c r="AW40" i="26"/>
  <c r="O40" i="26" s="1"/>
  <c r="Q40" i="26" s="1"/>
  <c r="AX25" i="26"/>
  <c r="N25" i="26" s="1"/>
  <c r="P25" i="26" s="1"/>
  <c r="AI25" i="26" s="1"/>
  <c r="AJ25" i="26" s="1"/>
  <c r="AW30" i="26"/>
  <c r="O30" i="26" s="1"/>
  <c r="Q30" i="26" s="1"/>
  <c r="AB30" i="26" s="1"/>
  <c r="Z31" i="26" s="1"/>
  <c r="AX69" i="26"/>
  <c r="N69" i="26" s="1"/>
  <c r="P69" i="26" s="1"/>
  <c r="AX59" i="26"/>
  <c r="N59" i="26" s="1"/>
  <c r="P59" i="26" s="1"/>
  <c r="AX23" i="26"/>
  <c r="N23" i="26" s="1"/>
  <c r="P23" i="26" s="1"/>
  <c r="AI23" i="26" s="1"/>
  <c r="AJ23" i="26" s="1"/>
  <c r="AX47" i="26"/>
  <c r="N47" i="26" s="1"/>
  <c r="P47" i="26" s="1"/>
  <c r="AW83" i="26"/>
  <c r="O83" i="26" s="1"/>
  <c r="Q83" i="26" s="1"/>
  <c r="AX41" i="26"/>
  <c r="N41" i="26" s="1"/>
  <c r="P41" i="26" s="1"/>
  <c r="AW64" i="26"/>
  <c r="O64" i="26" s="1"/>
  <c r="Q64" i="26" s="1"/>
  <c r="AX4" i="26"/>
  <c r="N4" i="26" s="1"/>
  <c r="P4" i="26" s="1"/>
  <c r="AW65" i="26"/>
  <c r="O65" i="26" s="1"/>
  <c r="Q65" i="26" s="1"/>
  <c r="AX9" i="26"/>
  <c r="N9" i="26" s="1"/>
  <c r="P9" i="26" s="1"/>
  <c r="AI9" i="26" s="1"/>
  <c r="AJ9" i="26" s="1"/>
  <c r="AX54" i="26"/>
  <c r="N54" i="26" s="1"/>
  <c r="P54" i="26" s="1"/>
  <c r="AX15" i="26"/>
  <c r="N15" i="26" s="1"/>
  <c r="P15" i="26" s="1"/>
  <c r="AI15" i="26" s="1"/>
  <c r="AJ15" i="26" s="1"/>
  <c r="AW38" i="26"/>
  <c r="O38" i="26" s="1"/>
  <c r="Q38" i="26" s="1"/>
  <c r="AX56" i="26"/>
  <c r="N56" i="26" s="1"/>
  <c r="P56" i="26" s="1"/>
  <c r="AX50" i="26"/>
  <c r="N50" i="26" s="1"/>
  <c r="P50" i="26" s="1"/>
  <c r="AW33" i="26"/>
  <c r="O33" i="26" s="1"/>
  <c r="Q33" i="26" s="1"/>
  <c r="AB33" i="26" s="1"/>
  <c r="Z34" i="26" s="1"/>
  <c r="AW7" i="26"/>
  <c r="O7" i="26" s="1"/>
  <c r="Q7" i="26" s="1"/>
  <c r="AB7" i="26" s="1"/>
  <c r="Z8" i="26" s="1"/>
  <c r="AX19" i="26"/>
  <c r="N19" i="26" s="1"/>
  <c r="P19" i="26" s="1"/>
  <c r="AI19" i="26" s="1"/>
  <c r="AJ19" i="26" s="1"/>
  <c r="AX51" i="26"/>
  <c r="N51" i="26" s="1"/>
  <c r="P51" i="26" s="1"/>
  <c r="AW75" i="26"/>
  <c r="O75" i="26" s="1"/>
  <c r="Q75" i="26" s="1"/>
  <c r="AX7" i="26"/>
  <c r="N7" i="26" s="1"/>
  <c r="P7" i="26" s="1"/>
  <c r="AI7" i="26" s="1"/>
  <c r="AJ7" i="26" s="1"/>
  <c r="AW87" i="26"/>
  <c r="O87" i="26" s="1"/>
  <c r="Q87" i="26" s="1"/>
  <c r="AX75" i="26"/>
  <c r="N75" i="26" s="1"/>
  <c r="P75" i="26" s="1"/>
  <c r="AX87" i="26"/>
  <c r="N87" i="26" s="1"/>
  <c r="P87" i="26" s="1"/>
  <c r="AW88" i="26"/>
  <c r="O88" i="26" s="1"/>
  <c r="Q88" i="26" s="1"/>
  <c r="AX88" i="26"/>
  <c r="N88" i="26" s="1"/>
  <c r="P88" i="26" s="1"/>
  <c r="AL26" i="26"/>
  <c r="AK26" i="26"/>
  <c r="AK25" i="26"/>
  <c r="AL25" i="26"/>
  <c r="AL20" i="26"/>
  <c r="AL27" i="26"/>
  <c r="AL6" i="26"/>
  <c r="Z5" i="26"/>
  <c r="AK4" i="26"/>
  <c r="AM4" i="26" s="1"/>
  <c r="AO4" i="26" s="1"/>
  <c r="AL13" i="26"/>
  <c r="AL22" i="26"/>
  <c r="AL16" i="26"/>
  <c r="AI34" i="26"/>
  <c r="AL24" i="26"/>
  <c r="AK24" i="26"/>
  <c r="AU84" i="25"/>
  <c r="W34" i="24"/>
  <c r="X34" i="24" s="1"/>
  <c r="U35" i="24" s="1"/>
  <c r="AU83" i="24"/>
  <c r="AU82" i="23"/>
  <c r="AV82" i="23" s="1"/>
  <c r="AA34" i="24"/>
  <c r="AN33" i="24"/>
  <c r="X34" i="23"/>
  <c r="AE34" i="26"/>
  <c r="U35" i="26"/>
  <c r="AG34" i="26"/>
  <c r="AC34" i="26"/>
  <c r="V35" i="25"/>
  <c r="AH35" i="25" s="1"/>
  <c r="AA35" i="25"/>
  <c r="AN34" i="25"/>
  <c r="AK9" i="26" l="1"/>
  <c r="AK20" i="26"/>
  <c r="AK13" i="26"/>
  <c r="AK21" i="26"/>
  <c r="AK6" i="26"/>
  <c r="AK12" i="26"/>
  <c r="AK14" i="26"/>
  <c r="AM14" i="26" s="1"/>
  <c r="AO14" i="26" s="1"/>
  <c r="AK31" i="26"/>
  <c r="AK19" i="26"/>
  <c r="AK10" i="26"/>
  <c r="AM10" i="26" s="1"/>
  <c r="AO10" i="26" s="1"/>
  <c r="AK8" i="26"/>
  <c r="AK18" i="26"/>
  <c r="AL19" i="26"/>
  <c r="AK15" i="26"/>
  <c r="AM15" i="26" s="1"/>
  <c r="AO15" i="26" s="1"/>
  <c r="AK16" i="26"/>
  <c r="AM16" i="26" s="1"/>
  <c r="AO16" i="26" s="1"/>
  <c r="AK11" i="26"/>
  <c r="AM11" i="26" s="1"/>
  <c r="AO11" i="26" s="1"/>
  <c r="AK32" i="26"/>
  <c r="AM32" i="26" s="1"/>
  <c r="AO32" i="26" s="1"/>
  <c r="AL12" i="26"/>
  <c r="AL23" i="26"/>
  <c r="AM23" i="26" s="1"/>
  <c r="AO23" i="26" s="1"/>
  <c r="AK22" i="26"/>
  <c r="AM22" i="26" s="1"/>
  <c r="AO22" i="26" s="1"/>
  <c r="AK27" i="26"/>
  <c r="AM27" i="26" s="1"/>
  <c r="AO27" i="26" s="1"/>
  <c r="AK29" i="26"/>
  <c r="AM29" i="26" s="1"/>
  <c r="AO29" i="26" s="1"/>
  <c r="AK28" i="26"/>
  <c r="AM28" i="26" s="1"/>
  <c r="AO28" i="26" s="1"/>
  <c r="AL31" i="26"/>
  <c r="AM31" i="26" s="1"/>
  <c r="AO31" i="26" s="1"/>
  <c r="AL18" i="26"/>
  <c r="AK17" i="26"/>
  <c r="AM17" i="26" s="1"/>
  <c r="AO17" i="26" s="1"/>
  <c r="AK30" i="26"/>
  <c r="AM30" i="26" s="1"/>
  <c r="AO30" i="26" s="1"/>
  <c r="AK33" i="26"/>
  <c r="AM33" i="26" s="1"/>
  <c r="AO33" i="26" s="1"/>
  <c r="AL8" i="26"/>
  <c r="AM8" i="26" s="1"/>
  <c r="AO8" i="26" s="1"/>
  <c r="AK7" i="26"/>
  <c r="AM7" i="26" s="1"/>
  <c r="AO7" i="26" s="1"/>
  <c r="AM20" i="26"/>
  <c r="AO20" i="26" s="1"/>
  <c r="AM21" i="26"/>
  <c r="AO21" i="26" s="1"/>
  <c r="AM9" i="26"/>
  <c r="AO9" i="26" s="1"/>
  <c r="AM25" i="26"/>
  <c r="AO25" i="26" s="1"/>
  <c r="AM13" i="26"/>
  <c r="AO13" i="26" s="1"/>
  <c r="AM26" i="26"/>
  <c r="AO26" i="26" s="1"/>
  <c r="AM6" i="26"/>
  <c r="AO6" i="26" s="1"/>
  <c r="AL5" i="26"/>
  <c r="AK5" i="26"/>
  <c r="AM24" i="26"/>
  <c r="AO24" i="26" s="1"/>
  <c r="AV84" i="25"/>
  <c r="AU85" i="25" s="1"/>
  <c r="AV85" i="25" s="1"/>
  <c r="AV83" i="24"/>
  <c r="AU84" i="24" s="1"/>
  <c r="AV84" i="24" s="1"/>
  <c r="AU83" i="23"/>
  <c r="AV83" i="23" s="1"/>
  <c r="W35" i="25"/>
  <c r="AG34" i="24"/>
  <c r="AE34" i="24"/>
  <c r="AC34" i="24"/>
  <c r="AA35" i="24" s="1"/>
  <c r="U35" i="23"/>
  <c r="AE34" i="23"/>
  <c r="AG34" i="23"/>
  <c r="AC34" i="23"/>
  <c r="AA35" i="26"/>
  <c r="AN34" i="26"/>
  <c r="Z35" i="26"/>
  <c r="AK34" i="26"/>
  <c r="V35" i="26"/>
  <c r="AH35" i="26" s="1"/>
  <c r="AJ34" i="26"/>
  <c r="AL34" i="26"/>
  <c r="V35" i="24"/>
  <c r="AH35" i="24" s="1"/>
  <c r="AM12" i="26" l="1"/>
  <c r="AO12" i="26" s="1"/>
  <c r="AM19" i="26"/>
  <c r="AO19" i="26" s="1"/>
  <c r="AM18" i="26"/>
  <c r="AO18" i="26" s="1"/>
  <c r="AM5" i="26"/>
  <c r="AO5" i="26" s="1"/>
  <c r="AU86" i="25"/>
  <c r="AV86" i="25" s="1"/>
  <c r="X35" i="25"/>
  <c r="AC35" i="25" s="1"/>
  <c r="AU85" i="24"/>
  <c r="AV85" i="24" s="1"/>
  <c r="AU84" i="23"/>
  <c r="AV84" i="23" s="1"/>
  <c r="AM34" i="26"/>
  <c r="AO34" i="26" s="1"/>
  <c r="W35" i="26"/>
  <c r="AI35" i="26" s="1"/>
  <c r="AN34" i="24"/>
  <c r="W35" i="24"/>
  <c r="V35" i="23"/>
  <c r="W35" i="23" s="1"/>
  <c r="AA35" i="23"/>
  <c r="AN34" i="23"/>
  <c r="X35" i="26" l="1"/>
  <c r="AE35" i="26" s="1"/>
  <c r="AG35" i="25"/>
  <c r="U36" i="25"/>
  <c r="V36" i="25" s="1"/>
  <c r="AH36" i="25" s="1"/>
  <c r="AE35" i="25"/>
  <c r="AU87" i="25"/>
  <c r="AU86" i="24"/>
  <c r="AV86" i="24" s="1"/>
  <c r="AU85" i="23"/>
  <c r="AV85" i="23" s="1"/>
  <c r="X35" i="24"/>
  <c r="AE35" i="24" s="1"/>
  <c r="AH35" i="23"/>
  <c r="X35" i="23"/>
  <c r="AA36" i="25"/>
  <c r="AN35" i="25"/>
  <c r="AB35" i="26" l="1"/>
  <c r="AK35" i="26" s="1"/>
  <c r="U36" i="26"/>
  <c r="V36" i="26" s="1"/>
  <c r="AH36" i="26" s="1"/>
  <c r="AC35" i="26"/>
  <c r="AA36" i="26" s="1"/>
  <c r="AG35" i="26"/>
  <c r="AJ35" i="26" s="1"/>
  <c r="AV87" i="25"/>
  <c r="AU88" i="25" s="1"/>
  <c r="AV88" i="25" s="1"/>
  <c r="U36" i="24"/>
  <c r="V36" i="24" s="1"/>
  <c r="AH36" i="24" s="1"/>
  <c r="AU87" i="24"/>
  <c r="AV87" i="24" s="1"/>
  <c r="AC35" i="24"/>
  <c r="AA36" i="24" s="1"/>
  <c r="AG35" i="24"/>
  <c r="AU86" i="23"/>
  <c r="AV86" i="23" s="1"/>
  <c r="W36" i="25"/>
  <c r="U36" i="23"/>
  <c r="AG35" i="23"/>
  <c r="AE35" i="23"/>
  <c r="AC35" i="23"/>
  <c r="AL35" i="26"/>
  <c r="Z36" i="26" l="1"/>
  <c r="AN35" i="26"/>
  <c r="AU89" i="25"/>
  <c r="AV89" i="25" s="1"/>
  <c r="AX87" i="25" s="1"/>
  <c r="N87" i="25" s="1"/>
  <c r="P87" i="25" s="1"/>
  <c r="AN35" i="24"/>
  <c r="AU88" i="24"/>
  <c r="AU87" i="23"/>
  <c r="AV87" i="23" s="1"/>
  <c r="X36" i="25"/>
  <c r="U37" i="25" s="1"/>
  <c r="AM35" i="26"/>
  <c r="AN35" i="23"/>
  <c r="AA36" i="23"/>
  <c r="V36" i="23"/>
  <c r="W36" i="26"/>
  <c r="AI36" i="26" s="1"/>
  <c r="W36" i="24"/>
  <c r="AV88" i="24" l="1"/>
  <c r="AU89" i="24"/>
  <c r="AV89" i="24" s="1"/>
  <c r="AO35" i="26"/>
  <c r="AW80" i="25"/>
  <c r="O80" i="25" s="1"/>
  <c r="Q80" i="25" s="1"/>
  <c r="AX83" i="25"/>
  <c r="N83" i="25" s="1"/>
  <c r="P83" i="25" s="1"/>
  <c r="AX80" i="25"/>
  <c r="N80" i="25" s="1"/>
  <c r="P80" i="25" s="1"/>
  <c r="AW81" i="25"/>
  <c r="O81" i="25" s="1"/>
  <c r="Q81" i="25" s="1"/>
  <c r="AX82" i="25"/>
  <c r="N82" i="25" s="1"/>
  <c r="P82" i="25" s="1"/>
  <c r="AX79" i="25"/>
  <c r="N79" i="25" s="1"/>
  <c r="P79" i="25" s="1"/>
  <c r="AW85" i="25"/>
  <c r="O85" i="25" s="1"/>
  <c r="Q85" i="25" s="1"/>
  <c r="AW82" i="25"/>
  <c r="O82" i="25" s="1"/>
  <c r="Q82" i="25" s="1"/>
  <c r="AX86" i="25"/>
  <c r="N86" i="25" s="1"/>
  <c r="P86" i="25" s="1"/>
  <c r="AW83" i="25"/>
  <c r="O83" i="25" s="1"/>
  <c r="Q83" i="25" s="1"/>
  <c r="AW84" i="25"/>
  <c r="O84" i="25" s="1"/>
  <c r="Q84" i="25" s="1"/>
  <c r="AX81" i="25"/>
  <c r="N81" i="25" s="1"/>
  <c r="P81" i="25" s="1"/>
  <c r="AW78" i="25"/>
  <c r="O78" i="25" s="1"/>
  <c r="Q78" i="25" s="1"/>
  <c r="AW87" i="25"/>
  <c r="O87" i="25" s="1"/>
  <c r="Q87" i="25" s="1"/>
  <c r="AW79" i="25"/>
  <c r="O79" i="25" s="1"/>
  <c r="Q79" i="25" s="1"/>
  <c r="AW86" i="25"/>
  <c r="O86" i="25" s="1"/>
  <c r="Q86" i="25" s="1"/>
  <c r="AX85" i="25"/>
  <c r="N85" i="25" s="1"/>
  <c r="P85" i="25" s="1"/>
  <c r="AX78" i="25"/>
  <c r="N78" i="25" s="1"/>
  <c r="P78" i="25" s="1"/>
  <c r="AX84" i="25"/>
  <c r="N84" i="25" s="1"/>
  <c r="P84" i="25" s="1"/>
  <c r="AW88" i="25"/>
  <c r="O88" i="25" s="1"/>
  <c r="Q88" i="25" s="1"/>
  <c r="AX88" i="25"/>
  <c r="N88" i="25" s="1"/>
  <c r="P88" i="25" s="1"/>
  <c r="AX30" i="25"/>
  <c r="N30" i="25" s="1"/>
  <c r="P30" i="25" s="1"/>
  <c r="AI30" i="25" s="1"/>
  <c r="AJ30" i="25" s="1"/>
  <c r="AX57" i="25"/>
  <c r="N57" i="25" s="1"/>
  <c r="P57" i="25" s="1"/>
  <c r="AX64" i="25"/>
  <c r="N64" i="25" s="1"/>
  <c r="P64" i="25" s="1"/>
  <c r="AW42" i="25"/>
  <c r="O42" i="25" s="1"/>
  <c r="Q42" i="25" s="1"/>
  <c r="AX21" i="25"/>
  <c r="N21" i="25" s="1"/>
  <c r="P21" i="25" s="1"/>
  <c r="AI21" i="25" s="1"/>
  <c r="AJ21" i="25" s="1"/>
  <c r="AX33" i="25"/>
  <c r="N33" i="25" s="1"/>
  <c r="P33" i="25" s="1"/>
  <c r="AI33" i="25" s="1"/>
  <c r="AJ33" i="25" s="1"/>
  <c r="AW61" i="25"/>
  <c r="O61" i="25" s="1"/>
  <c r="Q61" i="25" s="1"/>
  <c r="AX6" i="25"/>
  <c r="N6" i="25" s="1"/>
  <c r="P6" i="25" s="1"/>
  <c r="AI6" i="25" s="1"/>
  <c r="AJ6" i="25" s="1"/>
  <c r="AX27" i="25"/>
  <c r="N27" i="25" s="1"/>
  <c r="P27" i="25" s="1"/>
  <c r="AI27" i="25" s="1"/>
  <c r="AJ27" i="25" s="1"/>
  <c r="AW6" i="25"/>
  <c r="O6" i="25" s="1"/>
  <c r="Q6" i="25" s="1"/>
  <c r="AB6" i="25" s="1"/>
  <c r="Z7" i="25" s="1"/>
  <c r="AX19" i="25"/>
  <c r="N19" i="25" s="1"/>
  <c r="P19" i="25" s="1"/>
  <c r="AI19" i="25" s="1"/>
  <c r="AJ19" i="25" s="1"/>
  <c r="AX61" i="25"/>
  <c r="N61" i="25" s="1"/>
  <c r="P61" i="25" s="1"/>
  <c r="AW34" i="25"/>
  <c r="O34" i="25" s="1"/>
  <c r="Q34" i="25" s="1"/>
  <c r="AB34" i="25" s="1"/>
  <c r="Z35" i="25" s="1"/>
  <c r="AX60" i="25"/>
  <c r="N60" i="25" s="1"/>
  <c r="P60" i="25" s="1"/>
  <c r="AX40" i="25"/>
  <c r="N40" i="25" s="1"/>
  <c r="P40" i="25" s="1"/>
  <c r="AW17" i="25"/>
  <c r="O17" i="25" s="1"/>
  <c r="Q17" i="25" s="1"/>
  <c r="AB17" i="25" s="1"/>
  <c r="Z18" i="25" s="1"/>
  <c r="AW43" i="25"/>
  <c r="O43" i="25" s="1"/>
  <c r="Q43" i="25" s="1"/>
  <c r="AW5" i="25"/>
  <c r="O5" i="25" s="1"/>
  <c r="Q5" i="25" s="1"/>
  <c r="AB5" i="25" s="1"/>
  <c r="Z6" i="25" s="1"/>
  <c r="AW30" i="25"/>
  <c r="O30" i="25" s="1"/>
  <c r="Q30" i="25" s="1"/>
  <c r="AB30" i="25" s="1"/>
  <c r="Z31" i="25" s="1"/>
  <c r="AX10" i="25"/>
  <c r="N10" i="25" s="1"/>
  <c r="P10" i="25" s="1"/>
  <c r="AI10" i="25" s="1"/>
  <c r="AJ10" i="25" s="1"/>
  <c r="AW37" i="25"/>
  <c r="O37" i="25" s="1"/>
  <c r="Q37" i="25" s="1"/>
  <c r="AW28" i="25"/>
  <c r="O28" i="25" s="1"/>
  <c r="Q28" i="25" s="1"/>
  <c r="AB28" i="25" s="1"/>
  <c r="Z29" i="25" s="1"/>
  <c r="AX42" i="25"/>
  <c r="N42" i="25" s="1"/>
  <c r="P42" i="25" s="1"/>
  <c r="AW33" i="25"/>
  <c r="O33" i="25" s="1"/>
  <c r="Q33" i="25" s="1"/>
  <c r="AB33" i="25" s="1"/>
  <c r="Z34" i="25" s="1"/>
  <c r="AW11" i="25"/>
  <c r="O11" i="25" s="1"/>
  <c r="Q11" i="25" s="1"/>
  <c r="AB11" i="25" s="1"/>
  <c r="Z12" i="25" s="1"/>
  <c r="AW62" i="25"/>
  <c r="O62" i="25" s="1"/>
  <c r="Q62" i="25" s="1"/>
  <c r="AW44" i="25"/>
  <c r="O44" i="25" s="1"/>
  <c r="Q44" i="25" s="1"/>
  <c r="AX29" i="25"/>
  <c r="N29" i="25" s="1"/>
  <c r="P29" i="25" s="1"/>
  <c r="AI29" i="25" s="1"/>
  <c r="AJ29" i="25" s="1"/>
  <c r="AW54" i="25"/>
  <c r="O54" i="25" s="1"/>
  <c r="Q54" i="25" s="1"/>
  <c r="AW67" i="25"/>
  <c r="O67" i="25" s="1"/>
  <c r="Q67" i="25" s="1"/>
  <c r="AW29" i="25"/>
  <c r="O29" i="25" s="1"/>
  <c r="Q29" i="25" s="1"/>
  <c r="AB29" i="25" s="1"/>
  <c r="Z30" i="25" s="1"/>
  <c r="AX69" i="25"/>
  <c r="N69" i="25" s="1"/>
  <c r="P69" i="25" s="1"/>
  <c r="AW35" i="25"/>
  <c r="O35" i="25" s="1"/>
  <c r="Q35" i="25" s="1"/>
  <c r="AB35" i="25" s="1"/>
  <c r="Z36" i="25" s="1"/>
  <c r="AW20" i="25"/>
  <c r="O20" i="25" s="1"/>
  <c r="Q20" i="25" s="1"/>
  <c r="AB20" i="25" s="1"/>
  <c r="Z21" i="25" s="1"/>
  <c r="AX43" i="25"/>
  <c r="N43" i="25" s="1"/>
  <c r="P43" i="25" s="1"/>
  <c r="AW45" i="25"/>
  <c r="O45" i="25" s="1"/>
  <c r="Q45" i="25" s="1"/>
  <c r="AW40" i="25"/>
  <c r="O40" i="25" s="1"/>
  <c r="Q40" i="25" s="1"/>
  <c r="AX49" i="25"/>
  <c r="N49" i="25" s="1"/>
  <c r="P49" i="25" s="1"/>
  <c r="AX41" i="25"/>
  <c r="N41" i="25" s="1"/>
  <c r="P41" i="25" s="1"/>
  <c r="AW68" i="25"/>
  <c r="O68" i="25" s="1"/>
  <c r="Q68" i="25" s="1"/>
  <c r="AW22" i="25"/>
  <c r="O22" i="25" s="1"/>
  <c r="Q22" i="25" s="1"/>
  <c r="AB22" i="25" s="1"/>
  <c r="Z23" i="25" s="1"/>
  <c r="AW36" i="25"/>
  <c r="O36" i="25" s="1"/>
  <c r="Q36" i="25" s="1"/>
  <c r="AB36" i="25" s="1"/>
  <c r="Z37" i="25" s="1"/>
  <c r="AX12" i="25"/>
  <c r="N12" i="25" s="1"/>
  <c r="P12" i="25" s="1"/>
  <c r="AI12" i="25" s="1"/>
  <c r="AJ12" i="25" s="1"/>
  <c r="AX65" i="25"/>
  <c r="N65" i="25" s="1"/>
  <c r="P65" i="25" s="1"/>
  <c r="AW49" i="25"/>
  <c r="O49" i="25" s="1"/>
  <c r="Q49" i="25" s="1"/>
  <c r="AW27" i="25"/>
  <c r="O27" i="25" s="1"/>
  <c r="Q27" i="25" s="1"/>
  <c r="AB27" i="25" s="1"/>
  <c r="Z28" i="25" s="1"/>
  <c r="AX50" i="25"/>
  <c r="N50" i="25" s="1"/>
  <c r="P50" i="25" s="1"/>
  <c r="AX45" i="25"/>
  <c r="N45" i="25" s="1"/>
  <c r="P45" i="25" s="1"/>
  <c r="AW23" i="25"/>
  <c r="O23" i="25" s="1"/>
  <c r="Q23" i="25" s="1"/>
  <c r="AB23" i="25" s="1"/>
  <c r="Z24" i="25" s="1"/>
  <c r="AW58" i="25"/>
  <c r="O58" i="25" s="1"/>
  <c r="Q58" i="25" s="1"/>
  <c r="AX14" i="25"/>
  <c r="N14" i="25" s="1"/>
  <c r="P14" i="25" s="1"/>
  <c r="AI14" i="25" s="1"/>
  <c r="AJ14" i="25" s="1"/>
  <c r="AX13" i="25"/>
  <c r="N13" i="25" s="1"/>
  <c r="P13" i="25" s="1"/>
  <c r="AI13" i="25" s="1"/>
  <c r="AJ13" i="25" s="1"/>
  <c r="AW4" i="25"/>
  <c r="O4" i="25" s="1"/>
  <c r="Q4" i="25" s="1"/>
  <c r="AB4" i="25" s="1"/>
  <c r="AX54" i="25"/>
  <c r="N54" i="25" s="1"/>
  <c r="P54" i="25" s="1"/>
  <c r="AX55" i="25"/>
  <c r="N55" i="25" s="1"/>
  <c r="P55" i="25" s="1"/>
  <c r="AW41" i="25"/>
  <c r="O41" i="25" s="1"/>
  <c r="Q41" i="25" s="1"/>
  <c r="AW51" i="25"/>
  <c r="O51" i="25" s="1"/>
  <c r="Q51" i="25" s="1"/>
  <c r="AW9" i="25"/>
  <c r="O9" i="25" s="1"/>
  <c r="Q9" i="25" s="1"/>
  <c r="AB9" i="25" s="1"/>
  <c r="Z10" i="25" s="1"/>
  <c r="AX18" i="25"/>
  <c r="N18" i="25" s="1"/>
  <c r="P18" i="25" s="1"/>
  <c r="AI18" i="25" s="1"/>
  <c r="AJ18" i="25" s="1"/>
  <c r="AX8" i="25"/>
  <c r="N8" i="25" s="1"/>
  <c r="P8" i="25" s="1"/>
  <c r="AI8" i="25" s="1"/>
  <c r="AJ8" i="25" s="1"/>
  <c r="AW48" i="25"/>
  <c r="O48" i="25" s="1"/>
  <c r="Q48" i="25" s="1"/>
  <c r="AX34" i="25"/>
  <c r="N34" i="25" s="1"/>
  <c r="P34" i="25" s="1"/>
  <c r="AI34" i="25" s="1"/>
  <c r="AJ34" i="25" s="1"/>
  <c r="AW66" i="25"/>
  <c r="O66" i="25" s="1"/>
  <c r="Q66" i="25" s="1"/>
  <c r="AX37" i="25"/>
  <c r="N37" i="25" s="1"/>
  <c r="P37" i="25" s="1"/>
  <c r="AW26" i="25"/>
  <c r="O26" i="25" s="1"/>
  <c r="Q26" i="25" s="1"/>
  <c r="AB26" i="25" s="1"/>
  <c r="Z27" i="25" s="1"/>
  <c r="AX4" i="25"/>
  <c r="N4" i="25" s="1"/>
  <c r="P4" i="25" s="1"/>
  <c r="AX11" i="25"/>
  <c r="N11" i="25" s="1"/>
  <c r="P11" i="25" s="1"/>
  <c r="AI11" i="25" s="1"/>
  <c r="AJ11" i="25" s="1"/>
  <c r="AX35" i="25"/>
  <c r="N35" i="25" s="1"/>
  <c r="P35" i="25" s="1"/>
  <c r="AI35" i="25" s="1"/>
  <c r="AJ35" i="25" s="1"/>
  <c r="AX62" i="25"/>
  <c r="N62" i="25" s="1"/>
  <c r="P62" i="25" s="1"/>
  <c r="AW38" i="25"/>
  <c r="O38" i="25" s="1"/>
  <c r="Q38" i="25" s="1"/>
  <c r="AX53" i="25"/>
  <c r="N53" i="25" s="1"/>
  <c r="P53" i="25" s="1"/>
  <c r="AX63" i="25"/>
  <c r="N63" i="25" s="1"/>
  <c r="P63" i="25" s="1"/>
  <c r="AX16" i="25"/>
  <c r="N16" i="25" s="1"/>
  <c r="P16" i="25" s="1"/>
  <c r="AI16" i="25" s="1"/>
  <c r="AJ16" i="25" s="1"/>
  <c r="AX20" i="25"/>
  <c r="N20" i="25" s="1"/>
  <c r="P20" i="25" s="1"/>
  <c r="AI20" i="25" s="1"/>
  <c r="AJ20" i="25" s="1"/>
  <c r="AX47" i="25"/>
  <c r="N47" i="25" s="1"/>
  <c r="P47" i="25" s="1"/>
  <c r="AX48" i="25"/>
  <c r="N48" i="25" s="1"/>
  <c r="P48" i="25" s="1"/>
  <c r="AW56" i="25"/>
  <c r="O56" i="25" s="1"/>
  <c r="Q56" i="25" s="1"/>
  <c r="AW14" i="25"/>
  <c r="O14" i="25" s="1"/>
  <c r="Q14" i="25" s="1"/>
  <c r="AB14" i="25" s="1"/>
  <c r="Z15" i="25" s="1"/>
  <c r="AX67" i="25"/>
  <c r="N67" i="25" s="1"/>
  <c r="P67" i="25" s="1"/>
  <c r="AW12" i="25"/>
  <c r="O12" i="25" s="1"/>
  <c r="Q12" i="25" s="1"/>
  <c r="AB12" i="25" s="1"/>
  <c r="Z13" i="25" s="1"/>
  <c r="AX36" i="25"/>
  <c r="N36" i="25" s="1"/>
  <c r="P36" i="25" s="1"/>
  <c r="AI36" i="25" s="1"/>
  <c r="AX56" i="25"/>
  <c r="N56" i="25" s="1"/>
  <c r="P56" i="25" s="1"/>
  <c r="AX31" i="25"/>
  <c r="N31" i="25" s="1"/>
  <c r="P31" i="25" s="1"/>
  <c r="AI31" i="25" s="1"/>
  <c r="AJ31" i="25" s="1"/>
  <c r="AX32" i="25"/>
  <c r="N32" i="25" s="1"/>
  <c r="P32" i="25" s="1"/>
  <c r="AI32" i="25" s="1"/>
  <c r="AJ32" i="25" s="1"/>
  <c r="AX58" i="25"/>
  <c r="N58" i="25" s="1"/>
  <c r="P58" i="25" s="1"/>
  <c r="AX28" i="25"/>
  <c r="N28" i="25" s="1"/>
  <c r="P28" i="25" s="1"/>
  <c r="AI28" i="25" s="1"/>
  <c r="AJ28" i="25" s="1"/>
  <c r="AW16" i="25"/>
  <c r="O16" i="25" s="1"/>
  <c r="Q16" i="25" s="1"/>
  <c r="AB16" i="25" s="1"/>
  <c r="Z17" i="25" s="1"/>
  <c r="AW39" i="25"/>
  <c r="O39" i="25" s="1"/>
  <c r="Q39" i="25" s="1"/>
  <c r="AX5" i="25"/>
  <c r="N5" i="25" s="1"/>
  <c r="P5" i="25" s="1"/>
  <c r="AI5" i="25" s="1"/>
  <c r="AJ5" i="25" s="1"/>
  <c r="AX15" i="25"/>
  <c r="N15" i="25" s="1"/>
  <c r="P15" i="25" s="1"/>
  <c r="AI15" i="25" s="1"/>
  <c r="AJ15" i="25" s="1"/>
  <c r="AW18" i="25"/>
  <c r="O18" i="25" s="1"/>
  <c r="Q18" i="25" s="1"/>
  <c r="AB18" i="25" s="1"/>
  <c r="Z19" i="25" s="1"/>
  <c r="AW47" i="25"/>
  <c r="O47" i="25" s="1"/>
  <c r="Q47" i="25" s="1"/>
  <c r="AX52" i="25"/>
  <c r="N52" i="25" s="1"/>
  <c r="P52" i="25" s="1"/>
  <c r="AW24" i="25"/>
  <c r="O24" i="25" s="1"/>
  <c r="Q24" i="25" s="1"/>
  <c r="AB24" i="25" s="1"/>
  <c r="Z25" i="25" s="1"/>
  <c r="AW57" i="25"/>
  <c r="O57" i="25" s="1"/>
  <c r="Q57" i="25" s="1"/>
  <c r="AW15" i="25"/>
  <c r="O15" i="25" s="1"/>
  <c r="Q15" i="25" s="1"/>
  <c r="AB15" i="25" s="1"/>
  <c r="Z16" i="25" s="1"/>
  <c r="AW32" i="25"/>
  <c r="O32" i="25" s="1"/>
  <c r="Q32" i="25" s="1"/>
  <c r="AB32" i="25" s="1"/>
  <c r="Z33" i="25" s="1"/>
  <c r="AW31" i="25"/>
  <c r="O31" i="25" s="1"/>
  <c r="Q31" i="25" s="1"/>
  <c r="AB31" i="25" s="1"/>
  <c r="Z32" i="25" s="1"/>
  <c r="AW50" i="25"/>
  <c r="O50" i="25" s="1"/>
  <c r="Q50" i="25" s="1"/>
  <c r="AX66" i="25"/>
  <c r="N66" i="25" s="1"/>
  <c r="P66" i="25" s="1"/>
  <c r="AW69" i="25"/>
  <c r="O69" i="25" s="1"/>
  <c r="Q69" i="25" s="1"/>
  <c r="AW55" i="25"/>
  <c r="O55" i="25" s="1"/>
  <c r="Q55" i="25" s="1"/>
  <c r="AW10" i="25"/>
  <c r="O10" i="25" s="1"/>
  <c r="Q10" i="25" s="1"/>
  <c r="AB10" i="25" s="1"/>
  <c r="Z11" i="25" s="1"/>
  <c r="AW60" i="25"/>
  <c r="O60" i="25" s="1"/>
  <c r="Q60" i="25" s="1"/>
  <c r="AW21" i="25"/>
  <c r="O21" i="25" s="1"/>
  <c r="Q21" i="25" s="1"/>
  <c r="AB21" i="25" s="1"/>
  <c r="Z22" i="25" s="1"/>
  <c r="AW52" i="25"/>
  <c r="O52" i="25" s="1"/>
  <c r="Q52" i="25" s="1"/>
  <c r="AW59" i="25"/>
  <c r="O59" i="25" s="1"/>
  <c r="Q59" i="25" s="1"/>
  <c r="AW8" i="25"/>
  <c r="O8" i="25" s="1"/>
  <c r="Q8" i="25" s="1"/>
  <c r="AB8" i="25" s="1"/>
  <c r="Z9" i="25" s="1"/>
  <c r="AX26" i="25"/>
  <c r="N26" i="25" s="1"/>
  <c r="P26" i="25" s="1"/>
  <c r="AI26" i="25" s="1"/>
  <c r="AJ26" i="25" s="1"/>
  <c r="AX7" i="25"/>
  <c r="N7" i="25" s="1"/>
  <c r="P7" i="25" s="1"/>
  <c r="AI7" i="25" s="1"/>
  <c r="AJ7" i="25" s="1"/>
  <c r="AX17" i="25"/>
  <c r="N17" i="25" s="1"/>
  <c r="P17" i="25" s="1"/>
  <c r="AI17" i="25" s="1"/>
  <c r="AJ17" i="25" s="1"/>
  <c r="AX38" i="25"/>
  <c r="N38" i="25" s="1"/>
  <c r="P38" i="25" s="1"/>
  <c r="AX22" i="25"/>
  <c r="N22" i="25" s="1"/>
  <c r="P22" i="25" s="1"/>
  <c r="AI22" i="25" s="1"/>
  <c r="AJ22" i="25" s="1"/>
  <c r="AX25" i="25"/>
  <c r="N25" i="25" s="1"/>
  <c r="P25" i="25" s="1"/>
  <c r="AI25" i="25" s="1"/>
  <c r="AJ25" i="25" s="1"/>
  <c r="AX24" i="25"/>
  <c r="N24" i="25" s="1"/>
  <c r="P24" i="25" s="1"/>
  <c r="AI24" i="25" s="1"/>
  <c r="AJ24" i="25" s="1"/>
  <c r="AW46" i="25"/>
  <c r="O46" i="25" s="1"/>
  <c r="Q46" i="25" s="1"/>
  <c r="AX51" i="25"/>
  <c r="N51" i="25" s="1"/>
  <c r="P51" i="25" s="1"/>
  <c r="AX44" i="25"/>
  <c r="N44" i="25" s="1"/>
  <c r="P44" i="25" s="1"/>
  <c r="AW64" i="25"/>
  <c r="O64" i="25" s="1"/>
  <c r="Q64" i="25" s="1"/>
  <c r="AX39" i="25"/>
  <c r="N39" i="25" s="1"/>
  <c r="P39" i="25" s="1"/>
  <c r="AW13" i="25"/>
  <c r="O13" i="25" s="1"/>
  <c r="Q13" i="25" s="1"/>
  <c r="AB13" i="25" s="1"/>
  <c r="Z14" i="25" s="1"/>
  <c r="AW65" i="25"/>
  <c r="O65" i="25" s="1"/>
  <c r="Q65" i="25" s="1"/>
  <c r="AW25" i="25"/>
  <c r="O25" i="25" s="1"/>
  <c r="Q25" i="25" s="1"/>
  <c r="AB25" i="25" s="1"/>
  <c r="Z26" i="25" s="1"/>
  <c r="AX9" i="25"/>
  <c r="N9" i="25" s="1"/>
  <c r="P9" i="25" s="1"/>
  <c r="AI9" i="25" s="1"/>
  <c r="AJ9" i="25" s="1"/>
  <c r="AX68" i="25"/>
  <c r="N68" i="25" s="1"/>
  <c r="P68" i="25" s="1"/>
  <c r="AX23" i="25"/>
  <c r="N23" i="25" s="1"/>
  <c r="P23" i="25" s="1"/>
  <c r="AI23" i="25" s="1"/>
  <c r="AJ23" i="25" s="1"/>
  <c r="AW7" i="25"/>
  <c r="O7" i="25" s="1"/>
  <c r="Q7" i="25" s="1"/>
  <c r="AB7" i="25" s="1"/>
  <c r="Z8" i="25" s="1"/>
  <c r="AW63" i="25"/>
  <c r="O63" i="25" s="1"/>
  <c r="Q63" i="25" s="1"/>
  <c r="AW19" i="25"/>
  <c r="O19" i="25" s="1"/>
  <c r="Q19" i="25" s="1"/>
  <c r="AB19" i="25" s="1"/>
  <c r="Z20" i="25" s="1"/>
  <c r="AX59" i="25"/>
  <c r="N59" i="25" s="1"/>
  <c r="P59" i="25" s="1"/>
  <c r="AX46" i="25"/>
  <c r="N46" i="25" s="1"/>
  <c r="P46" i="25" s="1"/>
  <c r="AW53" i="25"/>
  <c r="O53" i="25" s="1"/>
  <c r="Q53" i="25" s="1"/>
  <c r="AW70" i="25"/>
  <c r="O70" i="25" s="1"/>
  <c r="Q70" i="25" s="1"/>
  <c r="AX70" i="25"/>
  <c r="N70" i="25" s="1"/>
  <c r="P70" i="25" s="1"/>
  <c r="AW71" i="25"/>
  <c r="O71" i="25" s="1"/>
  <c r="Q71" i="25" s="1"/>
  <c r="AX71" i="25"/>
  <c r="N71" i="25" s="1"/>
  <c r="P71" i="25" s="1"/>
  <c r="AW72" i="25"/>
  <c r="O72" i="25" s="1"/>
  <c r="Q72" i="25" s="1"/>
  <c r="AX72" i="25"/>
  <c r="N72" i="25" s="1"/>
  <c r="P72" i="25" s="1"/>
  <c r="AX73" i="25"/>
  <c r="N73" i="25" s="1"/>
  <c r="P73" i="25" s="1"/>
  <c r="AW73" i="25"/>
  <c r="O73" i="25" s="1"/>
  <c r="Q73" i="25" s="1"/>
  <c r="AW74" i="25"/>
  <c r="O74" i="25" s="1"/>
  <c r="Q74" i="25" s="1"/>
  <c r="AX75" i="25"/>
  <c r="N75" i="25" s="1"/>
  <c r="P75" i="25" s="1"/>
  <c r="AW75" i="25"/>
  <c r="O75" i="25" s="1"/>
  <c r="Q75" i="25" s="1"/>
  <c r="AX74" i="25"/>
  <c r="N74" i="25" s="1"/>
  <c r="P74" i="25" s="1"/>
  <c r="AW76" i="25"/>
  <c r="O76" i="25" s="1"/>
  <c r="Q76" i="25" s="1"/>
  <c r="AX76" i="25"/>
  <c r="N76" i="25" s="1"/>
  <c r="P76" i="25" s="1"/>
  <c r="AW77" i="25"/>
  <c r="O77" i="25" s="1"/>
  <c r="Q77" i="25" s="1"/>
  <c r="AX77" i="25"/>
  <c r="N77" i="25" s="1"/>
  <c r="P77" i="25" s="1"/>
  <c r="AC36" i="25"/>
  <c r="AA37" i="25" s="1"/>
  <c r="AG36" i="25"/>
  <c r="AE36" i="25"/>
  <c r="AX86" i="24"/>
  <c r="N86" i="24" s="1"/>
  <c r="P86" i="24" s="1"/>
  <c r="AX82" i="24"/>
  <c r="N82" i="24" s="1"/>
  <c r="P82" i="24" s="1"/>
  <c r="AX62" i="24"/>
  <c r="N62" i="24" s="1"/>
  <c r="P62" i="24" s="1"/>
  <c r="AX9" i="24"/>
  <c r="N9" i="24" s="1"/>
  <c r="P9" i="24" s="1"/>
  <c r="AI9" i="24" s="1"/>
  <c r="AJ9" i="24" s="1"/>
  <c r="AW33" i="24"/>
  <c r="O33" i="24" s="1"/>
  <c r="Q33" i="24" s="1"/>
  <c r="AB33" i="24" s="1"/>
  <c r="Z34" i="24" s="1"/>
  <c r="AW68" i="24"/>
  <c r="O68" i="24" s="1"/>
  <c r="Q68" i="24" s="1"/>
  <c r="AW23" i="24"/>
  <c r="O23" i="24" s="1"/>
  <c r="Q23" i="24" s="1"/>
  <c r="AB23" i="24" s="1"/>
  <c r="Z24" i="24" s="1"/>
  <c r="AW66" i="24"/>
  <c r="O66" i="24" s="1"/>
  <c r="Q66" i="24" s="1"/>
  <c r="AX11" i="24"/>
  <c r="N11" i="24" s="1"/>
  <c r="P11" i="24" s="1"/>
  <c r="AI11" i="24" s="1"/>
  <c r="AJ11" i="24" s="1"/>
  <c r="AX51" i="24"/>
  <c r="N51" i="24" s="1"/>
  <c r="P51" i="24" s="1"/>
  <c r="AW59" i="24"/>
  <c r="O59" i="24" s="1"/>
  <c r="Q59" i="24" s="1"/>
  <c r="AX25" i="24"/>
  <c r="N25" i="24" s="1"/>
  <c r="P25" i="24" s="1"/>
  <c r="AI25" i="24" s="1"/>
  <c r="AJ25" i="24" s="1"/>
  <c r="AW15" i="24"/>
  <c r="O15" i="24" s="1"/>
  <c r="Q15" i="24" s="1"/>
  <c r="AB15" i="24" s="1"/>
  <c r="Z16" i="24" s="1"/>
  <c r="AX48" i="24"/>
  <c r="N48" i="24" s="1"/>
  <c r="P48" i="24" s="1"/>
  <c r="AW4" i="24"/>
  <c r="O4" i="24" s="1"/>
  <c r="Q4" i="24" s="1"/>
  <c r="AB4" i="24" s="1"/>
  <c r="AW48" i="24"/>
  <c r="O48" i="24" s="1"/>
  <c r="Q48" i="24" s="1"/>
  <c r="AW41" i="24"/>
  <c r="O41" i="24" s="1"/>
  <c r="Q41" i="24" s="1"/>
  <c r="AX66" i="24"/>
  <c r="N66" i="24" s="1"/>
  <c r="P66" i="24" s="1"/>
  <c r="AX49" i="24"/>
  <c r="N49" i="24" s="1"/>
  <c r="P49" i="24" s="1"/>
  <c r="AW34" i="24"/>
  <c r="O34" i="24" s="1"/>
  <c r="Q34" i="24" s="1"/>
  <c r="AB34" i="24" s="1"/>
  <c r="Z35" i="24" s="1"/>
  <c r="AX69" i="24"/>
  <c r="N69" i="24" s="1"/>
  <c r="P69" i="24" s="1"/>
  <c r="AW81" i="24"/>
  <c r="O81" i="24" s="1"/>
  <c r="Q81" i="24" s="1"/>
  <c r="AW47" i="24"/>
  <c r="O47" i="24" s="1"/>
  <c r="Q47" i="24" s="1"/>
  <c r="AX17" i="24"/>
  <c r="N17" i="24" s="1"/>
  <c r="P17" i="24" s="1"/>
  <c r="AI17" i="24" s="1"/>
  <c r="AJ17" i="24" s="1"/>
  <c r="AX41" i="24"/>
  <c r="N41" i="24" s="1"/>
  <c r="P41" i="24" s="1"/>
  <c r="AW10" i="24"/>
  <c r="O10" i="24" s="1"/>
  <c r="Q10" i="24" s="1"/>
  <c r="AB10" i="24" s="1"/>
  <c r="Z11" i="24" s="1"/>
  <c r="AX47" i="24"/>
  <c r="N47" i="24" s="1"/>
  <c r="P47" i="24" s="1"/>
  <c r="AW58" i="24"/>
  <c r="O58" i="24" s="1"/>
  <c r="Q58" i="24" s="1"/>
  <c r="AU88" i="23"/>
  <c r="AH36" i="23"/>
  <c r="W36" i="23"/>
  <c r="X36" i="26"/>
  <c r="V37" i="25"/>
  <c r="AH37" i="25" s="1"/>
  <c r="X36" i="24"/>
  <c r="AX71" i="24" l="1"/>
  <c r="N71" i="24" s="1"/>
  <c r="P71" i="24" s="1"/>
  <c r="AW39" i="24"/>
  <c r="O39" i="24" s="1"/>
  <c r="Q39" i="24" s="1"/>
  <c r="AW13" i="24"/>
  <c r="O13" i="24" s="1"/>
  <c r="Q13" i="24" s="1"/>
  <c r="AB13" i="24" s="1"/>
  <c r="Z14" i="24" s="1"/>
  <c r="AX37" i="24"/>
  <c r="N37" i="24" s="1"/>
  <c r="P37" i="24" s="1"/>
  <c r="AW5" i="24"/>
  <c r="O5" i="24" s="1"/>
  <c r="Q5" i="24" s="1"/>
  <c r="AB5" i="24" s="1"/>
  <c r="Z6" i="24" s="1"/>
  <c r="AW61" i="24"/>
  <c r="O61" i="24" s="1"/>
  <c r="Q61" i="24" s="1"/>
  <c r="AX55" i="24"/>
  <c r="N55" i="24" s="1"/>
  <c r="P55" i="24" s="1"/>
  <c r="AX63" i="24"/>
  <c r="N63" i="24" s="1"/>
  <c r="P63" i="24" s="1"/>
  <c r="AW36" i="24"/>
  <c r="O36" i="24" s="1"/>
  <c r="Q36" i="24" s="1"/>
  <c r="AB36" i="24" s="1"/>
  <c r="AW87" i="24"/>
  <c r="O87" i="24" s="1"/>
  <c r="Q87" i="24" s="1"/>
  <c r="AW49" i="24"/>
  <c r="O49" i="24" s="1"/>
  <c r="Q49" i="24" s="1"/>
  <c r="AW6" i="24"/>
  <c r="O6" i="24" s="1"/>
  <c r="Q6" i="24" s="1"/>
  <c r="AB6" i="24" s="1"/>
  <c r="Z7" i="24" s="1"/>
  <c r="AW73" i="24"/>
  <c r="O73" i="24" s="1"/>
  <c r="Q73" i="24" s="1"/>
  <c r="AX84" i="24"/>
  <c r="N84" i="24" s="1"/>
  <c r="P84" i="24" s="1"/>
  <c r="AX56" i="24"/>
  <c r="N56" i="24" s="1"/>
  <c r="P56" i="24" s="1"/>
  <c r="AX81" i="24"/>
  <c r="N81" i="24" s="1"/>
  <c r="P81" i="24" s="1"/>
  <c r="AX31" i="24"/>
  <c r="N31" i="24" s="1"/>
  <c r="P31" i="24" s="1"/>
  <c r="AI31" i="24" s="1"/>
  <c r="AJ31" i="24" s="1"/>
  <c r="AX53" i="24"/>
  <c r="N53" i="24" s="1"/>
  <c r="P53" i="24" s="1"/>
  <c r="AX76" i="24"/>
  <c r="N76" i="24" s="1"/>
  <c r="P76" i="24" s="1"/>
  <c r="AX40" i="24"/>
  <c r="N40" i="24" s="1"/>
  <c r="P40" i="24" s="1"/>
  <c r="AX23" i="24"/>
  <c r="N23" i="24" s="1"/>
  <c r="P23" i="24" s="1"/>
  <c r="AI23" i="24" s="1"/>
  <c r="AJ23" i="24" s="1"/>
  <c r="AW57" i="24"/>
  <c r="O57" i="24" s="1"/>
  <c r="Q57" i="24" s="1"/>
  <c r="AW20" i="24"/>
  <c r="O20" i="24" s="1"/>
  <c r="Q20" i="24" s="1"/>
  <c r="AB20" i="24" s="1"/>
  <c r="Z21" i="24" s="1"/>
  <c r="AL21" i="24" s="1"/>
  <c r="AX60" i="24"/>
  <c r="N60" i="24" s="1"/>
  <c r="P60" i="24" s="1"/>
  <c r="AX85" i="24"/>
  <c r="N85" i="24" s="1"/>
  <c r="P85" i="24" s="1"/>
  <c r="AW78" i="24"/>
  <c r="O78" i="24" s="1"/>
  <c r="Q78" i="24" s="1"/>
  <c r="AX75" i="24"/>
  <c r="N75" i="24" s="1"/>
  <c r="P75" i="24" s="1"/>
  <c r="AX80" i="24"/>
  <c r="N80" i="24" s="1"/>
  <c r="P80" i="24" s="1"/>
  <c r="AW24" i="24"/>
  <c r="O24" i="24" s="1"/>
  <c r="Q24" i="24" s="1"/>
  <c r="AB24" i="24" s="1"/>
  <c r="Z25" i="24" s="1"/>
  <c r="AW46" i="24"/>
  <c r="O46" i="24" s="1"/>
  <c r="Q46" i="24" s="1"/>
  <c r="AW38" i="24"/>
  <c r="O38" i="24" s="1"/>
  <c r="Q38" i="24" s="1"/>
  <c r="AW19" i="24"/>
  <c r="O19" i="24" s="1"/>
  <c r="Q19" i="24" s="1"/>
  <c r="AB19" i="24" s="1"/>
  <c r="Z20" i="24" s="1"/>
  <c r="AL20" i="24" s="1"/>
  <c r="AX67" i="24"/>
  <c r="N67" i="24" s="1"/>
  <c r="P67" i="24" s="1"/>
  <c r="AX39" i="24"/>
  <c r="N39" i="24" s="1"/>
  <c r="P39" i="24" s="1"/>
  <c r="AW84" i="24"/>
  <c r="O84" i="24" s="1"/>
  <c r="Q84" i="24" s="1"/>
  <c r="AX79" i="24"/>
  <c r="N79" i="24" s="1"/>
  <c r="P79" i="24" s="1"/>
  <c r="AX4" i="24"/>
  <c r="N4" i="24" s="1"/>
  <c r="P4" i="24" s="1"/>
  <c r="AW80" i="24"/>
  <c r="O80" i="24" s="1"/>
  <c r="Q80" i="24" s="1"/>
  <c r="AX54" i="24"/>
  <c r="N54" i="24" s="1"/>
  <c r="P54" i="24" s="1"/>
  <c r="AX74" i="24"/>
  <c r="N74" i="24" s="1"/>
  <c r="P74" i="24" s="1"/>
  <c r="AW85" i="24"/>
  <c r="O85" i="24" s="1"/>
  <c r="Q85" i="24" s="1"/>
  <c r="AX65" i="24"/>
  <c r="N65" i="24" s="1"/>
  <c r="P65" i="24" s="1"/>
  <c r="AX30" i="24"/>
  <c r="N30" i="24" s="1"/>
  <c r="P30" i="24" s="1"/>
  <c r="AI30" i="24" s="1"/>
  <c r="AJ30" i="24" s="1"/>
  <c r="AX35" i="24"/>
  <c r="N35" i="24" s="1"/>
  <c r="P35" i="24" s="1"/>
  <c r="AI35" i="24" s="1"/>
  <c r="AJ35" i="24" s="1"/>
  <c r="AX5" i="24"/>
  <c r="N5" i="24" s="1"/>
  <c r="P5" i="24" s="1"/>
  <c r="AI5" i="24" s="1"/>
  <c r="AJ5" i="24" s="1"/>
  <c r="AX46" i="24"/>
  <c r="N46" i="24" s="1"/>
  <c r="P46" i="24" s="1"/>
  <c r="AW74" i="24"/>
  <c r="O74" i="24" s="1"/>
  <c r="Q74" i="24" s="1"/>
  <c r="AW31" i="24"/>
  <c r="O31" i="24" s="1"/>
  <c r="Q31" i="24" s="1"/>
  <c r="AB31" i="24" s="1"/>
  <c r="Z32" i="24" s="1"/>
  <c r="AL32" i="24" s="1"/>
  <c r="AX10" i="24"/>
  <c r="N10" i="24" s="1"/>
  <c r="P10" i="24" s="1"/>
  <c r="AI10" i="24" s="1"/>
  <c r="AJ10" i="24" s="1"/>
  <c r="AX57" i="24"/>
  <c r="N57" i="24" s="1"/>
  <c r="P57" i="24" s="1"/>
  <c r="AX24" i="24"/>
  <c r="N24" i="24" s="1"/>
  <c r="P24" i="24" s="1"/>
  <c r="AI24" i="24" s="1"/>
  <c r="AJ24" i="24" s="1"/>
  <c r="AW72" i="24"/>
  <c r="O72" i="24" s="1"/>
  <c r="Q72" i="24" s="1"/>
  <c r="AX45" i="24"/>
  <c r="N45" i="24" s="1"/>
  <c r="P45" i="24" s="1"/>
  <c r="AX59" i="24"/>
  <c r="N59" i="24" s="1"/>
  <c r="P59" i="24" s="1"/>
  <c r="AW82" i="24"/>
  <c r="O82" i="24" s="1"/>
  <c r="Q82" i="24" s="1"/>
  <c r="AX43" i="24"/>
  <c r="N43" i="24" s="1"/>
  <c r="P43" i="24" s="1"/>
  <c r="AX36" i="24"/>
  <c r="N36" i="24" s="1"/>
  <c r="P36" i="24" s="1"/>
  <c r="AI36" i="24" s="1"/>
  <c r="AX73" i="24"/>
  <c r="N73" i="24" s="1"/>
  <c r="P73" i="24" s="1"/>
  <c r="AW40" i="24"/>
  <c r="O40" i="24" s="1"/>
  <c r="Q40" i="24" s="1"/>
  <c r="AW25" i="24"/>
  <c r="O25" i="24" s="1"/>
  <c r="Q25" i="24" s="1"/>
  <c r="AB25" i="24" s="1"/>
  <c r="Z26" i="24" s="1"/>
  <c r="AX29" i="24"/>
  <c r="N29" i="24" s="1"/>
  <c r="P29" i="24" s="1"/>
  <c r="AI29" i="24" s="1"/>
  <c r="AJ29" i="24" s="1"/>
  <c r="AX68" i="24"/>
  <c r="N68" i="24" s="1"/>
  <c r="P68" i="24" s="1"/>
  <c r="AX52" i="24"/>
  <c r="N52" i="24" s="1"/>
  <c r="P52" i="24" s="1"/>
  <c r="AX61" i="24"/>
  <c r="N61" i="24" s="1"/>
  <c r="P61" i="24" s="1"/>
  <c r="AX28" i="24"/>
  <c r="N28" i="24" s="1"/>
  <c r="P28" i="24" s="1"/>
  <c r="AI28" i="24" s="1"/>
  <c r="AJ28" i="24" s="1"/>
  <c r="AW11" i="24"/>
  <c r="O11" i="24" s="1"/>
  <c r="Q11" i="24" s="1"/>
  <c r="AB11" i="24" s="1"/>
  <c r="Z12" i="24" s="1"/>
  <c r="AX26" i="24"/>
  <c r="N26" i="24" s="1"/>
  <c r="P26" i="24" s="1"/>
  <c r="AI26" i="24" s="1"/>
  <c r="AJ26" i="24" s="1"/>
  <c r="AW8" i="24"/>
  <c r="O8" i="24" s="1"/>
  <c r="Q8" i="24" s="1"/>
  <c r="AB8" i="24" s="1"/>
  <c r="Z9" i="24" s="1"/>
  <c r="AW50" i="24"/>
  <c r="O50" i="24" s="1"/>
  <c r="Q50" i="24" s="1"/>
  <c r="AX42" i="24"/>
  <c r="N42" i="24" s="1"/>
  <c r="P42" i="24" s="1"/>
  <c r="AW37" i="24"/>
  <c r="O37" i="24" s="1"/>
  <c r="Q37" i="24" s="1"/>
  <c r="AX77" i="24"/>
  <c r="N77" i="24" s="1"/>
  <c r="P77" i="24" s="1"/>
  <c r="AW69" i="24"/>
  <c r="O69" i="24" s="1"/>
  <c r="Q69" i="24" s="1"/>
  <c r="AX16" i="24"/>
  <c r="N16" i="24" s="1"/>
  <c r="P16" i="24" s="1"/>
  <c r="AI16" i="24" s="1"/>
  <c r="AJ16" i="24" s="1"/>
  <c r="AW63" i="24"/>
  <c r="O63" i="24" s="1"/>
  <c r="Q63" i="24" s="1"/>
  <c r="AW21" i="24"/>
  <c r="O21" i="24" s="1"/>
  <c r="Q21" i="24" s="1"/>
  <c r="AB21" i="24" s="1"/>
  <c r="Z22" i="24" s="1"/>
  <c r="AX6" i="24"/>
  <c r="N6" i="24" s="1"/>
  <c r="P6" i="24" s="1"/>
  <c r="AI6" i="24" s="1"/>
  <c r="AJ6" i="24" s="1"/>
  <c r="AX12" i="24"/>
  <c r="N12" i="24" s="1"/>
  <c r="P12" i="24" s="1"/>
  <c r="AI12" i="24" s="1"/>
  <c r="AJ12" i="24" s="1"/>
  <c r="AX32" i="24"/>
  <c r="N32" i="24" s="1"/>
  <c r="P32" i="24" s="1"/>
  <c r="AI32" i="24" s="1"/>
  <c r="AJ32" i="24" s="1"/>
  <c r="AW52" i="24"/>
  <c r="O52" i="24" s="1"/>
  <c r="Q52" i="24" s="1"/>
  <c r="AW18" i="24"/>
  <c r="O18" i="24" s="1"/>
  <c r="Q18" i="24" s="1"/>
  <c r="AB18" i="24" s="1"/>
  <c r="Z19" i="24" s="1"/>
  <c r="AL19" i="24" s="1"/>
  <c r="AX64" i="24"/>
  <c r="N64" i="24" s="1"/>
  <c r="P64" i="24" s="1"/>
  <c r="AW7" i="24"/>
  <c r="O7" i="24" s="1"/>
  <c r="Q7" i="24" s="1"/>
  <c r="AB7" i="24" s="1"/>
  <c r="Z8" i="24" s="1"/>
  <c r="AL8" i="24" s="1"/>
  <c r="AX20" i="24"/>
  <c r="N20" i="24" s="1"/>
  <c r="P20" i="24" s="1"/>
  <c r="AI20" i="24" s="1"/>
  <c r="AJ20" i="24" s="1"/>
  <c r="AW70" i="24"/>
  <c r="O70" i="24" s="1"/>
  <c r="Q70" i="24" s="1"/>
  <c r="AX58" i="24"/>
  <c r="N58" i="24" s="1"/>
  <c r="P58" i="24" s="1"/>
  <c r="AW27" i="24"/>
  <c r="O27" i="24" s="1"/>
  <c r="Q27" i="24" s="1"/>
  <c r="AB27" i="24" s="1"/>
  <c r="Z28" i="24" s="1"/>
  <c r="AL28" i="24" s="1"/>
  <c r="AW79" i="24"/>
  <c r="O79" i="24" s="1"/>
  <c r="Q79" i="24" s="1"/>
  <c r="AW29" i="24"/>
  <c r="O29" i="24" s="1"/>
  <c r="Q29" i="24" s="1"/>
  <c r="AB29" i="24" s="1"/>
  <c r="Z30" i="24" s="1"/>
  <c r="AX44" i="24"/>
  <c r="N44" i="24" s="1"/>
  <c r="P44" i="24" s="1"/>
  <c r="AX19" i="24"/>
  <c r="N19" i="24" s="1"/>
  <c r="P19" i="24" s="1"/>
  <c r="AI19" i="24" s="1"/>
  <c r="AJ19" i="24" s="1"/>
  <c r="AX27" i="24"/>
  <c r="N27" i="24" s="1"/>
  <c r="P27" i="24" s="1"/>
  <c r="AI27" i="24" s="1"/>
  <c r="AJ27" i="24" s="1"/>
  <c r="AW77" i="24"/>
  <c r="O77" i="24" s="1"/>
  <c r="Q77" i="24" s="1"/>
  <c r="AW83" i="24"/>
  <c r="O83" i="24" s="1"/>
  <c r="Q83" i="24" s="1"/>
  <c r="AW28" i="24"/>
  <c r="O28" i="24" s="1"/>
  <c r="Q28" i="24" s="1"/>
  <c r="AB28" i="24" s="1"/>
  <c r="Z29" i="24" s="1"/>
  <c r="AL29" i="24" s="1"/>
  <c r="AW44" i="24"/>
  <c r="O44" i="24" s="1"/>
  <c r="Q44" i="24" s="1"/>
  <c r="AX7" i="24"/>
  <c r="N7" i="24" s="1"/>
  <c r="P7" i="24" s="1"/>
  <c r="AI7" i="24" s="1"/>
  <c r="AJ7" i="24" s="1"/>
  <c r="AW67" i="24"/>
  <c r="O67" i="24" s="1"/>
  <c r="Q67" i="24" s="1"/>
  <c r="AW22" i="24"/>
  <c r="O22" i="24" s="1"/>
  <c r="Q22" i="24" s="1"/>
  <c r="AB22" i="24" s="1"/>
  <c r="Z23" i="24" s="1"/>
  <c r="AL23" i="24" s="1"/>
  <c r="AX22" i="24"/>
  <c r="N22" i="24" s="1"/>
  <c r="P22" i="24" s="1"/>
  <c r="AI22" i="24" s="1"/>
  <c r="AJ22" i="24" s="1"/>
  <c r="AX38" i="24"/>
  <c r="N38" i="24" s="1"/>
  <c r="P38" i="24" s="1"/>
  <c r="AW62" i="24"/>
  <c r="O62" i="24" s="1"/>
  <c r="Q62" i="24" s="1"/>
  <c r="AX18" i="24"/>
  <c r="N18" i="24" s="1"/>
  <c r="P18" i="24" s="1"/>
  <c r="AI18" i="24" s="1"/>
  <c r="AJ18" i="24" s="1"/>
  <c r="AW56" i="24"/>
  <c r="O56" i="24" s="1"/>
  <c r="Q56" i="24" s="1"/>
  <c r="AX34" i="24"/>
  <c r="N34" i="24" s="1"/>
  <c r="P34" i="24" s="1"/>
  <c r="AI34" i="24" s="1"/>
  <c r="AJ34" i="24" s="1"/>
  <c r="AW35" i="24"/>
  <c r="O35" i="24" s="1"/>
  <c r="Q35" i="24" s="1"/>
  <c r="AB35" i="24" s="1"/>
  <c r="Z36" i="24" s="1"/>
  <c r="AX33" i="24"/>
  <c r="N33" i="24" s="1"/>
  <c r="P33" i="24" s="1"/>
  <c r="AI33" i="24" s="1"/>
  <c r="AJ33" i="24" s="1"/>
  <c r="AW45" i="24"/>
  <c r="O45" i="24" s="1"/>
  <c r="Q45" i="24" s="1"/>
  <c r="AW14" i="24"/>
  <c r="O14" i="24" s="1"/>
  <c r="Q14" i="24" s="1"/>
  <c r="AB14" i="24" s="1"/>
  <c r="Z15" i="24" s="1"/>
  <c r="AL15" i="24" s="1"/>
  <c r="AX15" i="24"/>
  <c r="N15" i="24" s="1"/>
  <c r="P15" i="24" s="1"/>
  <c r="AI15" i="24" s="1"/>
  <c r="AJ15" i="24" s="1"/>
  <c r="AW12" i="24"/>
  <c r="O12" i="24" s="1"/>
  <c r="Q12" i="24" s="1"/>
  <c r="AB12" i="24" s="1"/>
  <c r="Z13" i="24" s="1"/>
  <c r="AK13" i="24" s="1"/>
  <c r="AW55" i="24"/>
  <c r="O55" i="24" s="1"/>
  <c r="Q55" i="24" s="1"/>
  <c r="AX21" i="24"/>
  <c r="N21" i="24" s="1"/>
  <c r="P21" i="24" s="1"/>
  <c r="AI21" i="24" s="1"/>
  <c r="AJ21" i="24" s="1"/>
  <c r="AX83" i="24"/>
  <c r="N83" i="24" s="1"/>
  <c r="P83" i="24" s="1"/>
  <c r="AX87" i="24"/>
  <c r="N87" i="24" s="1"/>
  <c r="P87" i="24" s="1"/>
  <c r="AW53" i="24"/>
  <c r="O53" i="24" s="1"/>
  <c r="Q53" i="24" s="1"/>
  <c r="AX72" i="24"/>
  <c r="N72" i="24" s="1"/>
  <c r="P72" i="24" s="1"/>
  <c r="AX13" i="24"/>
  <c r="N13" i="24" s="1"/>
  <c r="P13" i="24" s="1"/>
  <c r="AI13" i="24" s="1"/>
  <c r="AJ13" i="24" s="1"/>
  <c r="AW42" i="24"/>
  <c r="O42" i="24" s="1"/>
  <c r="Q42" i="24" s="1"/>
  <c r="AW32" i="24"/>
  <c r="O32" i="24" s="1"/>
  <c r="Q32" i="24" s="1"/>
  <c r="AB32" i="24" s="1"/>
  <c r="Z33" i="24" s="1"/>
  <c r="AK33" i="24" s="1"/>
  <c r="AW30" i="24"/>
  <c r="O30" i="24" s="1"/>
  <c r="Q30" i="24" s="1"/>
  <c r="AB30" i="24" s="1"/>
  <c r="Z31" i="24" s="1"/>
  <c r="AW64" i="24"/>
  <c r="O64" i="24" s="1"/>
  <c r="Q64" i="24" s="1"/>
  <c r="AW17" i="24"/>
  <c r="O17" i="24" s="1"/>
  <c r="Q17" i="24" s="1"/>
  <c r="AB17" i="24" s="1"/>
  <c r="Z18" i="24" s="1"/>
  <c r="AW76" i="24"/>
  <c r="O76" i="24" s="1"/>
  <c r="Q76" i="24" s="1"/>
  <c r="AW54" i="24"/>
  <c r="O54" i="24" s="1"/>
  <c r="Q54" i="24" s="1"/>
  <c r="AW26" i="24"/>
  <c r="O26" i="24" s="1"/>
  <c r="Q26" i="24" s="1"/>
  <c r="AB26" i="24" s="1"/>
  <c r="Z27" i="24" s="1"/>
  <c r="AL27" i="24" s="1"/>
  <c r="AX70" i="24"/>
  <c r="N70" i="24" s="1"/>
  <c r="P70" i="24" s="1"/>
  <c r="AW51" i="24"/>
  <c r="O51" i="24" s="1"/>
  <c r="Q51" i="24" s="1"/>
  <c r="AW65" i="24"/>
  <c r="O65" i="24" s="1"/>
  <c r="Q65" i="24" s="1"/>
  <c r="AX14" i="24"/>
  <c r="N14" i="24" s="1"/>
  <c r="P14" i="24" s="1"/>
  <c r="AI14" i="24" s="1"/>
  <c r="AJ14" i="24" s="1"/>
  <c r="AW9" i="24"/>
  <c r="O9" i="24" s="1"/>
  <c r="Q9" i="24" s="1"/>
  <c r="AB9" i="24" s="1"/>
  <c r="Z10" i="24" s="1"/>
  <c r="AL10" i="24" s="1"/>
  <c r="AW75" i="24"/>
  <c r="O75" i="24" s="1"/>
  <c r="Q75" i="24" s="1"/>
  <c r="AW16" i="24"/>
  <c r="O16" i="24" s="1"/>
  <c r="Q16" i="24" s="1"/>
  <c r="AB16" i="24" s="1"/>
  <c r="Z17" i="24" s="1"/>
  <c r="AW43" i="24"/>
  <c r="O43" i="24" s="1"/>
  <c r="Q43" i="24" s="1"/>
  <c r="AX8" i="24"/>
  <c r="N8" i="24" s="1"/>
  <c r="P8" i="24" s="1"/>
  <c r="AI8" i="24" s="1"/>
  <c r="AJ8" i="24" s="1"/>
  <c r="AX78" i="24"/>
  <c r="N78" i="24" s="1"/>
  <c r="P78" i="24" s="1"/>
  <c r="AX50" i="24"/>
  <c r="N50" i="24" s="1"/>
  <c r="P50" i="24" s="1"/>
  <c r="AW71" i="24"/>
  <c r="O71" i="24" s="1"/>
  <c r="Q71" i="24" s="1"/>
  <c r="AW60" i="24"/>
  <c r="O60" i="24" s="1"/>
  <c r="Q60" i="24" s="1"/>
  <c r="AW88" i="24"/>
  <c r="O88" i="24" s="1"/>
  <c r="Q88" i="24" s="1"/>
  <c r="AX88" i="24"/>
  <c r="N88" i="24" s="1"/>
  <c r="P88" i="24" s="1"/>
  <c r="AW86" i="24"/>
  <c r="O86" i="24" s="1"/>
  <c r="Q86" i="24" s="1"/>
  <c r="AK36" i="25"/>
  <c r="AL36" i="25"/>
  <c r="AJ36" i="25"/>
  <c r="AN36" i="25"/>
  <c r="AL32" i="25"/>
  <c r="AK32" i="25"/>
  <c r="AL10" i="25"/>
  <c r="AK10" i="25"/>
  <c r="AK21" i="25"/>
  <c r="AL21" i="25"/>
  <c r="AK6" i="25"/>
  <c r="AL6" i="25"/>
  <c r="AK7" i="25"/>
  <c r="AL7" i="25"/>
  <c r="AK22" i="25"/>
  <c r="AL22" i="25"/>
  <c r="AK33" i="25"/>
  <c r="AL33" i="25"/>
  <c r="AL27" i="25"/>
  <c r="AK27" i="25"/>
  <c r="AK24" i="25"/>
  <c r="AL24" i="25"/>
  <c r="AK23" i="25"/>
  <c r="AL23" i="25"/>
  <c r="AK12" i="25"/>
  <c r="AL12" i="25"/>
  <c r="AL14" i="25"/>
  <c r="AK14" i="25"/>
  <c r="AL16" i="25"/>
  <c r="AK16" i="25"/>
  <c r="AK13" i="25"/>
  <c r="AL13" i="25"/>
  <c r="AK34" i="25"/>
  <c r="AL34" i="25"/>
  <c r="AK18" i="25"/>
  <c r="AL18" i="25"/>
  <c r="AK20" i="25"/>
  <c r="AL20" i="25"/>
  <c r="AK8" i="25"/>
  <c r="AL8" i="25"/>
  <c r="AL11" i="25"/>
  <c r="AK11" i="25"/>
  <c r="AL17" i="25"/>
  <c r="AK17" i="25"/>
  <c r="AK30" i="25"/>
  <c r="AL30" i="25"/>
  <c r="AK25" i="25"/>
  <c r="AL25" i="25"/>
  <c r="AK15" i="25"/>
  <c r="AL15" i="25"/>
  <c r="AL28" i="25"/>
  <c r="AK28" i="25"/>
  <c r="AL29" i="25"/>
  <c r="AK29" i="25"/>
  <c r="Z5" i="25"/>
  <c r="AK4" i="25"/>
  <c r="AM4" i="25" s="1"/>
  <c r="AO4" i="25" s="1"/>
  <c r="AL35" i="25"/>
  <c r="AK35" i="25"/>
  <c r="AK9" i="25"/>
  <c r="AL9" i="25"/>
  <c r="AL26" i="25"/>
  <c r="AK26" i="25"/>
  <c r="AL19" i="25"/>
  <c r="AK19" i="25"/>
  <c r="AL31" i="25"/>
  <c r="AK31" i="25"/>
  <c r="AL7" i="24"/>
  <c r="AL25" i="24"/>
  <c r="AK11" i="24"/>
  <c r="AL11" i="24"/>
  <c r="AL12" i="24"/>
  <c r="AL26" i="24"/>
  <c r="AL16" i="24"/>
  <c r="AL22" i="24"/>
  <c r="AL24" i="24"/>
  <c r="AL9" i="24"/>
  <c r="AK4" i="24"/>
  <c r="AM4" i="24" s="1"/>
  <c r="AO4" i="24" s="1"/>
  <c r="Z5" i="24"/>
  <c r="AL35" i="24"/>
  <c r="AK6" i="24"/>
  <c r="AL6" i="24"/>
  <c r="AL14" i="24"/>
  <c r="AK34" i="24"/>
  <c r="AL34" i="24"/>
  <c r="AV88" i="23"/>
  <c r="AU89" i="23" s="1"/>
  <c r="X36" i="23"/>
  <c r="U37" i="26"/>
  <c r="AE36" i="26"/>
  <c r="AG36" i="26"/>
  <c r="AC36" i="26"/>
  <c r="AB36" i="26"/>
  <c r="W37" i="25"/>
  <c r="AI37" i="25" s="1"/>
  <c r="AE36" i="24"/>
  <c r="AG36" i="24"/>
  <c r="U37" i="24"/>
  <c r="AC36" i="24"/>
  <c r="AK35" i="24" l="1"/>
  <c r="AK8" i="24"/>
  <c r="AK21" i="24"/>
  <c r="AK7" i="24"/>
  <c r="AK26" i="24"/>
  <c r="AK12" i="24"/>
  <c r="AM12" i="24" s="1"/>
  <c r="AO12" i="24" s="1"/>
  <c r="AK28" i="24"/>
  <c r="AM28" i="24" s="1"/>
  <c r="AO28" i="24" s="1"/>
  <c r="AK25" i="24"/>
  <c r="AM25" i="24" s="1"/>
  <c r="AO25" i="24" s="1"/>
  <c r="AK15" i="24"/>
  <c r="AM15" i="24" s="1"/>
  <c r="AO15" i="24" s="1"/>
  <c r="AK24" i="24"/>
  <c r="AM24" i="24" s="1"/>
  <c r="AO24" i="24" s="1"/>
  <c r="AK20" i="24"/>
  <c r="AM20" i="24" s="1"/>
  <c r="AO20" i="24" s="1"/>
  <c r="AM7" i="25"/>
  <c r="AO7" i="25" s="1"/>
  <c r="AM36" i="25"/>
  <c r="AO36" i="25" s="1"/>
  <c r="AL13" i="24"/>
  <c r="AM13" i="24" s="1"/>
  <c r="AO13" i="24" s="1"/>
  <c r="AK23" i="24"/>
  <c r="AM23" i="24" s="1"/>
  <c r="AO23" i="24" s="1"/>
  <c r="AK22" i="24"/>
  <c r="AM22" i="24" s="1"/>
  <c r="AO22" i="24" s="1"/>
  <c r="AK27" i="24"/>
  <c r="AM27" i="24" s="1"/>
  <c r="AO27" i="24" s="1"/>
  <c r="AK14" i="24"/>
  <c r="AM14" i="24" s="1"/>
  <c r="AO14" i="24" s="1"/>
  <c r="AK17" i="24"/>
  <c r="AK31" i="24"/>
  <c r="AK10" i="24"/>
  <c r="AM10" i="24" s="1"/>
  <c r="AO10" i="24" s="1"/>
  <c r="AL17" i="24"/>
  <c r="AK30" i="24"/>
  <c r="AK29" i="24"/>
  <c r="AM29" i="24" s="1"/>
  <c r="AO29" i="24" s="1"/>
  <c r="AK18" i="24"/>
  <c r="AL30" i="24"/>
  <c r="AL33" i="24"/>
  <c r="AM33" i="24" s="1"/>
  <c r="AO33" i="24" s="1"/>
  <c r="AK16" i="24"/>
  <c r="AM16" i="24" s="1"/>
  <c r="AO16" i="24" s="1"/>
  <c r="AL18" i="24"/>
  <c r="AK9" i="24"/>
  <c r="AM9" i="24" s="1"/>
  <c r="AO9" i="24" s="1"/>
  <c r="AK19" i="24"/>
  <c r="AM19" i="24" s="1"/>
  <c r="AO19" i="24" s="1"/>
  <c r="AK32" i="24"/>
  <c r="AM32" i="24" s="1"/>
  <c r="AO32" i="24" s="1"/>
  <c r="AL31" i="24"/>
  <c r="AM19" i="25"/>
  <c r="AO19" i="25" s="1"/>
  <c r="AM35" i="25"/>
  <c r="AO35" i="25" s="1"/>
  <c r="AM32" i="25"/>
  <c r="AO32" i="25" s="1"/>
  <c r="AM28" i="25"/>
  <c r="AO28" i="25" s="1"/>
  <c r="AM33" i="25"/>
  <c r="AO33" i="25" s="1"/>
  <c r="AM10" i="25"/>
  <c r="AO10" i="25" s="1"/>
  <c r="AM29" i="25"/>
  <c r="AO29" i="25" s="1"/>
  <c r="AM26" i="25"/>
  <c r="AO26" i="25" s="1"/>
  <c r="AM15" i="25"/>
  <c r="AO15" i="25" s="1"/>
  <c r="AM34" i="25"/>
  <c r="AO34" i="25" s="1"/>
  <c r="AM17" i="25"/>
  <c r="AO17" i="25" s="1"/>
  <c r="AM31" i="25"/>
  <c r="AO31" i="25" s="1"/>
  <c r="AM14" i="25"/>
  <c r="AO14" i="25" s="1"/>
  <c r="AM11" i="25"/>
  <c r="AO11" i="25" s="1"/>
  <c r="AM23" i="25"/>
  <c r="AO23" i="25" s="1"/>
  <c r="AM22" i="25"/>
  <c r="AO22" i="25" s="1"/>
  <c r="AM16" i="25"/>
  <c r="AO16" i="25" s="1"/>
  <c r="AM9" i="25"/>
  <c r="AO9" i="25" s="1"/>
  <c r="AM25" i="25"/>
  <c r="AO25" i="25" s="1"/>
  <c r="AM30" i="25"/>
  <c r="AO30" i="25" s="1"/>
  <c r="AM21" i="25"/>
  <c r="AO21" i="25" s="1"/>
  <c r="AM20" i="25"/>
  <c r="AO20" i="25" s="1"/>
  <c r="AM24" i="25"/>
  <c r="AO24" i="25" s="1"/>
  <c r="AM13" i="25"/>
  <c r="AO13" i="25" s="1"/>
  <c r="AM27" i="25"/>
  <c r="AO27" i="25" s="1"/>
  <c r="AM18" i="25"/>
  <c r="AO18" i="25" s="1"/>
  <c r="AM8" i="25"/>
  <c r="AO8" i="25" s="1"/>
  <c r="AM6" i="25"/>
  <c r="AO6" i="25" s="1"/>
  <c r="AL5" i="25"/>
  <c r="AK5" i="25"/>
  <c r="AM12" i="25"/>
  <c r="AO12" i="25" s="1"/>
  <c r="AM6" i="24"/>
  <c r="AO6" i="24" s="1"/>
  <c r="AM35" i="24"/>
  <c r="AO35" i="24" s="1"/>
  <c r="AM7" i="24"/>
  <c r="AO7" i="24" s="1"/>
  <c r="AM34" i="24"/>
  <c r="AO34" i="24" s="1"/>
  <c r="AM26" i="24"/>
  <c r="AO26" i="24" s="1"/>
  <c r="AL5" i="24"/>
  <c r="AK5" i="24"/>
  <c r="AM21" i="24"/>
  <c r="AO21" i="24" s="1"/>
  <c r="AM11" i="24"/>
  <c r="AO11" i="24" s="1"/>
  <c r="AM8" i="24"/>
  <c r="AO8" i="24" s="1"/>
  <c r="AV89" i="23"/>
  <c r="AU90" i="23" s="1"/>
  <c r="X37" i="25"/>
  <c r="AG37" i="25" s="1"/>
  <c r="AG36" i="23"/>
  <c r="U37" i="23"/>
  <c r="AC36" i="23"/>
  <c r="AE36" i="23"/>
  <c r="AA37" i="26"/>
  <c r="AN36" i="26"/>
  <c r="Z37" i="26"/>
  <c r="AK36" i="26"/>
  <c r="AJ36" i="26"/>
  <c r="AL36" i="26"/>
  <c r="V37" i="26"/>
  <c r="AH37" i="26" s="1"/>
  <c r="Z37" i="24"/>
  <c r="AK36" i="24"/>
  <c r="AA37" i="24"/>
  <c r="AN36" i="24"/>
  <c r="V37" i="24"/>
  <c r="AH37" i="24" s="1"/>
  <c r="AJ36" i="24"/>
  <c r="AL36" i="24"/>
  <c r="AM17" i="24" l="1"/>
  <c r="AO17" i="24" s="1"/>
  <c r="AM31" i="24"/>
  <c r="AO31" i="24" s="1"/>
  <c r="AM30" i="24"/>
  <c r="AO30" i="24" s="1"/>
  <c r="AM18" i="24"/>
  <c r="AO18" i="24" s="1"/>
  <c r="AC37" i="25"/>
  <c r="AN37" i="25" s="1"/>
  <c r="AE37" i="25"/>
  <c r="AJ37" i="25" s="1"/>
  <c r="AB37" i="25"/>
  <c r="AK37" i="25" s="1"/>
  <c r="U38" i="25"/>
  <c r="V38" i="25" s="1"/>
  <c r="AH38" i="25" s="1"/>
  <c r="AM5" i="25"/>
  <c r="AO5" i="25" s="1"/>
  <c r="AM5" i="24"/>
  <c r="AO5" i="24" s="1"/>
  <c r="AV90" i="23"/>
  <c r="AU91" i="23" s="1"/>
  <c r="AM36" i="24"/>
  <c r="AO36" i="24" s="1"/>
  <c r="AM36" i="26"/>
  <c r="AO36" i="26" s="1"/>
  <c r="W37" i="26"/>
  <c r="AI37" i="26" s="1"/>
  <c r="AN36" i="23"/>
  <c r="AA37" i="23"/>
  <c r="V37" i="23"/>
  <c r="AH37" i="23" s="1"/>
  <c r="W37" i="24"/>
  <c r="AA38" i="25" l="1"/>
  <c r="Z38" i="25"/>
  <c r="AL37" i="25"/>
  <c r="AM37" i="25" s="1"/>
  <c r="AO37" i="25" s="1"/>
  <c r="AV91" i="23"/>
  <c r="X37" i="26"/>
  <c r="AC37" i="26" s="1"/>
  <c r="W37" i="23"/>
  <c r="W38" i="25"/>
  <c r="AI37" i="24"/>
  <c r="X37" i="24"/>
  <c r="AG37" i="26" l="1"/>
  <c r="U38" i="26"/>
  <c r="V38" i="26" s="1"/>
  <c r="AH38" i="26" s="1"/>
  <c r="AE37" i="26"/>
  <c r="AB37" i="26"/>
  <c r="AK37" i="26" s="1"/>
  <c r="AU92" i="23"/>
  <c r="X37" i="23"/>
  <c r="AA38" i="26"/>
  <c r="AN37" i="26"/>
  <c r="AI38" i="25"/>
  <c r="X38" i="25"/>
  <c r="AE37" i="24"/>
  <c r="U38" i="24"/>
  <c r="AG37" i="24"/>
  <c r="AC37" i="24"/>
  <c r="AB37" i="24"/>
  <c r="AJ37" i="26" l="1"/>
  <c r="Z38" i="26"/>
  <c r="AL37" i="26"/>
  <c r="W38" i="26"/>
  <c r="AI38" i="26" s="1"/>
  <c r="AV92" i="23"/>
  <c r="AE37" i="23"/>
  <c r="AG37" i="23"/>
  <c r="U38" i="23"/>
  <c r="AC37" i="23"/>
  <c r="AC38" i="25"/>
  <c r="U39" i="25"/>
  <c r="AE38" i="25"/>
  <c r="AG38" i="25"/>
  <c r="AB38" i="25"/>
  <c r="Z38" i="24"/>
  <c r="AK37" i="24"/>
  <c r="AA38" i="24"/>
  <c r="AN37" i="24"/>
  <c r="V38" i="24"/>
  <c r="AH38" i="24" s="1"/>
  <c r="AJ37" i="24"/>
  <c r="AL37" i="24"/>
  <c r="AM37" i="26" l="1"/>
  <c r="AO37" i="26" s="1"/>
  <c r="X38" i="26"/>
  <c r="AB38" i="26" s="1"/>
  <c r="AU93" i="23"/>
  <c r="AM37" i="24"/>
  <c r="AO37" i="24" s="1"/>
  <c r="V38" i="23"/>
  <c r="AH38" i="23" s="1"/>
  <c r="AN37" i="23"/>
  <c r="AA38" i="23"/>
  <c r="Z39" i="25"/>
  <c r="AK38" i="25"/>
  <c r="AJ38" i="25"/>
  <c r="AL38" i="25"/>
  <c r="V39" i="25"/>
  <c r="AH39" i="25" s="1"/>
  <c r="AA39" i="25"/>
  <c r="AN38" i="25"/>
  <c r="W38" i="24"/>
  <c r="AI38" i="24" s="1"/>
  <c r="U39" i="26" l="1"/>
  <c r="V39" i="26" s="1"/>
  <c r="AH39" i="26" s="1"/>
  <c r="AE38" i="26"/>
  <c r="AL38" i="26" s="1"/>
  <c r="Z39" i="26"/>
  <c r="AK38" i="26"/>
  <c r="AC38" i="26"/>
  <c r="AG38" i="26"/>
  <c r="AV93" i="23"/>
  <c r="W38" i="23"/>
  <c r="W39" i="25"/>
  <c r="AI39" i="25" s="1"/>
  <c r="AM38" i="25"/>
  <c r="AO38" i="25" s="1"/>
  <c r="X38" i="24"/>
  <c r="W39" i="26" l="1"/>
  <c r="AI39" i="26" s="1"/>
  <c r="AJ38" i="26"/>
  <c r="AM38" i="26" s="1"/>
  <c r="AA39" i="26"/>
  <c r="AN38" i="26"/>
  <c r="AU94" i="23"/>
  <c r="X38" i="23"/>
  <c r="X39" i="25"/>
  <c r="U39" i="24"/>
  <c r="AG38" i="24"/>
  <c r="AE38" i="24"/>
  <c r="AC38" i="24"/>
  <c r="AB38" i="24"/>
  <c r="X39" i="26" l="1"/>
  <c r="AG39" i="26" s="1"/>
  <c r="AO38" i="26"/>
  <c r="AV94" i="23"/>
  <c r="U39" i="23"/>
  <c r="AC38" i="23"/>
  <c r="AE38" i="23"/>
  <c r="AG38" i="23"/>
  <c r="AE39" i="25"/>
  <c r="AC39" i="25"/>
  <c r="U40" i="25"/>
  <c r="AG39" i="25"/>
  <c r="AB39" i="25"/>
  <c r="Z39" i="24"/>
  <c r="AK38" i="24"/>
  <c r="AA39" i="24"/>
  <c r="AN38" i="24"/>
  <c r="AJ38" i="24"/>
  <c r="AL38" i="24"/>
  <c r="V39" i="24"/>
  <c r="AH39" i="24" s="1"/>
  <c r="U40" i="26" l="1"/>
  <c r="V40" i="26" s="1"/>
  <c r="AH40" i="26" s="1"/>
  <c r="AB39" i="26"/>
  <c r="Z40" i="26" s="1"/>
  <c r="AE39" i="26"/>
  <c r="AJ39" i="26" s="1"/>
  <c r="AC39" i="26"/>
  <c r="AA40" i="26" s="1"/>
  <c r="AU95" i="23"/>
  <c r="W40" i="26"/>
  <c r="AI40" i="26" s="1"/>
  <c r="W39" i="24"/>
  <c r="AI39" i="24" s="1"/>
  <c r="AA39" i="23"/>
  <c r="AN38" i="23"/>
  <c r="V39" i="23"/>
  <c r="AH39" i="23" s="1"/>
  <c r="Z40" i="25"/>
  <c r="AK39" i="25"/>
  <c r="V40" i="25"/>
  <c r="AH40" i="25" s="1"/>
  <c r="AA40" i="25"/>
  <c r="AN39" i="25"/>
  <c r="AJ39" i="25"/>
  <c r="AL39" i="25"/>
  <c r="AM38" i="24"/>
  <c r="AO38" i="24" s="1"/>
  <c r="AK39" i="26" l="1"/>
  <c r="AL39" i="26"/>
  <c r="AN39" i="26"/>
  <c r="X39" i="24"/>
  <c r="AC39" i="24" s="1"/>
  <c r="AV95" i="23"/>
  <c r="X40" i="26"/>
  <c r="AM39" i="25"/>
  <c r="AO39" i="25" s="1"/>
  <c r="W39" i="23"/>
  <c r="W40" i="25"/>
  <c r="AI40" i="25" s="1"/>
  <c r="AM39" i="26" l="1"/>
  <c r="AO39" i="26" s="1"/>
  <c r="AG39" i="24"/>
  <c r="U40" i="24"/>
  <c r="V40" i="24" s="1"/>
  <c r="AH40" i="24" s="1"/>
  <c r="AE39" i="24"/>
  <c r="AJ39" i="24" s="1"/>
  <c r="AB39" i="24"/>
  <c r="AK39" i="24" s="1"/>
  <c r="AU96" i="23"/>
  <c r="X39" i="23"/>
  <c r="AC39" i="23" s="1"/>
  <c r="AC40" i="26"/>
  <c r="AG40" i="26"/>
  <c r="U41" i="26"/>
  <c r="V41" i="26" s="1"/>
  <c r="AH41" i="26" s="1"/>
  <c r="AB40" i="26"/>
  <c r="AE40" i="26"/>
  <c r="X40" i="25"/>
  <c r="AA40" i="24"/>
  <c r="AN39" i="24"/>
  <c r="Z40" i="24" l="1"/>
  <c r="AL39" i="24"/>
  <c r="AM39" i="24" s="1"/>
  <c r="AO39" i="24" s="1"/>
  <c r="AV96" i="23"/>
  <c r="AG39" i="23"/>
  <c r="AE39" i="23"/>
  <c r="U40" i="23"/>
  <c r="V40" i="23" s="1"/>
  <c r="AH40" i="23" s="1"/>
  <c r="Z41" i="26"/>
  <c r="AK40" i="26"/>
  <c r="AJ40" i="26"/>
  <c r="AL40" i="26"/>
  <c r="W41" i="26"/>
  <c r="AA41" i="26"/>
  <c r="AN40" i="26"/>
  <c r="AA40" i="23"/>
  <c r="AN39" i="23"/>
  <c r="AC40" i="25"/>
  <c r="AG40" i="25"/>
  <c r="AE40" i="25"/>
  <c r="U41" i="25"/>
  <c r="AB40" i="25"/>
  <c r="W40" i="24"/>
  <c r="AI40" i="24" s="1"/>
  <c r="AU97" i="23" l="1"/>
  <c r="W40" i="23"/>
  <c r="AM40" i="26"/>
  <c r="AO40" i="26" s="1"/>
  <c r="AI41" i="26"/>
  <c r="X41" i="26"/>
  <c r="Z41" i="25"/>
  <c r="AK40" i="25"/>
  <c r="AJ40" i="25"/>
  <c r="AL40" i="25"/>
  <c r="AA41" i="25"/>
  <c r="AN40" i="25"/>
  <c r="V41" i="25"/>
  <c r="AH41" i="25" s="1"/>
  <c r="X40" i="24"/>
  <c r="AV97" i="23" l="1"/>
  <c r="X40" i="23"/>
  <c r="AE40" i="23" s="1"/>
  <c r="AE41" i="26"/>
  <c r="AG41" i="26"/>
  <c r="U42" i="26"/>
  <c r="V42" i="26" s="1"/>
  <c r="AH42" i="26" s="1"/>
  <c r="AC41" i="26"/>
  <c r="AB41" i="26"/>
  <c r="AM40" i="25"/>
  <c r="AO40" i="25" s="1"/>
  <c r="W41" i="25"/>
  <c r="AI41" i="25" s="1"/>
  <c r="AE40" i="24"/>
  <c r="AG40" i="24"/>
  <c r="U41" i="24"/>
  <c r="AC40" i="24"/>
  <c r="AB40" i="24"/>
  <c r="AU98" i="23" l="1"/>
  <c r="U41" i="23"/>
  <c r="V41" i="23" s="1"/>
  <c r="AH41" i="23" s="1"/>
  <c r="AC40" i="23"/>
  <c r="AA41" i="23" s="1"/>
  <c r="AG40" i="23"/>
  <c r="W42" i="26"/>
  <c r="AI42" i="26" s="1"/>
  <c r="AN41" i="26"/>
  <c r="AA42" i="26"/>
  <c r="AK41" i="26"/>
  <c r="Z42" i="26"/>
  <c r="AL41" i="26"/>
  <c r="AJ41" i="26"/>
  <c r="X41" i="25"/>
  <c r="Z41" i="24"/>
  <c r="AK40" i="24"/>
  <c r="AA41" i="24"/>
  <c r="AN40" i="24"/>
  <c r="V41" i="24"/>
  <c r="AH41" i="24" s="1"/>
  <c r="AJ40" i="24"/>
  <c r="AL40" i="24"/>
  <c r="X42" i="26" l="1"/>
  <c r="AG42" i="26" s="1"/>
  <c r="W41" i="24"/>
  <c r="AI41" i="24" s="1"/>
  <c r="AV98" i="23"/>
  <c r="W41" i="23"/>
  <c r="X41" i="23" s="1"/>
  <c r="AC41" i="23" s="1"/>
  <c r="AN41" i="23" s="1"/>
  <c r="AN40" i="23"/>
  <c r="AM41" i="26"/>
  <c r="AO41" i="26" s="1"/>
  <c r="AM40" i="24"/>
  <c r="AO40" i="24" s="1"/>
  <c r="U42" i="25"/>
  <c r="AG41" i="25"/>
  <c r="AE41" i="25"/>
  <c r="AC41" i="25"/>
  <c r="AB41" i="25"/>
  <c r="AE42" i="26" l="1"/>
  <c r="U43" i="26"/>
  <c r="V43" i="26" s="1"/>
  <c r="AH43" i="26" s="1"/>
  <c r="AB42" i="26"/>
  <c r="Z43" i="26" s="1"/>
  <c r="AC42" i="26"/>
  <c r="AA43" i="26" s="1"/>
  <c r="X41" i="24"/>
  <c r="AC41" i="24" s="1"/>
  <c r="AU99" i="23"/>
  <c r="AA42" i="23"/>
  <c r="AG41" i="23"/>
  <c r="AE41" i="23"/>
  <c r="U42" i="23"/>
  <c r="AJ42" i="26"/>
  <c r="AL42" i="26"/>
  <c r="Z42" i="25"/>
  <c r="AK41" i="25"/>
  <c r="AA42" i="25"/>
  <c r="AN41" i="25"/>
  <c r="AJ41" i="25"/>
  <c r="AL41" i="25"/>
  <c r="V42" i="25"/>
  <c r="AH42" i="25" s="1"/>
  <c r="AK42" i="26" l="1"/>
  <c r="AM42" i="26" s="1"/>
  <c r="AN42" i="26"/>
  <c r="AB41" i="24"/>
  <c r="AK41" i="24" s="1"/>
  <c r="AG41" i="24"/>
  <c r="U42" i="24"/>
  <c r="V42" i="24" s="1"/>
  <c r="AH42" i="24" s="1"/>
  <c r="AE41" i="24"/>
  <c r="AL41" i="24" s="1"/>
  <c r="AV99" i="23"/>
  <c r="V42" i="23"/>
  <c r="W42" i="23" s="1"/>
  <c r="W43" i="26"/>
  <c r="W42" i="25"/>
  <c r="AI42" i="25" s="1"/>
  <c r="AM41" i="25"/>
  <c r="AO41" i="25" s="1"/>
  <c r="Z42" i="24"/>
  <c r="AA42" i="24"/>
  <c r="AN41" i="24"/>
  <c r="AJ41" i="24" l="1"/>
  <c r="AM41" i="24" s="1"/>
  <c r="AO41" i="24" s="1"/>
  <c r="AO42" i="26"/>
  <c r="AU100" i="23"/>
  <c r="AH42" i="23"/>
  <c r="X42" i="23"/>
  <c r="X42" i="25"/>
  <c r="AG42" i="25" s="1"/>
  <c r="AI43" i="26"/>
  <c r="X43" i="26"/>
  <c r="W42" i="24"/>
  <c r="AI42" i="24" s="1"/>
  <c r="AB42" i="25" l="1"/>
  <c r="U43" i="25"/>
  <c r="V43" i="25" s="1"/>
  <c r="AH43" i="25" s="1"/>
  <c r="AE42" i="25"/>
  <c r="AJ42" i="25" s="1"/>
  <c r="AC42" i="25"/>
  <c r="AN42" i="25" s="1"/>
  <c r="AV100" i="23"/>
  <c r="AC42" i="23"/>
  <c r="U43" i="23"/>
  <c r="AG42" i="23"/>
  <c r="AE42" i="23"/>
  <c r="X42" i="24"/>
  <c r="U43" i="24" s="1"/>
  <c r="AE43" i="26"/>
  <c r="AG43" i="26"/>
  <c r="U44" i="26"/>
  <c r="AC43" i="26"/>
  <c r="AB43" i="26"/>
  <c r="Z43" i="25"/>
  <c r="AK42" i="25"/>
  <c r="AL42" i="25" l="1"/>
  <c r="AM42" i="25" s="1"/>
  <c r="AO42" i="25" s="1"/>
  <c r="AA43" i="25"/>
  <c r="AB42" i="24"/>
  <c r="Z43" i="24" s="1"/>
  <c r="AE42" i="24"/>
  <c r="AL42" i="24" s="1"/>
  <c r="AC42" i="24"/>
  <c r="AN42" i="24" s="1"/>
  <c r="AG42" i="24"/>
  <c r="AU101" i="23"/>
  <c r="V43" i="23"/>
  <c r="AH43" i="23" s="1"/>
  <c r="AA43" i="23"/>
  <c r="AN42" i="23"/>
  <c r="Z44" i="26"/>
  <c r="AK43" i="26"/>
  <c r="AA44" i="26"/>
  <c r="AN43" i="26"/>
  <c r="V44" i="26"/>
  <c r="AH44" i="26" s="1"/>
  <c r="AJ43" i="26"/>
  <c r="AL43" i="26"/>
  <c r="W43" i="25"/>
  <c r="V43" i="24"/>
  <c r="AH43" i="24" s="1"/>
  <c r="AJ42" i="24" l="1"/>
  <c r="AK42" i="24"/>
  <c r="AA43" i="24"/>
  <c r="AV101" i="23"/>
  <c r="W43" i="23"/>
  <c r="X43" i="23" s="1"/>
  <c r="AM43" i="26"/>
  <c r="AO43" i="26" s="1"/>
  <c r="W44" i="26"/>
  <c r="AI44" i="26" s="1"/>
  <c r="AI43" i="25"/>
  <c r="X43" i="25"/>
  <c r="W43" i="24"/>
  <c r="AM42" i="24" l="1"/>
  <c r="AO42" i="24" s="1"/>
  <c r="X44" i="26"/>
  <c r="AB44" i="26" s="1"/>
  <c r="AU102" i="23"/>
  <c r="AG43" i="23"/>
  <c r="AE43" i="23"/>
  <c r="U44" i="23"/>
  <c r="AC43" i="23"/>
  <c r="AE43" i="25"/>
  <c r="U44" i="25"/>
  <c r="AG43" i="25"/>
  <c r="AC43" i="25"/>
  <c r="AB43" i="25"/>
  <c r="AI43" i="24"/>
  <c r="X43" i="24"/>
  <c r="AC44" i="26" l="1"/>
  <c r="AN44" i="26" s="1"/>
  <c r="AG44" i="26"/>
  <c r="AE44" i="26"/>
  <c r="AL44" i="26" s="1"/>
  <c r="U45" i="26"/>
  <c r="V45" i="26" s="1"/>
  <c r="AH45" i="26" s="1"/>
  <c r="AV102" i="23"/>
  <c r="V44" i="23"/>
  <c r="AH44" i="23" s="1"/>
  <c r="AA44" i="23"/>
  <c r="AN43" i="23"/>
  <c r="AA45" i="26"/>
  <c r="Z45" i="26"/>
  <c r="AK44" i="26"/>
  <c r="AA44" i="25"/>
  <c r="AN43" i="25"/>
  <c r="Z44" i="25"/>
  <c r="AK43" i="25"/>
  <c r="V44" i="25"/>
  <c r="AH44" i="25" s="1"/>
  <c r="AJ43" i="25"/>
  <c r="AL43" i="25"/>
  <c r="U44" i="24"/>
  <c r="AG43" i="24"/>
  <c r="AE43" i="24"/>
  <c r="AC43" i="24"/>
  <c r="AB43" i="24"/>
  <c r="AJ44" i="26" l="1"/>
  <c r="AM44" i="26" s="1"/>
  <c r="AO44" i="26" s="1"/>
  <c r="AU103" i="23"/>
  <c r="W44" i="23"/>
  <c r="W45" i="26"/>
  <c r="AI45" i="26" s="1"/>
  <c r="W44" i="25"/>
  <c r="AI44" i="25" s="1"/>
  <c r="AM43" i="25"/>
  <c r="AO43" i="25" s="1"/>
  <c r="AA44" i="24"/>
  <c r="AN43" i="24"/>
  <c r="Z44" i="24"/>
  <c r="AK43" i="24"/>
  <c r="AJ43" i="24"/>
  <c r="AL43" i="24"/>
  <c r="V44" i="24"/>
  <c r="AH44" i="24" s="1"/>
  <c r="AV103" i="23" l="1"/>
  <c r="X44" i="23"/>
  <c r="AG44" i="23" s="1"/>
  <c r="X45" i="26"/>
  <c r="AB45" i="26" s="1"/>
  <c r="W44" i="24"/>
  <c r="AI44" i="24" s="1"/>
  <c r="X44" i="25"/>
  <c r="AM43" i="24"/>
  <c r="AO43" i="24" s="1"/>
  <c r="AE45" i="26" l="1"/>
  <c r="AC45" i="26"/>
  <c r="AA46" i="26" s="1"/>
  <c r="AG45" i="26"/>
  <c r="AJ45" i="26" s="1"/>
  <c r="U46" i="26"/>
  <c r="V46" i="26" s="1"/>
  <c r="AH46" i="26" s="1"/>
  <c r="X44" i="24"/>
  <c r="AG44" i="24" s="1"/>
  <c r="AU104" i="23"/>
  <c r="AE44" i="23"/>
  <c r="AC44" i="23"/>
  <c r="AN44" i="23" s="1"/>
  <c r="U45" i="23"/>
  <c r="V45" i="23" s="1"/>
  <c r="AH45" i="23" s="1"/>
  <c r="AL45" i="26"/>
  <c r="Z46" i="26"/>
  <c r="AK45" i="26"/>
  <c r="AG44" i="25"/>
  <c r="U45" i="25"/>
  <c r="AE44" i="25"/>
  <c r="AC44" i="25"/>
  <c r="AB44" i="25"/>
  <c r="AN45" i="26" l="1"/>
  <c r="AB44" i="24"/>
  <c r="AK44" i="24" s="1"/>
  <c r="AC44" i="24"/>
  <c r="AA45" i="24" s="1"/>
  <c r="U45" i="24"/>
  <c r="V45" i="24" s="1"/>
  <c r="AH45" i="24" s="1"/>
  <c r="AE44" i="24"/>
  <c r="AL44" i="24" s="1"/>
  <c r="AV104" i="23"/>
  <c r="AA45" i="23"/>
  <c r="W45" i="23"/>
  <c r="W46" i="26"/>
  <c r="AI46" i="26" s="1"/>
  <c r="AM45" i="26"/>
  <c r="Z45" i="25"/>
  <c r="AK44" i="25"/>
  <c r="AJ44" i="25"/>
  <c r="AL44" i="25"/>
  <c r="AA45" i="25"/>
  <c r="AN44" i="25"/>
  <c r="V45" i="25"/>
  <c r="AH45" i="25" s="1"/>
  <c r="Z45" i="24" l="1"/>
  <c r="AO45" i="26"/>
  <c r="AN44" i="24"/>
  <c r="AJ44" i="24"/>
  <c r="AM44" i="24" s="1"/>
  <c r="AO44" i="24" s="1"/>
  <c r="W45" i="24"/>
  <c r="AI45" i="24" s="1"/>
  <c r="AU105" i="23"/>
  <c r="X45" i="23"/>
  <c r="U46" i="23" s="1"/>
  <c r="X46" i="26"/>
  <c r="AG46" i="26" s="1"/>
  <c r="W45" i="25"/>
  <c r="AI45" i="25" s="1"/>
  <c r="AM44" i="25"/>
  <c r="AO44" i="25" s="1"/>
  <c r="AB46" i="26" l="1"/>
  <c r="Z47" i="26" s="1"/>
  <c r="AE46" i="26"/>
  <c r="AJ46" i="26" s="1"/>
  <c r="AC46" i="26"/>
  <c r="AA47" i="26" s="1"/>
  <c r="U47" i="26"/>
  <c r="V47" i="26" s="1"/>
  <c r="AH47" i="26" s="1"/>
  <c r="X45" i="24"/>
  <c r="AE45" i="24" s="1"/>
  <c r="AL45" i="24" s="1"/>
  <c r="AV105" i="23"/>
  <c r="AE45" i="23"/>
  <c r="AC45" i="23"/>
  <c r="AA46" i="23" s="1"/>
  <c r="AG45" i="23"/>
  <c r="V46" i="23"/>
  <c r="W46" i="23" s="1"/>
  <c r="X45" i="25"/>
  <c r="AC45" i="25" s="1"/>
  <c r="AN46" i="26" l="1"/>
  <c r="AK46" i="26"/>
  <c r="AL46" i="26"/>
  <c r="AE45" i="25"/>
  <c r="AL45" i="25" s="1"/>
  <c r="AG45" i="25"/>
  <c r="AB45" i="25"/>
  <c r="AK45" i="25" s="1"/>
  <c r="U46" i="25"/>
  <c r="V46" i="25" s="1"/>
  <c r="AH46" i="25" s="1"/>
  <c r="U46" i="24"/>
  <c r="V46" i="24" s="1"/>
  <c r="AH46" i="24" s="1"/>
  <c r="AG45" i="24"/>
  <c r="AJ45" i="24" s="1"/>
  <c r="AC45" i="24"/>
  <c r="AB45" i="24"/>
  <c r="Z46" i="24" s="1"/>
  <c r="AN45" i="23"/>
  <c r="AU106" i="23"/>
  <c r="AH46" i="23"/>
  <c r="X46" i="23"/>
  <c r="W47" i="26"/>
  <c r="AI47" i="26" s="1"/>
  <c r="AA46" i="25"/>
  <c r="AN45" i="25"/>
  <c r="Z46" i="25" l="1"/>
  <c r="AM46" i="26"/>
  <c r="AO46" i="26" s="1"/>
  <c r="AJ45" i="25"/>
  <c r="AM45" i="25" s="1"/>
  <c r="AO45" i="25" s="1"/>
  <c r="W46" i="24"/>
  <c r="AI46" i="24" s="1"/>
  <c r="AA46" i="24"/>
  <c r="AN45" i="24"/>
  <c r="AK45" i="24"/>
  <c r="AM45" i="24" s="1"/>
  <c r="AV106" i="23"/>
  <c r="U47" i="23"/>
  <c r="V47" i="23" s="1"/>
  <c r="AH47" i="23" s="1"/>
  <c r="AG46" i="23"/>
  <c r="AC46" i="23"/>
  <c r="AE46" i="23"/>
  <c r="X47" i="26"/>
  <c r="AE47" i="26" s="1"/>
  <c r="W46" i="25"/>
  <c r="X46" i="24" l="1"/>
  <c r="AC46" i="24" s="1"/>
  <c r="AA47" i="24" s="1"/>
  <c r="AB47" i="26"/>
  <c r="AK47" i="26" s="1"/>
  <c r="AC47" i="26"/>
  <c r="AG47" i="26"/>
  <c r="AJ47" i="26" s="1"/>
  <c r="U48" i="26"/>
  <c r="V48" i="26" s="1"/>
  <c r="AH48" i="26" s="1"/>
  <c r="AO45" i="24"/>
  <c r="AG46" i="24"/>
  <c r="AE46" i="24"/>
  <c r="AL46" i="24" s="1"/>
  <c r="U47" i="24"/>
  <c r="V47" i="24" s="1"/>
  <c r="AH47" i="24" s="1"/>
  <c r="AU107" i="23"/>
  <c r="W47" i="23"/>
  <c r="X47" i="23" s="1"/>
  <c r="AA47" i="23"/>
  <c r="AN46" i="23"/>
  <c r="AA48" i="26"/>
  <c r="AN47" i="26"/>
  <c r="Z48" i="26"/>
  <c r="AL47" i="26"/>
  <c r="AI46" i="25"/>
  <c r="X46" i="25"/>
  <c r="AN46" i="24" l="1"/>
  <c r="AB46" i="24"/>
  <c r="AK46" i="24" s="1"/>
  <c r="AJ46" i="24"/>
  <c r="AV107" i="23"/>
  <c r="AU108" i="23" s="1"/>
  <c r="W48" i="26"/>
  <c r="AI48" i="26" s="1"/>
  <c r="AM47" i="26"/>
  <c r="AO47" i="26" s="1"/>
  <c r="AC46" i="25"/>
  <c r="AG46" i="25"/>
  <c r="U47" i="25"/>
  <c r="AE46" i="25"/>
  <c r="AB46" i="25"/>
  <c r="W47" i="24"/>
  <c r="AI47" i="24" s="1"/>
  <c r="AC47" i="23"/>
  <c r="U48" i="23"/>
  <c r="AE47" i="23"/>
  <c r="AG47" i="23"/>
  <c r="Z47" i="24" l="1"/>
  <c r="AM46" i="24"/>
  <c r="AO46" i="24" s="1"/>
  <c r="X47" i="24"/>
  <c r="AG47" i="24" s="1"/>
  <c r="AV108" i="23"/>
  <c r="X48" i="26"/>
  <c r="U49" i="26" s="1"/>
  <c r="AJ46" i="25"/>
  <c r="AL46" i="25"/>
  <c r="V47" i="25"/>
  <c r="AH47" i="25" s="1"/>
  <c r="Z47" i="25"/>
  <c r="AK46" i="25"/>
  <c r="AA47" i="25"/>
  <c r="AN46" i="25"/>
  <c r="V48" i="23"/>
  <c r="AH48" i="23" s="1"/>
  <c r="AA48" i="23"/>
  <c r="AN47" i="23"/>
  <c r="AB48" i="26" l="1"/>
  <c r="Z49" i="26" s="1"/>
  <c r="AC48" i="26"/>
  <c r="AA49" i="26" s="1"/>
  <c r="AG48" i="26"/>
  <c r="AE48" i="26"/>
  <c r="U48" i="24"/>
  <c r="V48" i="24" s="1"/>
  <c r="AH48" i="24" s="1"/>
  <c r="AE47" i="24"/>
  <c r="AJ47" i="24" s="1"/>
  <c r="AB47" i="24"/>
  <c r="AK47" i="24" s="1"/>
  <c r="AC47" i="24"/>
  <c r="AA48" i="24" s="1"/>
  <c r="AU109" i="23"/>
  <c r="AM46" i="25"/>
  <c r="AO46" i="25" s="1"/>
  <c r="V49" i="26"/>
  <c r="AH49" i="26" s="1"/>
  <c r="W47" i="25"/>
  <c r="AI47" i="25" s="1"/>
  <c r="W48" i="23"/>
  <c r="AK48" i="26" l="1"/>
  <c r="AN47" i="24"/>
  <c r="AJ48" i="26"/>
  <c r="AN48" i="26"/>
  <c r="AL48" i="26"/>
  <c r="AM48" i="26" s="1"/>
  <c r="Z48" i="24"/>
  <c r="AL47" i="24"/>
  <c r="AM47" i="24" s="1"/>
  <c r="AO47" i="24" s="1"/>
  <c r="AV109" i="23"/>
  <c r="W49" i="26"/>
  <c r="AI49" i="26" s="1"/>
  <c r="X47" i="25"/>
  <c r="W48" i="24"/>
  <c r="X48" i="23"/>
  <c r="AO48" i="26" l="1"/>
  <c r="AU110" i="23"/>
  <c r="X49" i="26"/>
  <c r="U48" i="25"/>
  <c r="AC47" i="25"/>
  <c r="AG47" i="25"/>
  <c r="AE47" i="25"/>
  <c r="AB47" i="25"/>
  <c r="AI48" i="24"/>
  <c r="X48" i="24"/>
  <c r="AE48" i="23"/>
  <c r="U49" i="23"/>
  <c r="AG48" i="23"/>
  <c r="AC48" i="23"/>
  <c r="AV110" i="23" l="1"/>
  <c r="AE49" i="26"/>
  <c r="AG49" i="26"/>
  <c r="U50" i="26"/>
  <c r="AC49" i="26"/>
  <c r="AB49" i="26"/>
  <c r="AJ47" i="25"/>
  <c r="AL47" i="25"/>
  <c r="AA48" i="25"/>
  <c r="AN47" i="25"/>
  <c r="Z48" i="25"/>
  <c r="AK47" i="25"/>
  <c r="V48" i="25"/>
  <c r="AH48" i="25" s="1"/>
  <c r="AE48" i="24"/>
  <c r="AG48" i="24"/>
  <c r="U49" i="24"/>
  <c r="AC48" i="24"/>
  <c r="AB48" i="24"/>
  <c r="AA49" i="23"/>
  <c r="AN48" i="23"/>
  <c r="V49" i="23"/>
  <c r="AH49" i="23" s="1"/>
  <c r="AU111" i="23" l="1"/>
  <c r="W48" i="25"/>
  <c r="AI48" i="25" s="1"/>
  <c r="AA50" i="26"/>
  <c r="AN49" i="26"/>
  <c r="Z50" i="26"/>
  <c r="AK49" i="26"/>
  <c r="V50" i="26"/>
  <c r="AH50" i="26" s="1"/>
  <c r="AJ49" i="26"/>
  <c r="AL49" i="26"/>
  <c r="AM47" i="25"/>
  <c r="AO47" i="25" s="1"/>
  <c r="AA49" i="24"/>
  <c r="AN48" i="24"/>
  <c r="Z49" i="24"/>
  <c r="AK48" i="24"/>
  <c r="V49" i="24"/>
  <c r="AH49" i="24" s="1"/>
  <c r="AJ48" i="24"/>
  <c r="AL48" i="24"/>
  <c r="W49" i="23"/>
  <c r="X48" i="25" l="1"/>
  <c r="AC48" i="25" s="1"/>
  <c r="AV111" i="23"/>
  <c r="AM49" i="26"/>
  <c r="AO49" i="26" s="1"/>
  <c r="AM48" i="24"/>
  <c r="AO48" i="24" s="1"/>
  <c r="X49" i="23"/>
  <c r="U50" i="23" s="1"/>
  <c r="W50" i="26"/>
  <c r="AI50" i="26" s="1"/>
  <c r="W49" i="24"/>
  <c r="AI49" i="24" s="1"/>
  <c r="AG48" i="25" l="1"/>
  <c r="AB48" i="25"/>
  <c r="Z49" i="25" s="1"/>
  <c r="U49" i="25"/>
  <c r="V49" i="25" s="1"/>
  <c r="AH49" i="25" s="1"/>
  <c r="AE48" i="25"/>
  <c r="AU112" i="23"/>
  <c r="AC49" i="23"/>
  <c r="AN49" i="23" s="1"/>
  <c r="AE49" i="23"/>
  <c r="AG49" i="23"/>
  <c r="X50" i="26"/>
  <c r="AA49" i="25"/>
  <c r="AN48" i="25"/>
  <c r="X49" i="24"/>
  <c r="V50" i="23"/>
  <c r="AH50" i="23" s="1"/>
  <c r="AJ48" i="25" l="1"/>
  <c r="AL48" i="25"/>
  <c r="AK48" i="25"/>
  <c r="AA50" i="23"/>
  <c r="AV112" i="23"/>
  <c r="AU113" i="23" s="1"/>
  <c r="W49" i="25"/>
  <c r="AI49" i="25" s="1"/>
  <c r="AE50" i="26"/>
  <c r="AG50" i="26"/>
  <c r="AC50" i="26"/>
  <c r="U51" i="26"/>
  <c r="AB50" i="26"/>
  <c r="U50" i="24"/>
  <c r="AG49" i="24"/>
  <c r="AE49" i="24"/>
  <c r="AC49" i="24"/>
  <c r="AB49" i="24"/>
  <c r="W50" i="23"/>
  <c r="AM48" i="25" l="1"/>
  <c r="AO48" i="25" s="1"/>
  <c r="X49" i="25"/>
  <c r="U50" i="25" s="1"/>
  <c r="AV113" i="23"/>
  <c r="X50" i="23"/>
  <c r="AC50" i="23" s="1"/>
  <c r="AJ50" i="26"/>
  <c r="AL50" i="26"/>
  <c r="Z51" i="26"/>
  <c r="AK50" i="26"/>
  <c r="AA51" i="26"/>
  <c r="AN50" i="26"/>
  <c r="V51" i="26"/>
  <c r="AH51" i="26" s="1"/>
  <c r="AA50" i="24"/>
  <c r="AN49" i="24"/>
  <c r="Z50" i="24"/>
  <c r="AK49" i="24"/>
  <c r="AJ49" i="24"/>
  <c r="AL49" i="24"/>
  <c r="V50" i="24"/>
  <c r="AH50" i="24" s="1"/>
  <c r="W51" i="26" l="1"/>
  <c r="AI51" i="26" s="1"/>
  <c r="AB49" i="25"/>
  <c r="AG49" i="25"/>
  <c r="AE49" i="25"/>
  <c r="AL49" i="25" s="1"/>
  <c r="AC49" i="25"/>
  <c r="AA50" i="25" s="1"/>
  <c r="W50" i="24"/>
  <c r="AI50" i="24" s="1"/>
  <c r="AE50" i="23"/>
  <c r="AG50" i="23"/>
  <c r="U51" i="23"/>
  <c r="V51" i="23" s="1"/>
  <c r="AH51" i="23" s="1"/>
  <c r="AU114" i="23"/>
  <c r="AM50" i="26"/>
  <c r="AO50" i="26" s="1"/>
  <c r="Z50" i="25"/>
  <c r="AK49" i="25"/>
  <c r="V50" i="25"/>
  <c r="AH50" i="25" s="1"/>
  <c r="AM49" i="24"/>
  <c r="AO49" i="24" s="1"/>
  <c r="AA51" i="23"/>
  <c r="AN50" i="23"/>
  <c r="AJ49" i="25" l="1"/>
  <c r="X50" i="24"/>
  <c r="AC50" i="24" s="1"/>
  <c r="X51" i="26"/>
  <c r="U52" i="26" s="1"/>
  <c r="AN49" i="25"/>
  <c r="AV114" i="23"/>
  <c r="W50" i="25"/>
  <c r="AI50" i="25" s="1"/>
  <c r="AM49" i="25"/>
  <c r="W51" i="23"/>
  <c r="U51" i="24" l="1"/>
  <c r="AG50" i="24"/>
  <c r="AE50" i="24"/>
  <c r="AB50" i="24"/>
  <c r="AB51" i="26"/>
  <c r="AK51" i="26" s="1"/>
  <c r="AE51" i="26"/>
  <c r="AL51" i="26" s="1"/>
  <c r="AC51" i="26"/>
  <c r="AA52" i="26" s="1"/>
  <c r="AG51" i="26"/>
  <c r="AO49" i="25"/>
  <c r="AU115" i="23"/>
  <c r="X50" i="25"/>
  <c r="AC50" i="25" s="1"/>
  <c r="V52" i="26"/>
  <c r="AH52" i="26" s="1"/>
  <c r="AA51" i="24"/>
  <c r="AN50" i="24"/>
  <c r="Z51" i="24"/>
  <c r="AK50" i="24"/>
  <c r="V51" i="24"/>
  <c r="AH51" i="24" s="1"/>
  <c r="X51" i="23"/>
  <c r="AJ51" i="26" l="1"/>
  <c r="AJ50" i="24"/>
  <c r="AL50" i="24"/>
  <c r="Z52" i="26"/>
  <c r="AN51" i="26"/>
  <c r="U51" i="25"/>
  <c r="V51" i="25" s="1"/>
  <c r="AH51" i="25" s="1"/>
  <c r="AB50" i="25"/>
  <c r="Z51" i="25" s="1"/>
  <c r="AG50" i="25"/>
  <c r="AE50" i="25"/>
  <c r="AV115" i="23"/>
  <c r="AM51" i="26"/>
  <c r="W52" i="26"/>
  <c r="AI52" i="26" s="1"/>
  <c r="AA51" i="25"/>
  <c r="AN50" i="25"/>
  <c r="W51" i="24"/>
  <c r="AE51" i="23"/>
  <c r="AG51" i="23"/>
  <c r="U52" i="23"/>
  <c r="AC51" i="23"/>
  <c r="AJ50" i="25" l="1"/>
  <c r="AM50" i="24"/>
  <c r="AO50" i="24" s="1"/>
  <c r="AO51" i="26"/>
  <c r="AL50" i="25"/>
  <c r="AK50" i="25"/>
  <c r="AU116" i="23"/>
  <c r="X52" i="26"/>
  <c r="W51" i="25"/>
  <c r="AI51" i="25" s="1"/>
  <c r="AI51" i="24"/>
  <c r="X51" i="24"/>
  <c r="AA52" i="23"/>
  <c r="AN51" i="23"/>
  <c r="V52" i="23"/>
  <c r="AH52" i="23" s="1"/>
  <c r="AM50" i="25" l="1"/>
  <c r="AO50" i="25" s="1"/>
  <c r="AV116" i="23"/>
  <c r="AG52" i="26"/>
  <c r="AE52" i="26"/>
  <c r="AC52" i="26"/>
  <c r="U53" i="26"/>
  <c r="AB52" i="26"/>
  <c r="X51" i="25"/>
  <c r="U52" i="24"/>
  <c r="AG51" i="24"/>
  <c r="AE51" i="24"/>
  <c r="AC51" i="24"/>
  <c r="AB51" i="24"/>
  <c r="W52" i="23"/>
  <c r="AU117" i="23" l="1"/>
  <c r="X52" i="23"/>
  <c r="U53" i="23" s="1"/>
  <c r="V53" i="26"/>
  <c r="AH53" i="26" s="1"/>
  <c r="AA53" i="26"/>
  <c r="AN52" i="26"/>
  <c r="Z53" i="26"/>
  <c r="AK52" i="26"/>
  <c r="AJ52" i="26"/>
  <c r="AL52" i="26"/>
  <c r="U52" i="25"/>
  <c r="AE51" i="25"/>
  <c r="AG51" i="25"/>
  <c r="AC51" i="25"/>
  <c r="AB51" i="25"/>
  <c r="Z52" i="24"/>
  <c r="AK51" i="24"/>
  <c r="AA52" i="24"/>
  <c r="AN51" i="24"/>
  <c r="AJ51" i="24"/>
  <c r="AL51" i="24"/>
  <c r="V52" i="24"/>
  <c r="AH52" i="24" s="1"/>
  <c r="AV117" i="23" l="1"/>
  <c r="AG52" i="23"/>
  <c r="AC52" i="23"/>
  <c r="AN52" i="23" s="1"/>
  <c r="AE52" i="23"/>
  <c r="W52" i="24"/>
  <c r="AM52" i="26"/>
  <c r="AO52" i="26" s="1"/>
  <c r="W53" i="26"/>
  <c r="Z52" i="25"/>
  <c r="AK51" i="25"/>
  <c r="AJ51" i="25"/>
  <c r="AL51" i="25"/>
  <c r="AA52" i="25"/>
  <c r="AN51" i="25"/>
  <c r="V52" i="25"/>
  <c r="AH52" i="25" s="1"/>
  <c r="AM51" i="24"/>
  <c r="AO51" i="24" s="1"/>
  <c r="V53" i="23"/>
  <c r="AH53" i="23" s="1"/>
  <c r="AU118" i="23" l="1"/>
  <c r="AA53" i="23"/>
  <c r="W52" i="25"/>
  <c r="AI52" i="25" s="1"/>
  <c r="AI52" i="24"/>
  <c r="X52" i="24"/>
  <c r="AI53" i="26"/>
  <c r="X53" i="26"/>
  <c r="AM51" i="25"/>
  <c r="AO51" i="25" s="1"/>
  <c r="W53" i="23"/>
  <c r="AV118" i="23" l="1"/>
  <c r="X52" i="25"/>
  <c r="AB52" i="24"/>
  <c r="U53" i="24"/>
  <c r="V53" i="24" s="1"/>
  <c r="AH53" i="24" s="1"/>
  <c r="AC52" i="24"/>
  <c r="AG52" i="24"/>
  <c r="AE52" i="24"/>
  <c r="U54" i="26"/>
  <c r="AE53" i="26"/>
  <c r="AG53" i="26"/>
  <c r="AC53" i="26"/>
  <c r="AB53" i="26"/>
  <c r="X53" i="23"/>
  <c r="W53" i="24" l="1"/>
  <c r="AI53" i="24" s="1"/>
  <c r="AU119" i="23"/>
  <c r="AC52" i="25"/>
  <c r="U53" i="25"/>
  <c r="V53" i="25" s="1"/>
  <c r="AH53" i="25" s="1"/>
  <c r="AG52" i="25"/>
  <c r="AE52" i="25"/>
  <c r="AB52" i="25"/>
  <c r="AL52" i="24"/>
  <c r="AJ52" i="24"/>
  <c r="AA53" i="24"/>
  <c r="AN52" i="24"/>
  <c r="Z53" i="24"/>
  <c r="AK52" i="24"/>
  <c r="AA54" i="26"/>
  <c r="AN53" i="26"/>
  <c r="V54" i="26"/>
  <c r="AH54" i="26" s="1"/>
  <c r="Z54" i="26"/>
  <c r="AK53" i="26"/>
  <c r="AJ53" i="26"/>
  <c r="AL53" i="26"/>
  <c r="AG53" i="23"/>
  <c r="AE53" i="23"/>
  <c r="AC53" i="23"/>
  <c r="U54" i="23"/>
  <c r="X53" i="24" l="1"/>
  <c r="AG53" i="24" s="1"/>
  <c r="AV119" i="23"/>
  <c r="W53" i="25"/>
  <c r="AJ52" i="25"/>
  <c r="AL52" i="25"/>
  <c r="Z53" i="25"/>
  <c r="AK52" i="25"/>
  <c r="AA53" i="25"/>
  <c r="AN52" i="25"/>
  <c r="AM52" i="24"/>
  <c r="AO52" i="24" s="1"/>
  <c r="W54" i="26"/>
  <c r="AI54" i="26" s="1"/>
  <c r="AM53" i="26"/>
  <c r="AO53" i="26" s="1"/>
  <c r="V54" i="23"/>
  <c r="AH54" i="23" s="1"/>
  <c r="AA54" i="23"/>
  <c r="AN53" i="23"/>
  <c r="AC53" i="24" l="1"/>
  <c r="AB53" i="24"/>
  <c r="Z54" i="24" s="1"/>
  <c r="AE53" i="24"/>
  <c r="AJ53" i="24" s="1"/>
  <c r="U54" i="24"/>
  <c r="V54" i="24" s="1"/>
  <c r="AH54" i="24" s="1"/>
  <c r="AM52" i="25"/>
  <c r="AO52" i="25" s="1"/>
  <c r="AU120" i="23"/>
  <c r="AI53" i="25"/>
  <c r="X53" i="25"/>
  <c r="X54" i="26"/>
  <c r="AC54" i="26" s="1"/>
  <c r="AA54" i="24"/>
  <c r="AN53" i="24"/>
  <c r="W54" i="23"/>
  <c r="AK53" i="24" l="1"/>
  <c r="AL53" i="24"/>
  <c r="AE54" i="26"/>
  <c r="AL54" i="26" s="1"/>
  <c r="AG54" i="26"/>
  <c r="U55" i="26"/>
  <c r="V55" i="26" s="1"/>
  <c r="AH55" i="26" s="1"/>
  <c r="AB54" i="26"/>
  <c r="Z55" i="26" s="1"/>
  <c r="AV120" i="23"/>
  <c r="AU121" i="23" s="1"/>
  <c r="AG53" i="25"/>
  <c r="AE53" i="25"/>
  <c r="AC53" i="25"/>
  <c r="U54" i="25"/>
  <c r="V54" i="25" s="1"/>
  <c r="AH54" i="25" s="1"/>
  <c r="AB53" i="25"/>
  <c r="AA55" i="26"/>
  <c r="AN54" i="26"/>
  <c r="AM53" i="24"/>
  <c r="AO53" i="24" s="1"/>
  <c r="W54" i="24"/>
  <c r="AI54" i="24" s="1"/>
  <c r="X54" i="23"/>
  <c r="AJ54" i="26" l="1"/>
  <c r="AK54" i="26"/>
  <c r="W54" i="25"/>
  <c r="AI54" i="25" s="1"/>
  <c r="AV121" i="23"/>
  <c r="AA54" i="25"/>
  <c r="AN53" i="25"/>
  <c r="AK53" i="25"/>
  <c r="Z54" i="25"/>
  <c r="AL53" i="25"/>
  <c r="AJ53" i="25"/>
  <c r="W55" i="26"/>
  <c r="AI55" i="26" s="1"/>
  <c r="X54" i="24"/>
  <c r="U55" i="23"/>
  <c r="AG54" i="23"/>
  <c r="AE54" i="23"/>
  <c r="AC54" i="23"/>
  <c r="AM54" i="26" l="1"/>
  <c r="AO54" i="26" s="1"/>
  <c r="X54" i="25"/>
  <c r="AE54" i="25" s="1"/>
  <c r="AL54" i="25" s="1"/>
  <c r="AU122" i="23"/>
  <c r="AM53" i="25"/>
  <c r="AO53" i="25" s="1"/>
  <c r="X55" i="26"/>
  <c r="AG54" i="24"/>
  <c r="AE54" i="24"/>
  <c r="AC54" i="24"/>
  <c r="U55" i="24"/>
  <c r="AB54" i="24"/>
  <c r="AA55" i="23"/>
  <c r="AN54" i="23"/>
  <c r="V55" i="23"/>
  <c r="AH55" i="23" s="1"/>
  <c r="AG54" i="25" l="1"/>
  <c r="AJ54" i="25" s="1"/>
  <c r="U55" i="25"/>
  <c r="V55" i="25" s="1"/>
  <c r="AH55" i="25" s="1"/>
  <c r="AB54" i="25"/>
  <c r="AC54" i="25"/>
  <c r="AV122" i="23"/>
  <c r="AC55" i="26"/>
  <c r="AG55" i="26"/>
  <c r="U56" i="26"/>
  <c r="AE55" i="26"/>
  <c r="AB55" i="26"/>
  <c r="V55" i="24"/>
  <c r="AH55" i="24" s="1"/>
  <c r="AJ54" i="24"/>
  <c r="AL54" i="24"/>
  <c r="Z55" i="24"/>
  <c r="AK54" i="24"/>
  <c r="AA55" i="24"/>
  <c r="AN54" i="24"/>
  <c r="W55" i="23"/>
  <c r="W55" i="25" l="1"/>
  <c r="AI55" i="25" s="1"/>
  <c r="Z55" i="25"/>
  <c r="AK54" i="25"/>
  <c r="AM54" i="25" s="1"/>
  <c r="AA55" i="25"/>
  <c r="AN54" i="25"/>
  <c r="AU123" i="23"/>
  <c r="AJ55" i="26"/>
  <c r="AL55" i="26"/>
  <c r="V56" i="26"/>
  <c r="AH56" i="26" s="1"/>
  <c r="Z56" i="26"/>
  <c r="AK55" i="26"/>
  <c r="AA56" i="26"/>
  <c r="AN55" i="26"/>
  <c r="AM54" i="24"/>
  <c r="AO54" i="24" s="1"/>
  <c r="W55" i="24"/>
  <c r="AI55" i="24" s="1"/>
  <c r="X55" i="23"/>
  <c r="X55" i="25" l="1"/>
  <c r="AE55" i="25" s="1"/>
  <c r="AL55" i="25" s="1"/>
  <c r="AO54" i="25"/>
  <c r="AV123" i="23"/>
  <c r="AM55" i="26"/>
  <c r="AO55" i="26" s="1"/>
  <c r="W56" i="26"/>
  <c r="AI56" i="26" s="1"/>
  <c r="X55" i="24"/>
  <c r="U56" i="23"/>
  <c r="AG55" i="23"/>
  <c r="AE55" i="23"/>
  <c r="AC55" i="23"/>
  <c r="AG55" i="25" l="1"/>
  <c r="AJ55" i="25" s="1"/>
  <c r="AC55" i="25"/>
  <c r="AN55" i="25" s="1"/>
  <c r="AB55" i="25"/>
  <c r="Z56" i="25" s="1"/>
  <c r="U56" i="25"/>
  <c r="V56" i="25" s="1"/>
  <c r="AH56" i="25" s="1"/>
  <c r="AU124" i="23"/>
  <c r="AU2" i="23" s="1"/>
  <c r="X56" i="26"/>
  <c r="U57" i="26" s="1"/>
  <c r="U56" i="24"/>
  <c r="AG55" i="24"/>
  <c r="AE55" i="24"/>
  <c r="AC55" i="24"/>
  <c r="AB55" i="24"/>
  <c r="AA56" i="23"/>
  <c r="AN55" i="23"/>
  <c r="V56" i="23"/>
  <c r="AH56" i="23" s="1"/>
  <c r="AK55" i="25" l="1"/>
  <c r="AM55" i="25" s="1"/>
  <c r="AO55" i="25" s="1"/>
  <c r="AA56" i="25"/>
  <c r="W56" i="25"/>
  <c r="AI56" i="25" s="1"/>
  <c r="AB56" i="26"/>
  <c r="AK56" i="26" s="1"/>
  <c r="AG56" i="26"/>
  <c r="AC56" i="26"/>
  <c r="AA57" i="26" s="1"/>
  <c r="AE56" i="26"/>
  <c r="AL56" i="26" s="1"/>
  <c r="AV124" i="23"/>
  <c r="AU1" i="23"/>
  <c r="V57" i="26"/>
  <c r="AH57" i="26" s="1"/>
  <c r="Z56" i="24"/>
  <c r="AK55" i="24"/>
  <c r="AA56" i="24"/>
  <c r="AN55" i="24"/>
  <c r="AJ55" i="24"/>
  <c r="AL55" i="24"/>
  <c r="V56" i="24"/>
  <c r="AH56" i="24" s="1"/>
  <c r="W56" i="23"/>
  <c r="X56" i="25" l="1"/>
  <c r="AE56" i="25" s="1"/>
  <c r="Z57" i="26"/>
  <c r="AG56" i="25"/>
  <c r="AJ56" i="25" s="1"/>
  <c r="AJ56" i="26"/>
  <c r="AM56" i="26" s="1"/>
  <c r="AN56" i="26"/>
  <c r="AV2" i="23"/>
  <c r="AW2" i="23" s="1"/>
  <c r="AX58" i="23" s="1"/>
  <c r="N58" i="23" s="1"/>
  <c r="P58" i="23" s="1"/>
  <c r="AV1" i="23"/>
  <c r="AW1" i="23" s="1"/>
  <c r="AW7" i="23" s="1"/>
  <c r="O7" i="23" s="1"/>
  <c r="Q7" i="23" s="1"/>
  <c r="AB7" i="23" s="1"/>
  <c r="Z8" i="23" s="1"/>
  <c r="W56" i="24"/>
  <c r="AI56" i="24" s="1"/>
  <c r="X56" i="23"/>
  <c r="W57" i="26"/>
  <c r="AL56" i="25"/>
  <c r="AM55" i="24"/>
  <c r="AO55" i="24" s="1"/>
  <c r="AC56" i="25" l="1"/>
  <c r="AN56" i="25" s="1"/>
  <c r="U57" i="25"/>
  <c r="V57" i="25" s="1"/>
  <c r="AH57" i="25" s="1"/>
  <c r="AB56" i="25"/>
  <c r="AA57" i="25"/>
  <c r="AW114" i="23"/>
  <c r="O114" i="23" s="1"/>
  <c r="Q114" i="23" s="1"/>
  <c r="AW115" i="23"/>
  <c r="O115" i="23" s="1"/>
  <c r="Q115" i="23" s="1"/>
  <c r="AW113" i="23"/>
  <c r="O113" i="23" s="1"/>
  <c r="Q113" i="23" s="1"/>
  <c r="AW111" i="23"/>
  <c r="O111" i="23" s="1"/>
  <c r="Q111" i="23" s="1"/>
  <c r="AW117" i="23"/>
  <c r="O117" i="23" s="1"/>
  <c r="Q117" i="23" s="1"/>
  <c r="AW121" i="23"/>
  <c r="O121" i="23" s="1"/>
  <c r="Q121" i="23" s="1"/>
  <c r="AW122" i="23"/>
  <c r="O122" i="23" s="1"/>
  <c r="Q122" i="23" s="1"/>
  <c r="AW118" i="23"/>
  <c r="O118" i="23" s="1"/>
  <c r="Q118" i="23" s="1"/>
  <c r="AW120" i="23"/>
  <c r="O120" i="23" s="1"/>
  <c r="Q120" i="23" s="1"/>
  <c r="AW119" i="23"/>
  <c r="O119" i="23" s="1"/>
  <c r="Q119" i="23" s="1"/>
  <c r="AW116" i="23"/>
  <c r="O116" i="23" s="1"/>
  <c r="Q116" i="23" s="1"/>
  <c r="AX120" i="23"/>
  <c r="N120" i="23" s="1"/>
  <c r="P120" i="23" s="1"/>
  <c r="AX116" i="23"/>
  <c r="N116" i="23" s="1"/>
  <c r="P116" i="23" s="1"/>
  <c r="AX121" i="23"/>
  <c r="N121" i="23" s="1"/>
  <c r="P121" i="23" s="1"/>
  <c r="AX118" i="23"/>
  <c r="N118" i="23" s="1"/>
  <c r="P118" i="23" s="1"/>
  <c r="AX114" i="23"/>
  <c r="N114" i="23" s="1"/>
  <c r="P114" i="23" s="1"/>
  <c r="AX122" i="23"/>
  <c r="N122" i="23" s="1"/>
  <c r="P122" i="23" s="1"/>
  <c r="AX119" i="23"/>
  <c r="N119" i="23" s="1"/>
  <c r="P119" i="23" s="1"/>
  <c r="AX117" i="23"/>
  <c r="N117" i="23" s="1"/>
  <c r="P117" i="23" s="1"/>
  <c r="AX113" i="23"/>
  <c r="N113" i="23" s="1"/>
  <c r="P113" i="23" s="1"/>
  <c r="AO56" i="26"/>
  <c r="AW112" i="23"/>
  <c r="O112" i="23" s="1"/>
  <c r="Q112" i="23" s="1"/>
  <c r="AX112" i="23"/>
  <c r="N112" i="23" s="1"/>
  <c r="P112" i="23" s="1"/>
  <c r="AX115" i="23"/>
  <c r="N115" i="23" s="1"/>
  <c r="P115" i="23" s="1"/>
  <c r="AX110" i="23"/>
  <c r="N110" i="23" s="1"/>
  <c r="P110" i="23" s="1"/>
  <c r="AX109" i="23"/>
  <c r="N109" i="23" s="1"/>
  <c r="P109" i="23" s="1"/>
  <c r="AW110" i="23"/>
  <c r="O110" i="23" s="1"/>
  <c r="Q110" i="23" s="1"/>
  <c r="AW109" i="23"/>
  <c r="O109" i="23" s="1"/>
  <c r="Q109" i="23" s="1"/>
  <c r="AW108" i="23"/>
  <c r="O108" i="23" s="1"/>
  <c r="Q108" i="23" s="1"/>
  <c r="AX111" i="23"/>
  <c r="N111" i="23" s="1"/>
  <c r="P111" i="23" s="1"/>
  <c r="AW107" i="23"/>
  <c r="O107" i="23" s="1"/>
  <c r="Q107" i="23" s="1"/>
  <c r="AX106" i="23"/>
  <c r="N106" i="23" s="1"/>
  <c r="P106" i="23" s="1"/>
  <c r="AX107" i="23"/>
  <c r="N107" i="23" s="1"/>
  <c r="P107" i="23" s="1"/>
  <c r="AW106" i="23"/>
  <c r="O106" i="23" s="1"/>
  <c r="Q106" i="23" s="1"/>
  <c r="AW105" i="23"/>
  <c r="O105" i="23" s="1"/>
  <c r="Q105" i="23" s="1"/>
  <c r="AX105" i="23"/>
  <c r="N105" i="23" s="1"/>
  <c r="P105" i="23" s="1"/>
  <c r="AX108" i="23"/>
  <c r="N108" i="23" s="1"/>
  <c r="P108" i="23" s="1"/>
  <c r="AX104" i="23"/>
  <c r="N104" i="23" s="1"/>
  <c r="P104" i="23" s="1"/>
  <c r="AW104" i="23"/>
  <c r="O104" i="23" s="1"/>
  <c r="Q104" i="23" s="1"/>
  <c r="AX103" i="23"/>
  <c r="N103" i="23" s="1"/>
  <c r="P103" i="23" s="1"/>
  <c r="AW103" i="23"/>
  <c r="O103" i="23" s="1"/>
  <c r="Q103" i="23" s="1"/>
  <c r="AW102" i="23"/>
  <c r="O102" i="23" s="1"/>
  <c r="Q102" i="23" s="1"/>
  <c r="AX102" i="23"/>
  <c r="N102" i="23" s="1"/>
  <c r="P102" i="23" s="1"/>
  <c r="AW101" i="23"/>
  <c r="O101" i="23" s="1"/>
  <c r="Q101" i="23" s="1"/>
  <c r="AX101" i="23"/>
  <c r="N101" i="23" s="1"/>
  <c r="P101" i="23" s="1"/>
  <c r="AX100" i="23"/>
  <c r="N100" i="23" s="1"/>
  <c r="P100" i="23" s="1"/>
  <c r="AX99" i="23"/>
  <c r="N99" i="23" s="1"/>
  <c r="P99" i="23" s="1"/>
  <c r="AW98" i="23"/>
  <c r="O98" i="23" s="1"/>
  <c r="Q98" i="23" s="1"/>
  <c r="AX98" i="23"/>
  <c r="N98" i="23" s="1"/>
  <c r="P98" i="23" s="1"/>
  <c r="AX97" i="23"/>
  <c r="N97" i="23" s="1"/>
  <c r="P97" i="23" s="1"/>
  <c r="AW99" i="23"/>
  <c r="O99" i="23" s="1"/>
  <c r="Q99" i="23" s="1"/>
  <c r="AX96" i="23"/>
  <c r="N96" i="23" s="1"/>
  <c r="P96" i="23" s="1"/>
  <c r="AW100" i="23"/>
  <c r="O100" i="23" s="1"/>
  <c r="Q100" i="23" s="1"/>
  <c r="AW96" i="23"/>
  <c r="O96" i="23" s="1"/>
  <c r="Q96" i="23" s="1"/>
  <c r="AX95" i="23"/>
  <c r="N95" i="23" s="1"/>
  <c r="P95" i="23" s="1"/>
  <c r="AW95" i="23"/>
  <c r="O95" i="23" s="1"/>
  <c r="Q95" i="23" s="1"/>
  <c r="AW94" i="23"/>
  <c r="O94" i="23" s="1"/>
  <c r="Q94" i="23" s="1"/>
  <c r="AW93" i="23"/>
  <c r="O93" i="23" s="1"/>
  <c r="Q93" i="23" s="1"/>
  <c r="AW97" i="23"/>
  <c r="O97" i="23" s="1"/>
  <c r="Q97" i="23" s="1"/>
  <c r="AX93" i="23"/>
  <c r="N93" i="23" s="1"/>
  <c r="P93" i="23" s="1"/>
  <c r="AX92" i="23"/>
  <c r="N92" i="23" s="1"/>
  <c r="P92" i="23" s="1"/>
  <c r="AW92" i="23"/>
  <c r="O92" i="23" s="1"/>
  <c r="Q92" i="23" s="1"/>
  <c r="AW91" i="23"/>
  <c r="O91" i="23" s="1"/>
  <c r="Q91" i="23" s="1"/>
  <c r="AX41" i="23"/>
  <c r="N41" i="23" s="1"/>
  <c r="P41" i="23" s="1"/>
  <c r="AI41" i="23" s="1"/>
  <c r="AJ41" i="23" s="1"/>
  <c r="AW51" i="23"/>
  <c r="O51" i="23" s="1"/>
  <c r="Q51" i="23" s="1"/>
  <c r="AB51" i="23" s="1"/>
  <c r="Z52" i="23" s="1"/>
  <c r="AL52" i="23" s="1"/>
  <c r="AX94" i="23"/>
  <c r="N94" i="23" s="1"/>
  <c r="P94" i="23" s="1"/>
  <c r="AX78" i="23"/>
  <c r="N78" i="23" s="1"/>
  <c r="P78" i="23" s="1"/>
  <c r="AW49" i="23"/>
  <c r="O49" i="23" s="1"/>
  <c r="Q49" i="23" s="1"/>
  <c r="AB49" i="23" s="1"/>
  <c r="Z50" i="23" s="1"/>
  <c r="AL50" i="23" s="1"/>
  <c r="AX6" i="23"/>
  <c r="N6" i="23" s="1"/>
  <c r="P6" i="23" s="1"/>
  <c r="AI6" i="23" s="1"/>
  <c r="AJ6" i="23" s="1"/>
  <c r="AX73" i="23"/>
  <c r="N73" i="23" s="1"/>
  <c r="P73" i="23" s="1"/>
  <c r="AW6" i="23"/>
  <c r="O6" i="23" s="1"/>
  <c r="Q6" i="23" s="1"/>
  <c r="AB6" i="23" s="1"/>
  <c r="Z7" i="23" s="1"/>
  <c r="AL7" i="23" s="1"/>
  <c r="AX39" i="23"/>
  <c r="N39" i="23" s="1"/>
  <c r="P39" i="23" s="1"/>
  <c r="AI39" i="23" s="1"/>
  <c r="AJ39" i="23" s="1"/>
  <c r="AX55" i="23"/>
  <c r="N55" i="23" s="1"/>
  <c r="P55" i="23" s="1"/>
  <c r="AI55" i="23" s="1"/>
  <c r="AJ55" i="23" s="1"/>
  <c r="AW77" i="23"/>
  <c r="O77" i="23" s="1"/>
  <c r="Q77" i="23" s="1"/>
  <c r="AX9" i="23"/>
  <c r="N9" i="23" s="1"/>
  <c r="P9" i="23" s="1"/>
  <c r="AI9" i="23" s="1"/>
  <c r="AJ9" i="23" s="1"/>
  <c r="AW73" i="23"/>
  <c r="O73" i="23" s="1"/>
  <c r="Q73" i="23" s="1"/>
  <c r="AX27" i="23"/>
  <c r="N27" i="23" s="1"/>
  <c r="P27" i="23" s="1"/>
  <c r="AI27" i="23" s="1"/>
  <c r="AJ27" i="23" s="1"/>
  <c r="AW26" i="23"/>
  <c r="O26" i="23" s="1"/>
  <c r="Q26" i="23" s="1"/>
  <c r="AB26" i="23" s="1"/>
  <c r="Z27" i="23" s="1"/>
  <c r="AL27" i="23" s="1"/>
  <c r="AX19" i="23"/>
  <c r="N19" i="23" s="1"/>
  <c r="P19" i="23" s="1"/>
  <c r="AI19" i="23" s="1"/>
  <c r="AJ19" i="23" s="1"/>
  <c r="AW10" i="23"/>
  <c r="O10" i="23" s="1"/>
  <c r="Q10" i="23" s="1"/>
  <c r="AB10" i="23" s="1"/>
  <c r="Z11" i="23" s="1"/>
  <c r="AL11" i="23" s="1"/>
  <c r="AX17" i="23"/>
  <c r="N17" i="23" s="1"/>
  <c r="P17" i="23" s="1"/>
  <c r="AI17" i="23" s="1"/>
  <c r="AJ17" i="23" s="1"/>
  <c r="AX20" i="23"/>
  <c r="N20" i="23" s="1"/>
  <c r="P20" i="23" s="1"/>
  <c r="AI20" i="23" s="1"/>
  <c r="AJ20" i="23" s="1"/>
  <c r="AX77" i="23"/>
  <c r="N77" i="23" s="1"/>
  <c r="P77" i="23" s="1"/>
  <c r="AW65" i="23"/>
  <c r="O65" i="23" s="1"/>
  <c r="Q65" i="23" s="1"/>
  <c r="AX75" i="23"/>
  <c r="N75" i="23" s="1"/>
  <c r="P75" i="23" s="1"/>
  <c r="AW71" i="23"/>
  <c r="O71" i="23" s="1"/>
  <c r="Q71" i="23" s="1"/>
  <c r="AX85" i="23"/>
  <c r="N85" i="23" s="1"/>
  <c r="P85" i="23" s="1"/>
  <c r="AX28" i="23"/>
  <c r="N28" i="23" s="1"/>
  <c r="P28" i="23" s="1"/>
  <c r="AI28" i="23" s="1"/>
  <c r="AJ28" i="23" s="1"/>
  <c r="AW59" i="23"/>
  <c r="O59" i="23" s="1"/>
  <c r="Q59" i="23" s="1"/>
  <c r="AW38" i="23"/>
  <c r="O38" i="23" s="1"/>
  <c r="Q38" i="23" s="1"/>
  <c r="AB38" i="23" s="1"/>
  <c r="Z39" i="23" s="1"/>
  <c r="AL39" i="23" s="1"/>
  <c r="AW54" i="23"/>
  <c r="O54" i="23" s="1"/>
  <c r="Q54" i="23" s="1"/>
  <c r="AB54" i="23" s="1"/>
  <c r="Z55" i="23" s="1"/>
  <c r="AL55" i="23" s="1"/>
  <c r="AX33" i="23"/>
  <c r="N33" i="23" s="1"/>
  <c r="P33" i="23" s="1"/>
  <c r="AI33" i="23" s="1"/>
  <c r="AJ33" i="23" s="1"/>
  <c r="AW83" i="23"/>
  <c r="O83" i="23" s="1"/>
  <c r="Q83" i="23" s="1"/>
  <c r="AW18" i="23"/>
  <c r="O18" i="23" s="1"/>
  <c r="Q18" i="23" s="1"/>
  <c r="AB18" i="23" s="1"/>
  <c r="Z19" i="23" s="1"/>
  <c r="AL19" i="23" s="1"/>
  <c r="AX45" i="23"/>
  <c r="N45" i="23" s="1"/>
  <c r="P45" i="23" s="1"/>
  <c r="AI45" i="23" s="1"/>
  <c r="AJ45" i="23" s="1"/>
  <c r="AX14" i="23"/>
  <c r="N14" i="23" s="1"/>
  <c r="P14" i="23" s="1"/>
  <c r="AI14" i="23" s="1"/>
  <c r="AJ14" i="23" s="1"/>
  <c r="AX72" i="23"/>
  <c r="N72" i="23" s="1"/>
  <c r="P72" i="23" s="1"/>
  <c r="AX65" i="23"/>
  <c r="N65" i="23" s="1"/>
  <c r="P65" i="23" s="1"/>
  <c r="AX8" i="23"/>
  <c r="N8" i="23" s="1"/>
  <c r="P8" i="23" s="1"/>
  <c r="AI8" i="23" s="1"/>
  <c r="AJ8" i="23" s="1"/>
  <c r="AW5" i="23"/>
  <c r="O5" i="23" s="1"/>
  <c r="Q5" i="23" s="1"/>
  <c r="AB5" i="23" s="1"/>
  <c r="Z6" i="23" s="1"/>
  <c r="AW8" i="23"/>
  <c r="O8" i="23" s="1"/>
  <c r="Q8" i="23" s="1"/>
  <c r="AB8" i="23" s="1"/>
  <c r="Z9" i="23" s="1"/>
  <c r="AL9" i="23" s="1"/>
  <c r="AX42" i="23"/>
  <c r="N42" i="23" s="1"/>
  <c r="P42" i="23" s="1"/>
  <c r="AI42" i="23" s="1"/>
  <c r="AJ42" i="23" s="1"/>
  <c r="AX37" i="23"/>
  <c r="N37" i="23" s="1"/>
  <c r="P37" i="23" s="1"/>
  <c r="AI37" i="23" s="1"/>
  <c r="AJ37" i="23" s="1"/>
  <c r="AW42" i="23"/>
  <c r="O42" i="23" s="1"/>
  <c r="Q42" i="23" s="1"/>
  <c r="AB42" i="23" s="1"/>
  <c r="Z43" i="23" s="1"/>
  <c r="AL43" i="23" s="1"/>
  <c r="AX21" i="23"/>
  <c r="N21" i="23" s="1"/>
  <c r="P21" i="23" s="1"/>
  <c r="AI21" i="23" s="1"/>
  <c r="AJ21" i="23" s="1"/>
  <c r="AX22" i="23"/>
  <c r="N22" i="23" s="1"/>
  <c r="P22" i="23" s="1"/>
  <c r="AI22" i="23" s="1"/>
  <c r="AJ22" i="23" s="1"/>
  <c r="AW41" i="23"/>
  <c r="O41" i="23" s="1"/>
  <c r="Q41" i="23" s="1"/>
  <c r="AB41" i="23" s="1"/>
  <c r="Z42" i="23" s="1"/>
  <c r="AL42" i="23" s="1"/>
  <c r="AW74" i="23"/>
  <c r="O74" i="23" s="1"/>
  <c r="Q74" i="23" s="1"/>
  <c r="AX71" i="23"/>
  <c r="N71" i="23" s="1"/>
  <c r="P71" i="23" s="1"/>
  <c r="AW50" i="23"/>
  <c r="O50" i="23" s="1"/>
  <c r="Q50" i="23" s="1"/>
  <c r="AB50" i="23" s="1"/>
  <c r="Z51" i="23" s="1"/>
  <c r="AX51" i="23"/>
  <c r="N51" i="23" s="1"/>
  <c r="P51" i="23" s="1"/>
  <c r="AI51" i="23" s="1"/>
  <c r="AJ51" i="23" s="1"/>
  <c r="AX44" i="23"/>
  <c r="N44" i="23" s="1"/>
  <c r="P44" i="23" s="1"/>
  <c r="AI44" i="23" s="1"/>
  <c r="AJ44" i="23" s="1"/>
  <c r="AW69" i="23"/>
  <c r="O69" i="23" s="1"/>
  <c r="Q69" i="23" s="1"/>
  <c r="AX32" i="23"/>
  <c r="N32" i="23" s="1"/>
  <c r="P32" i="23" s="1"/>
  <c r="AI32" i="23" s="1"/>
  <c r="AJ32" i="23" s="1"/>
  <c r="AW33" i="23"/>
  <c r="O33" i="23" s="1"/>
  <c r="Q33" i="23" s="1"/>
  <c r="AB33" i="23" s="1"/>
  <c r="Z34" i="23" s="1"/>
  <c r="AW34" i="23"/>
  <c r="O34" i="23" s="1"/>
  <c r="Q34" i="23" s="1"/>
  <c r="AB34" i="23" s="1"/>
  <c r="Z35" i="23" s="1"/>
  <c r="AL35" i="23" s="1"/>
  <c r="AX64" i="23"/>
  <c r="N64" i="23" s="1"/>
  <c r="P64" i="23" s="1"/>
  <c r="AX18" i="23"/>
  <c r="N18" i="23" s="1"/>
  <c r="P18" i="23" s="1"/>
  <c r="AI18" i="23" s="1"/>
  <c r="AJ18" i="23" s="1"/>
  <c r="AX31" i="23"/>
  <c r="N31" i="23" s="1"/>
  <c r="P31" i="23" s="1"/>
  <c r="AI31" i="23" s="1"/>
  <c r="AJ31" i="23" s="1"/>
  <c r="AX36" i="23"/>
  <c r="N36" i="23" s="1"/>
  <c r="P36" i="23" s="1"/>
  <c r="AI36" i="23" s="1"/>
  <c r="AJ36" i="23" s="1"/>
  <c r="AW60" i="23"/>
  <c r="O60" i="23" s="1"/>
  <c r="Q60" i="23" s="1"/>
  <c r="AW17" i="23"/>
  <c r="O17" i="23" s="1"/>
  <c r="Q17" i="23" s="1"/>
  <c r="AB17" i="23" s="1"/>
  <c r="Z18" i="23" s="1"/>
  <c r="AL18" i="23" s="1"/>
  <c r="AX30" i="23"/>
  <c r="N30" i="23" s="1"/>
  <c r="P30" i="23" s="1"/>
  <c r="AI30" i="23" s="1"/>
  <c r="AJ30" i="23" s="1"/>
  <c r="AX35" i="23"/>
  <c r="N35" i="23" s="1"/>
  <c r="P35" i="23" s="1"/>
  <c r="AI35" i="23" s="1"/>
  <c r="AJ35" i="23" s="1"/>
  <c r="AX67" i="23"/>
  <c r="N67" i="23" s="1"/>
  <c r="P67" i="23" s="1"/>
  <c r="AW27" i="23"/>
  <c r="O27" i="23" s="1"/>
  <c r="Q27" i="23" s="1"/>
  <c r="AB27" i="23" s="1"/>
  <c r="Z28" i="23" s="1"/>
  <c r="AL28" i="23" s="1"/>
  <c r="AW45" i="23"/>
  <c r="O45" i="23" s="1"/>
  <c r="Q45" i="23" s="1"/>
  <c r="AB45" i="23" s="1"/>
  <c r="Z46" i="23" s="1"/>
  <c r="AL46" i="23" s="1"/>
  <c r="AW13" i="23"/>
  <c r="O13" i="23" s="1"/>
  <c r="Q13" i="23" s="1"/>
  <c r="AB13" i="23" s="1"/>
  <c r="Z14" i="23" s="1"/>
  <c r="AL14" i="23" s="1"/>
  <c r="AW19" i="23"/>
  <c r="O19" i="23" s="1"/>
  <c r="Q19" i="23" s="1"/>
  <c r="AB19" i="23" s="1"/>
  <c r="Z20" i="23" s="1"/>
  <c r="AL20" i="23" s="1"/>
  <c r="AX59" i="23"/>
  <c r="N59" i="23" s="1"/>
  <c r="P59" i="23" s="1"/>
  <c r="AX86" i="23"/>
  <c r="N86" i="23" s="1"/>
  <c r="P86" i="23" s="1"/>
  <c r="AW16" i="23"/>
  <c r="O16" i="23" s="1"/>
  <c r="Q16" i="23" s="1"/>
  <c r="AB16" i="23" s="1"/>
  <c r="Z17" i="23" s="1"/>
  <c r="AX12" i="23"/>
  <c r="N12" i="23" s="1"/>
  <c r="P12" i="23" s="1"/>
  <c r="AI12" i="23" s="1"/>
  <c r="AJ12" i="23" s="1"/>
  <c r="AW36" i="23"/>
  <c r="O36" i="23" s="1"/>
  <c r="Q36" i="23" s="1"/>
  <c r="AB36" i="23" s="1"/>
  <c r="Z37" i="23" s="1"/>
  <c r="AL37" i="23" s="1"/>
  <c r="AX76" i="23"/>
  <c r="N76" i="23" s="1"/>
  <c r="P76" i="23" s="1"/>
  <c r="AW30" i="23"/>
  <c r="O30" i="23" s="1"/>
  <c r="Q30" i="23" s="1"/>
  <c r="AB30" i="23" s="1"/>
  <c r="Z31" i="23" s="1"/>
  <c r="AL31" i="23" s="1"/>
  <c r="AX90" i="23"/>
  <c r="N90" i="23" s="1"/>
  <c r="P90" i="23" s="1"/>
  <c r="AX54" i="23"/>
  <c r="N54" i="23" s="1"/>
  <c r="P54" i="23" s="1"/>
  <c r="AI54" i="23" s="1"/>
  <c r="AJ54" i="23" s="1"/>
  <c r="AX29" i="23"/>
  <c r="N29" i="23" s="1"/>
  <c r="P29" i="23" s="1"/>
  <c r="AI29" i="23" s="1"/>
  <c r="AJ29" i="23" s="1"/>
  <c r="AW53" i="23"/>
  <c r="O53" i="23" s="1"/>
  <c r="Q53" i="23" s="1"/>
  <c r="AB53" i="23" s="1"/>
  <c r="Z54" i="23" s="1"/>
  <c r="AL54" i="23" s="1"/>
  <c r="AX83" i="23"/>
  <c r="N83" i="23" s="1"/>
  <c r="P83" i="23" s="1"/>
  <c r="AW43" i="23"/>
  <c r="O43" i="23" s="1"/>
  <c r="Q43" i="23" s="1"/>
  <c r="AB43" i="23" s="1"/>
  <c r="Z44" i="23" s="1"/>
  <c r="AL44" i="23" s="1"/>
  <c r="AW20" i="23"/>
  <c r="O20" i="23" s="1"/>
  <c r="Q20" i="23" s="1"/>
  <c r="AB20" i="23" s="1"/>
  <c r="Z21" i="23" s="1"/>
  <c r="AL21" i="23" s="1"/>
  <c r="AX40" i="23"/>
  <c r="N40" i="23" s="1"/>
  <c r="P40" i="23" s="1"/>
  <c r="AI40" i="23" s="1"/>
  <c r="AJ40" i="23" s="1"/>
  <c r="AW66" i="23"/>
  <c r="O66" i="23" s="1"/>
  <c r="Q66" i="23" s="1"/>
  <c r="AW25" i="23"/>
  <c r="O25" i="23" s="1"/>
  <c r="Q25" i="23" s="1"/>
  <c r="AB25" i="23" s="1"/>
  <c r="Z26" i="23" s="1"/>
  <c r="AL26" i="23" s="1"/>
  <c r="AW40" i="23"/>
  <c r="O40" i="23" s="1"/>
  <c r="Q40" i="23" s="1"/>
  <c r="AB40" i="23" s="1"/>
  <c r="Z41" i="23" s="1"/>
  <c r="AL41" i="23" s="1"/>
  <c r="AW88" i="23"/>
  <c r="O88" i="23" s="1"/>
  <c r="Q88" i="23" s="1"/>
  <c r="AW62" i="23"/>
  <c r="O62" i="23" s="1"/>
  <c r="Q62" i="23" s="1"/>
  <c r="AX46" i="23"/>
  <c r="N46" i="23" s="1"/>
  <c r="P46" i="23" s="1"/>
  <c r="AI46" i="23" s="1"/>
  <c r="AJ46" i="23" s="1"/>
  <c r="AX49" i="23"/>
  <c r="N49" i="23" s="1"/>
  <c r="P49" i="23" s="1"/>
  <c r="AI49" i="23" s="1"/>
  <c r="AJ49" i="23" s="1"/>
  <c r="AX23" i="23"/>
  <c r="N23" i="23" s="1"/>
  <c r="P23" i="23" s="1"/>
  <c r="AI23" i="23" s="1"/>
  <c r="AJ23" i="23" s="1"/>
  <c r="AW21" i="23"/>
  <c r="O21" i="23" s="1"/>
  <c r="Q21" i="23" s="1"/>
  <c r="AB21" i="23" s="1"/>
  <c r="Z22" i="23" s="1"/>
  <c r="AL22" i="23" s="1"/>
  <c r="AX4" i="23"/>
  <c r="N4" i="23" s="1"/>
  <c r="P4" i="23" s="1"/>
  <c r="AW46" i="23"/>
  <c r="O46" i="23" s="1"/>
  <c r="Q46" i="23" s="1"/>
  <c r="AB46" i="23" s="1"/>
  <c r="Z47" i="23" s="1"/>
  <c r="AL47" i="23" s="1"/>
  <c r="AX13" i="23"/>
  <c r="N13" i="23" s="1"/>
  <c r="P13" i="23" s="1"/>
  <c r="AI13" i="23" s="1"/>
  <c r="AJ13" i="23" s="1"/>
  <c r="AW87" i="23"/>
  <c r="O87" i="23" s="1"/>
  <c r="Q87" i="23" s="1"/>
  <c r="AX74" i="23"/>
  <c r="N74" i="23" s="1"/>
  <c r="P74" i="23" s="1"/>
  <c r="AW4" i="23"/>
  <c r="O4" i="23" s="1"/>
  <c r="Q4" i="23" s="1"/>
  <c r="AB4" i="23" s="1"/>
  <c r="AK4" i="23" s="1"/>
  <c r="AM4" i="23" s="1"/>
  <c r="AO4" i="23" s="1"/>
  <c r="AW85" i="23"/>
  <c r="O85" i="23" s="1"/>
  <c r="Q85" i="23" s="1"/>
  <c r="AX25" i="23"/>
  <c r="N25" i="23" s="1"/>
  <c r="P25" i="23" s="1"/>
  <c r="AI25" i="23" s="1"/>
  <c r="AJ25" i="23" s="1"/>
  <c r="AX7" i="23"/>
  <c r="N7" i="23" s="1"/>
  <c r="P7" i="23" s="1"/>
  <c r="AI7" i="23" s="1"/>
  <c r="AJ7" i="23" s="1"/>
  <c r="AW56" i="23"/>
  <c r="O56" i="23" s="1"/>
  <c r="Q56" i="23" s="1"/>
  <c r="AB56" i="23" s="1"/>
  <c r="Z57" i="23" s="1"/>
  <c r="AX50" i="23"/>
  <c r="N50" i="23" s="1"/>
  <c r="P50" i="23" s="1"/>
  <c r="AI50" i="23" s="1"/>
  <c r="AJ50" i="23" s="1"/>
  <c r="AW22" i="23"/>
  <c r="O22" i="23" s="1"/>
  <c r="Q22" i="23" s="1"/>
  <c r="AB22" i="23" s="1"/>
  <c r="Z23" i="23" s="1"/>
  <c r="AL23" i="23" s="1"/>
  <c r="AW64" i="23"/>
  <c r="O64" i="23" s="1"/>
  <c r="Q64" i="23" s="1"/>
  <c r="AW48" i="23"/>
  <c r="O48" i="23" s="1"/>
  <c r="Q48" i="23" s="1"/>
  <c r="AB48" i="23" s="1"/>
  <c r="Z49" i="23" s="1"/>
  <c r="AX88" i="23"/>
  <c r="N88" i="23" s="1"/>
  <c r="P88" i="23" s="1"/>
  <c r="AW86" i="23"/>
  <c r="O86" i="23" s="1"/>
  <c r="Q86" i="23" s="1"/>
  <c r="AX43" i="23"/>
  <c r="N43" i="23" s="1"/>
  <c r="P43" i="23" s="1"/>
  <c r="AI43" i="23" s="1"/>
  <c r="AJ43" i="23" s="1"/>
  <c r="AX53" i="23"/>
  <c r="N53" i="23" s="1"/>
  <c r="P53" i="23" s="1"/>
  <c r="AI53" i="23" s="1"/>
  <c r="AJ53" i="23" s="1"/>
  <c r="AX82" i="23"/>
  <c r="N82" i="23" s="1"/>
  <c r="P82" i="23" s="1"/>
  <c r="AX62" i="23"/>
  <c r="N62" i="23" s="1"/>
  <c r="P62" i="23" s="1"/>
  <c r="AX52" i="23"/>
  <c r="N52" i="23" s="1"/>
  <c r="P52" i="23" s="1"/>
  <c r="AI52" i="23" s="1"/>
  <c r="AJ52" i="23" s="1"/>
  <c r="AW12" i="23"/>
  <c r="O12" i="23" s="1"/>
  <c r="Q12" i="23" s="1"/>
  <c r="AB12" i="23" s="1"/>
  <c r="Z13" i="23" s="1"/>
  <c r="AL13" i="23" s="1"/>
  <c r="AX34" i="23"/>
  <c r="N34" i="23" s="1"/>
  <c r="P34" i="23" s="1"/>
  <c r="AI34" i="23" s="1"/>
  <c r="AJ34" i="23" s="1"/>
  <c r="AW9" i="23"/>
  <c r="O9" i="23" s="1"/>
  <c r="Q9" i="23" s="1"/>
  <c r="AB9" i="23" s="1"/>
  <c r="Z10" i="23" s="1"/>
  <c r="AW67" i="23"/>
  <c r="O67" i="23" s="1"/>
  <c r="Q67" i="23" s="1"/>
  <c r="AX80" i="23"/>
  <c r="N80" i="23" s="1"/>
  <c r="P80" i="23" s="1"/>
  <c r="AX84" i="23"/>
  <c r="N84" i="23" s="1"/>
  <c r="P84" i="23" s="1"/>
  <c r="AW31" i="23"/>
  <c r="O31" i="23" s="1"/>
  <c r="Q31" i="23" s="1"/>
  <c r="AB31" i="23" s="1"/>
  <c r="Z32" i="23" s="1"/>
  <c r="AL32" i="23" s="1"/>
  <c r="AX47" i="23"/>
  <c r="N47" i="23" s="1"/>
  <c r="P47" i="23" s="1"/>
  <c r="AI47" i="23" s="1"/>
  <c r="AJ47" i="23" s="1"/>
  <c r="AW75" i="23"/>
  <c r="O75" i="23" s="1"/>
  <c r="Q75" i="23" s="1"/>
  <c r="AX68" i="23"/>
  <c r="N68" i="23" s="1"/>
  <c r="P68" i="23" s="1"/>
  <c r="AX87" i="23"/>
  <c r="N87" i="23" s="1"/>
  <c r="P87" i="23" s="1"/>
  <c r="AX66" i="23"/>
  <c r="N66" i="23" s="1"/>
  <c r="P66" i="23" s="1"/>
  <c r="AW89" i="23"/>
  <c r="O89" i="23" s="1"/>
  <c r="Q89" i="23" s="1"/>
  <c r="AX61" i="23"/>
  <c r="N61" i="23" s="1"/>
  <c r="P61" i="23" s="1"/>
  <c r="AX11" i="23"/>
  <c r="N11" i="23" s="1"/>
  <c r="P11" i="23" s="1"/>
  <c r="AI11" i="23" s="1"/>
  <c r="AJ11" i="23" s="1"/>
  <c r="AX5" i="23"/>
  <c r="N5" i="23" s="1"/>
  <c r="P5" i="23" s="1"/>
  <c r="AI5" i="23" s="1"/>
  <c r="AJ5" i="23" s="1"/>
  <c r="AX10" i="23"/>
  <c r="N10" i="23" s="1"/>
  <c r="P10" i="23" s="1"/>
  <c r="AI10" i="23" s="1"/>
  <c r="AJ10" i="23" s="1"/>
  <c r="AW35" i="23"/>
  <c r="O35" i="23" s="1"/>
  <c r="Q35" i="23" s="1"/>
  <c r="AB35" i="23" s="1"/>
  <c r="Z36" i="23" s="1"/>
  <c r="AW84" i="23"/>
  <c r="O84" i="23" s="1"/>
  <c r="Q84" i="23" s="1"/>
  <c r="AW44" i="23"/>
  <c r="O44" i="23" s="1"/>
  <c r="Q44" i="23" s="1"/>
  <c r="AB44" i="23" s="1"/>
  <c r="Z45" i="23" s="1"/>
  <c r="AW14" i="23"/>
  <c r="O14" i="23" s="1"/>
  <c r="Q14" i="23" s="1"/>
  <c r="AB14" i="23" s="1"/>
  <c r="Z15" i="23" s="1"/>
  <c r="AL15" i="23" s="1"/>
  <c r="AW72" i="23"/>
  <c r="O72" i="23" s="1"/>
  <c r="Q72" i="23" s="1"/>
  <c r="AW55" i="23"/>
  <c r="O55" i="23" s="1"/>
  <c r="Q55" i="23" s="1"/>
  <c r="AB55" i="23" s="1"/>
  <c r="Z56" i="23" s="1"/>
  <c r="AW23" i="23"/>
  <c r="O23" i="23" s="1"/>
  <c r="Q23" i="23" s="1"/>
  <c r="AB23" i="23" s="1"/>
  <c r="Z24" i="23" s="1"/>
  <c r="AL24" i="23" s="1"/>
  <c r="AW39" i="23"/>
  <c r="O39" i="23" s="1"/>
  <c r="Q39" i="23" s="1"/>
  <c r="AB39" i="23" s="1"/>
  <c r="AW68" i="23"/>
  <c r="O68" i="23" s="1"/>
  <c r="Q68" i="23" s="1"/>
  <c r="AW63" i="23"/>
  <c r="O63" i="23" s="1"/>
  <c r="Q63" i="23" s="1"/>
  <c r="AX48" i="23"/>
  <c r="N48" i="23" s="1"/>
  <c r="P48" i="23" s="1"/>
  <c r="AI48" i="23" s="1"/>
  <c r="AJ48" i="23" s="1"/>
  <c r="AW28" i="23"/>
  <c r="O28" i="23" s="1"/>
  <c r="Q28" i="23" s="1"/>
  <c r="AB28" i="23" s="1"/>
  <c r="Z29" i="23" s="1"/>
  <c r="AL29" i="23" s="1"/>
  <c r="AW82" i="23"/>
  <c r="O82" i="23" s="1"/>
  <c r="Q82" i="23" s="1"/>
  <c r="AW78" i="23"/>
  <c r="O78" i="23" s="1"/>
  <c r="Q78" i="23" s="1"/>
  <c r="AX63" i="23"/>
  <c r="N63" i="23" s="1"/>
  <c r="P63" i="23" s="1"/>
  <c r="AX57" i="23"/>
  <c r="N57" i="23" s="1"/>
  <c r="P57" i="23" s="1"/>
  <c r="AW61" i="23"/>
  <c r="O61" i="23" s="1"/>
  <c r="Q61" i="23" s="1"/>
  <c r="AW57" i="23"/>
  <c r="O57" i="23" s="1"/>
  <c r="Q57" i="23" s="1"/>
  <c r="AW58" i="23"/>
  <c r="O58" i="23" s="1"/>
  <c r="Q58" i="23" s="1"/>
  <c r="AW29" i="23"/>
  <c r="O29" i="23" s="1"/>
  <c r="Q29" i="23" s="1"/>
  <c r="AB29" i="23" s="1"/>
  <c r="Z30" i="23" s="1"/>
  <c r="AW37" i="23"/>
  <c r="O37" i="23" s="1"/>
  <c r="Q37" i="23" s="1"/>
  <c r="AB37" i="23" s="1"/>
  <c r="Z38" i="23" s="1"/>
  <c r="AW24" i="23"/>
  <c r="O24" i="23" s="1"/>
  <c r="Q24" i="23" s="1"/>
  <c r="AB24" i="23" s="1"/>
  <c r="Z25" i="23" s="1"/>
  <c r="AL25" i="23" s="1"/>
  <c r="AW47" i="23"/>
  <c r="O47" i="23" s="1"/>
  <c r="Q47" i="23" s="1"/>
  <c r="AB47" i="23" s="1"/>
  <c r="Z48" i="23" s="1"/>
  <c r="AL48" i="23" s="1"/>
  <c r="AC56" i="23"/>
  <c r="AA57" i="23" s="1"/>
  <c r="U57" i="23"/>
  <c r="V57" i="23" s="1"/>
  <c r="AH57" i="23" s="1"/>
  <c r="AW11" i="23"/>
  <c r="O11" i="23" s="1"/>
  <c r="Q11" i="23" s="1"/>
  <c r="AB11" i="23" s="1"/>
  <c r="Z12" i="23" s="1"/>
  <c r="AW90" i="23"/>
  <c r="O90" i="23" s="1"/>
  <c r="Q90" i="23" s="1"/>
  <c r="AW124" i="23"/>
  <c r="O124" i="23" s="1"/>
  <c r="Q124" i="23" s="1"/>
  <c r="AW52" i="23"/>
  <c r="O52" i="23" s="1"/>
  <c r="Q52" i="23" s="1"/>
  <c r="AB52" i="23" s="1"/>
  <c r="AX60" i="23"/>
  <c r="N60" i="23" s="1"/>
  <c r="P60" i="23" s="1"/>
  <c r="AL8" i="23"/>
  <c r="AX15" i="23"/>
  <c r="N15" i="23" s="1"/>
  <c r="P15" i="23" s="1"/>
  <c r="AI15" i="23" s="1"/>
  <c r="AJ15" i="23" s="1"/>
  <c r="AX26" i="23"/>
  <c r="N26" i="23" s="1"/>
  <c r="P26" i="23" s="1"/>
  <c r="AI26" i="23" s="1"/>
  <c r="AJ26" i="23" s="1"/>
  <c r="AX89" i="23"/>
  <c r="N89" i="23" s="1"/>
  <c r="P89" i="23" s="1"/>
  <c r="AW32" i="23"/>
  <c r="O32" i="23" s="1"/>
  <c r="Q32" i="23" s="1"/>
  <c r="AB32" i="23" s="1"/>
  <c r="Z33" i="23" s="1"/>
  <c r="AW81" i="23"/>
  <c r="O81" i="23" s="1"/>
  <c r="Q81" i="23" s="1"/>
  <c r="AX124" i="23"/>
  <c r="N124" i="23" s="1"/>
  <c r="P124" i="23" s="1"/>
  <c r="AX81" i="23"/>
  <c r="N81" i="23" s="1"/>
  <c r="P81" i="23" s="1"/>
  <c r="AX79" i="23"/>
  <c r="N79" i="23" s="1"/>
  <c r="P79" i="23" s="1"/>
  <c r="AX16" i="23"/>
  <c r="N16" i="23" s="1"/>
  <c r="P16" i="23" s="1"/>
  <c r="AI16" i="23" s="1"/>
  <c r="AJ16" i="23" s="1"/>
  <c r="AX70" i="23"/>
  <c r="N70" i="23" s="1"/>
  <c r="P70" i="23" s="1"/>
  <c r="AW70" i="23"/>
  <c r="O70" i="23" s="1"/>
  <c r="Q70" i="23" s="1"/>
  <c r="AW79" i="23"/>
  <c r="O79" i="23" s="1"/>
  <c r="Q79" i="23" s="1"/>
  <c r="AW123" i="23"/>
  <c r="O123" i="23" s="1"/>
  <c r="Q123" i="23" s="1"/>
  <c r="AX38" i="23"/>
  <c r="N38" i="23" s="1"/>
  <c r="P38" i="23" s="1"/>
  <c r="AI38" i="23" s="1"/>
  <c r="AJ38" i="23" s="1"/>
  <c r="AX91" i="23"/>
  <c r="N91" i="23" s="1"/>
  <c r="P91" i="23" s="1"/>
  <c r="AW80" i="23"/>
  <c r="O80" i="23" s="1"/>
  <c r="Q80" i="23" s="1"/>
  <c r="AX69" i="23"/>
  <c r="N69" i="23" s="1"/>
  <c r="P69" i="23" s="1"/>
  <c r="AX123" i="23"/>
  <c r="N123" i="23" s="1"/>
  <c r="P123" i="23" s="1"/>
  <c r="AX24" i="23"/>
  <c r="N24" i="23" s="1"/>
  <c r="P24" i="23" s="1"/>
  <c r="AI24" i="23" s="1"/>
  <c r="AJ24" i="23" s="1"/>
  <c r="AX56" i="23"/>
  <c r="N56" i="23" s="1"/>
  <c r="P56" i="23" s="1"/>
  <c r="AI56" i="23" s="1"/>
  <c r="AW76" i="23"/>
  <c r="O76" i="23" s="1"/>
  <c r="Q76" i="23" s="1"/>
  <c r="AW15" i="23"/>
  <c r="O15" i="23" s="1"/>
  <c r="Q15" i="23" s="1"/>
  <c r="AB15" i="23" s="1"/>
  <c r="Z16" i="23" s="1"/>
  <c r="AE56" i="23"/>
  <c r="AG56" i="23"/>
  <c r="X56" i="24"/>
  <c r="AG56" i="24" s="1"/>
  <c r="AI57" i="26"/>
  <c r="X57" i="26"/>
  <c r="W57" i="25"/>
  <c r="AI57" i="25" s="1"/>
  <c r="Z57" i="25" l="1"/>
  <c r="AK56" i="25"/>
  <c r="AM56" i="25" s="1"/>
  <c r="AO56" i="25" s="1"/>
  <c r="AK49" i="23"/>
  <c r="AK7" i="23"/>
  <c r="AM7" i="23" s="1"/>
  <c r="AO7" i="23" s="1"/>
  <c r="AK6" i="23"/>
  <c r="AK8" i="23"/>
  <c r="AM8" i="23" s="1"/>
  <c r="AO8" i="23" s="1"/>
  <c r="AK50" i="23"/>
  <c r="AM50" i="23" s="1"/>
  <c r="AO50" i="23" s="1"/>
  <c r="AB56" i="24"/>
  <c r="Z57" i="24" s="1"/>
  <c r="AC56" i="24"/>
  <c r="AN56" i="24" s="1"/>
  <c r="U57" i="24"/>
  <c r="V57" i="24" s="1"/>
  <c r="AH57" i="24" s="1"/>
  <c r="AE56" i="24"/>
  <c r="AJ56" i="24" s="1"/>
  <c r="AK10" i="23"/>
  <c r="AK39" i="23"/>
  <c r="AM39" i="23" s="1"/>
  <c r="AO39" i="23" s="1"/>
  <c r="AK38" i="23"/>
  <c r="AL6" i="23"/>
  <c r="AK42" i="23"/>
  <c r="AM42" i="23" s="1"/>
  <c r="AO42" i="23" s="1"/>
  <c r="AK34" i="23"/>
  <c r="AK18" i="23"/>
  <c r="AM18" i="23" s="1"/>
  <c r="AO18" i="23" s="1"/>
  <c r="AK17" i="23"/>
  <c r="AK19" i="23"/>
  <c r="AM19" i="23" s="1"/>
  <c r="AO19" i="23" s="1"/>
  <c r="AL34" i="23"/>
  <c r="AK36" i="23"/>
  <c r="AK43" i="23"/>
  <c r="AM43" i="23" s="1"/>
  <c r="AO43" i="23" s="1"/>
  <c r="AK27" i="23"/>
  <c r="AM27" i="23" s="1"/>
  <c r="AO27" i="23" s="1"/>
  <c r="AK21" i="23"/>
  <c r="AM21" i="23" s="1"/>
  <c r="AO21" i="23" s="1"/>
  <c r="AK20" i="23"/>
  <c r="AM20" i="23" s="1"/>
  <c r="AO20" i="23" s="1"/>
  <c r="AK41" i="23"/>
  <c r="AM41" i="23" s="1"/>
  <c r="AO41" i="23" s="1"/>
  <c r="AK26" i="23"/>
  <c r="AM26" i="23" s="1"/>
  <c r="AO26" i="23" s="1"/>
  <c r="AL17" i="23"/>
  <c r="AK30" i="23"/>
  <c r="AK54" i="23"/>
  <c r="AM54" i="23" s="1"/>
  <c r="AO54" i="23" s="1"/>
  <c r="Z5" i="23"/>
  <c r="AL5" i="23" s="1"/>
  <c r="AK46" i="23"/>
  <c r="AM46" i="23" s="1"/>
  <c r="AO46" i="23" s="1"/>
  <c r="AK22" i="23"/>
  <c r="AM22" i="23" s="1"/>
  <c r="AO22" i="23" s="1"/>
  <c r="AK31" i="23"/>
  <c r="AM31" i="23" s="1"/>
  <c r="AO31" i="23" s="1"/>
  <c r="AL49" i="23"/>
  <c r="AK13" i="23"/>
  <c r="AM13" i="23" s="1"/>
  <c r="AO13" i="23" s="1"/>
  <c r="AK12" i="23"/>
  <c r="AK9" i="23"/>
  <c r="AM9" i="23" s="1"/>
  <c r="AO9" i="23" s="1"/>
  <c r="AL10" i="23"/>
  <c r="AL36" i="23"/>
  <c r="AK35" i="23"/>
  <c r="AM35" i="23" s="1"/>
  <c r="AO35" i="23" s="1"/>
  <c r="AK56" i="23"/>
  <c r="AK14" i="23"/>
  <c r="AM14" i="23" s="1"/>
  <c r="AO14" i="23" s="1"/>
  <c r="AK44" i="23"/>
  <c r="AM44" i="23" s="1"/>
  <c r="AO44" i="23" s="1"/>
  <c r="AK23" i="23"/>
  <c r="AM23" i="23" s="1"/>
  <c r="AO23" i="23" s="1"/>
  <c r="AN56" i="23"/>
  <c r="Z40" i="23"/>
  <c r="AL40" i="23" s="1"/>
  <c r="AK55" i="23"/>
  <c r="AM55" i="23" s="1"/>
  <c r="AO55" i="23" s="1"/>
  <c r="AL56" i="23"/>
  <c r="AK28" i="23"/>
  <c r="AM28" i="23" s="1"/>
  <c r="AO28" i="23" s="1"/>
  <c r="AK48" i="23"/>
  <c r="AM48" i="23" s="1"/>
  <c r="AO48" i="23" s="1"/>
  <c r="AK47" i="23"/>
  <c r="AM47" i="23" s="1"/>
  <c r="AO47" i="23" s="1"/>
  <c r="AK25" i="23"/>
  <c r="AM25" i="23" s="1"/>
  <c r="AO25" i="23" s="1"/>
  <c r="AL38" i="23"/>
  <c r="AK29" i="23"/>
  <c r="AM29" i="23" s="1"/>
  <c r="AO29" i="23" s="1"/>
  <c r="AL30" i="23"/>
  <c r="AK24" i="23"/>
  <c r="AM24" i="23" s="1"/>
  <c r="AO24" i="23" s="1"/>
  <c r="AK37" i="23"/>
  <c r="AM37" i="23" s="1"/>
  <c r="AO37" i="23" s="1"/>
  <c r="AK11" i="23"/>
  <c r="AM11" i="23" s="1"/>
  <c r="AO11" i="23" s="1"/>
  <c r="AL12" i="23"/>
  <c r="AK45" i="23"/>
  <c r="AL45" i="23"/>
  <c r="AK32" i="23"/>
  <c r="AM32" i="23" s="1"/>
  <c r="AO32" i="23" s="1"/>
  <c r="AL51" i="23"/>
  <c r="AK51" i="23"/>
  <c r="AK15" i="23"/>
  <c r="AM15" i="23" s="1"/>
  <c r="AO15" i="23" s="1"/>
  <c r="AL33" i="23"/>
  <c r="AK33" i="23"/>
  <c r="AK52" i="23"/>
  <c r="AM52" i="23" s="1"/>
  <c r="AO52" i="23" s="1"/>
  <c r="Z53" i="23"/>
  <c r="AL16" i="23"/>
  <c r="AK16" i="23"/>
  <c r="AJ56" i="23"/>
  <c r="U58" i="26"/>
  <c r="AC57" i="26"/>
  <c r="AE57" i="26"/>
  <c r="AG57" i="26"/>
  <c r="AB57" i="26"/>
  <c r="X57" i="25"/>
  <c r="W57" i="23"/>
  <c r="AI57" i="23" s="1"/>
  <c r="AM6" i="23" l="1"/>
  <c r="AO6" i="23" s="1"/>
  <c r="AM49" i="23"/>
  <c r="AO49" i="23" s="1"/>
  <c r="AA57" i="24"/>
  <c r="AK56" i="24"/>
  <c r="AM10" i="23"/>
  <c r="AO10" i="23" s="1"/>
  <c r="AM38" i="23"/>
  <c r="AO38" i="23" s="1"/>
  <c r="AL56" i="24"/>
  <c r="AM17" i="23"/>
  <c r="AO17" i="23" s="1"/>
  <c r="AM34" i="23"/>
  <c r="AO34" i="23" s="1"/>
  <c r="AK5" i="23"/>
  <c r="AM5" i="23" s="1"/>
  <c r="AO5" i="23" s="1"/>
  <c r="AM36" i="23"/>
  <c r="AO36" i="23" s="1"/>
  <c r="AM30" i="23"/>
  <c r="AO30" i="23" s="1"/>
  <c r="AM12" i="23"/>
  <c r="AO12" i="23" s="1"/>
  <c r="AK40" i="23"/>
  <c r="AM40" i="23" s="1"/>
  <c r="AO40" i="23" s="1"/>
  <c r="AM56" i="23"/>
  <c r="AO56" i="23" s="1"/>
  <c r="AM33" i="23"/>
  <c r="AO33" i="23" s="1"/>
  <c r="AM51" i="23"/>
  <c r="AO51" i="23" s="1"/>
  <c r="AK53" i="23"/>
  <c r="AL53" i="23"/>
  <c r="AM45" i="23"/>
  <c r="AO45" i="23" s="1"/>
  <c r="AM16" i="23"/>
  <c r="AO16" i="23" s="1"/>
  <c r="X57" i="23"/>
  <c r="AE57" i="23" s="1"/>
  <c r="AJ57" i="26"/>
  <c r="AL57" i="26"/>
  <c r="Z58" i="26"/>
  <c r="AK57" i="26"/>
  <c r="AA58" i="26"/>
  <c r="AN57" i="26"/>
  <c r="V58" i="26"/>
  <c r="AH58" i="26" s="1"/>
  <c r="AE57" i="25"/>
  <c r="U58" i="25"/>
  <c r="AG57" i="25"/>
  <c r="AC57" i="25"/>
  <c r="AB57" i="25"/>
  <c r="W57" i="24"/>
  <c r="AI57" i="24" s="1"/>
  <c r="AM56" i="24" l="1"/>
  <c r="AO56" i="24" s="1"/>
  <c r="W58" i="26"/>
  <c r="AI58" i="26" s="1"/>
  <c r="AM53" i="23"/>
  <c r="AO53" i="23" s="1"/>
  <c r="AG57" i="23"/>
  <c r="AJ57" i="23" s="1"/>
  <c r="U58" i="23"/>
  <c r="V58" i="23" s="1"/>
  <c r="AH58" i="23" s="1"/>
  <c r="AB57" i="23"/>
  <c r="Z58" i="23" s="1"/>
  <c r="X57" i="24"/>
  <c r="U58" i="24" s="1"/>
  <c r="AC57" i="23"/>
  <c r="AA58" i="23" s="1"/>
  <c r="AM57" i="26"/>
  <c r="AO57" i="26" s="1"/>
  <c r="Z58" i="25"/>
  <c r="AK57" i="25"/>
  <c r="V58" i="25"/>
  <c r="AH58" i="25" s="1"/>
  <c r="AA58" i="25"/>
  <c r="AN57" i="25"/>
  <c r="AJ57" i="25"/>
  <c r="AL57" i="25"/>
  <c r="AL57" i="23"/>
  <c r="X58" i="26" l="1"/>
  <c r="U59" i="26" s="1"/>
  <c r="AB57" i="24"/>
  <c r="Z58" i="24" s="1"/>
  <c r="AC57" i="24"/>
  <c r="AA58" i="24" s="1"/>
  <c r="AE57" i="24"/>
  <c r="AL57" i="24" s="1"/>
  <c r="AG57" i="24"/>
  <c r="AK57" i="23"/>
  <c r="AM57" i="23" s="1"/>
  <c r="AN57" i="23"/>
  <c r="AM57" i="25"/>
  <c r="AO57" i="25" s="1"/>
  <c r="W58" i="25"/>
  <c r="AI58" i="25" s="1"/>
  <c r="V58" i="24"/>
  <c r="AH58" i="24" s="1"/>
  <c r="W58" i="23"/>
  <c r="AI58" i="23" s="1"/>
  <c r="AK57" i="24" l="1"/>
  <c r="AJ57" i="24"/>
  <c r="AC58" i="26"/>
  <c r="AN58" i="26" s="1"/>
  <c r="AG58" i="26"/>
  <c r="AE58" i="26"/>
  <c r="AL58" i="26" s="1"/>
  <c r="AB58" i="26"/>
  <c r="AK58" i="26" s="1"/>
  <c r="AN57" i="24"/>
  <c r="AO57" i="23"/>
  <c r="X58" i="23"/>
  <c r="AE58" i="23" s="1"/>
  <c r="V59" i="26"/>
  <c r="AH59" i="26" s="1"/>
  <c r="X58" i="25"/>
  <c r="W58" i="24"/>
  <c r="AI58" i="24" s="1"/>
  <c r="Z59" i="26" l="1"/>
  <c r="AM57" i="24"/>
  <c r="AO57" i="24" s="1"/>
  <c r="AA59" i="26"/>
  <c r="AJ58" i="26"/>
  <c r="AM58" i="26" s="1"/>
  <c r="AO58" i="26" s="1"/>
  <c r="AB58" i="23"/>
  <c r="AK58" i="23" s="1"/>
  <c r="AC58" i="23"/>
  <c r="AN58" i="23" s="1"/>
  <c r="U59" i="23"/>
  <c r="V59" i="23" s="1"/>
  <c r="AH59" i="23" s="1"/>
  <c r="AG58" i="23"/>
  <c r="AJ58" i="23" s="1"/>
  <c r="W59" i="26"/>
  <c r="AI59" i="26" s="1"/>
  <c r="AE58" i="25"/>
  <c r="AC58" i="25"/>
  <c r="U59" i="25"/>
  <c r="AG58" i="25"/>
  <c r="AB58" i="25"/>
  <c r="X58" i="24"/>
  <c r="AL58" i="23"/>
  <c r="X59" i="26" l="1"/>
  <c r="U60" i="26" s="1"/>
  <c r="Z59" i="23"/>
  <c r="AA59" i="23"/>
  <c r="AM58" i="23"/>
  <c r="AO58" i="23" s="1"/>
  <c r="V59" i="25"/>
  <c r="AH59" i="25" s="1"/>
  <c r="Z59" i="25"/>
  <c r="AK58" i="25"/>
  <c r="AA59" i="25"/>
  <c r="AN58" i="25"/>
  <c r="AJ58" i="25"/>
  <c r="AL58" i="25"/>
  <c r="U59" i="24"/>
  <c r="AG58" i="24"/>
  <c r="AE58" i="24"/>
  <c r="AC58" i="24"/>
  <c r="AB58" i="24"/>
  <c r="W59" i="23"/>
  <c r="AI59" i="23" s="1"/>
  <c r="AB59" i="26" l="1"/>
  <c r="AK59" i="26" s="1"/>
  <c r="AG59" i="26"/>
  <c r="AC59" i="26"/>
  <c r="AN59" i="26" s="1"/>
  <c r="AE59" i="26"/>
  <c r="AA60" i="26"/>
  <c r="V60" i="26"/>
  <c r="AH60" i="26" s="1"/>
  <c r="AM58" i="25"/>
  <c r="AO58" i="25" s="1"/>
  <c r="W59" i="25"/>
  <c r="AI59" i="25" s="1"/>
  <c r="AJ58" i="24"/>
  <c r="AL58" i="24"/>
  <c r="Z59" i="24"/>
  <c r="AK58" i="24"/>
  <c r="AA59" i="24"/>
  <c r="AN58" i="24"/>
  <c r="V59" i="24"/>
  <c r="AH59" i="24" s="1"/>
  <c r="X59" i="23"/>
  <c r="U60" i="23" s="1"/>
  <c r="Z60" i="26" l="1"/>
  <c r="AJ59" i="26"/>
  <c r="AL59" i="26"/>
  <c r="W60" i="26"/>
  <c r="V60" i="23"/>
  <c r="AH60" i="23" s="1"/>
  <c r="X59" i="25"/>
  <c r="AC59" i="25" s="1"/>
  <c r="W59" i="24"/>
  <c r="AI59" i="24" s="1"/>
  <c r="AM58" i="24"/>
  <c r="AO58" i="24" s="1"/>
  <c r="AG59" i="23"/>
  <c r="AE59" i="23"/>
  <c r="AC59" i="23"/>
  <c r="AB59" i="23"/>
  <c r="AM59" i="26" l="1"/>
  <c r="AO59" i="26" s="1"/>
  <c r="X60" i="26"/>
  <c r="AB60" i="26" s="1"/>
  <c r="AI60" i="26"/>
  <c r="AB59" i="25"/>
  <c r="AK59" i="25" s="1"/>
  <c r="AN59" i="25"/>
  <c r="AA60" i="25"/>
  <c r="AE59" i="25"/>
  <c r="AL59" i="25" s="1"/>
  <c r="U60" i="25"/>
  <c r="X59" i="24"/>
  <c r="U60" i="24" s="1"/>
  <c r="V60" i="24" s="1"/>
  <c r="AH60" i="24" s="1"/>
  <c r="AN59" i="23"/>
  <c r="AA60" i="23"/>
  <c r="W60" i="23"/>
  <c r="AK59" i="23"/>
  <c r="Z60" i="23"/>
  <c r="AG59" i="25"/>
  <c r="AJ59" i="23"/>
  <c r="AL59" i="23"/>
  <c r="Z60" i="25" l="1"/>
  <c r="U61" i="26"/>
  <c r="V61" i="26" s="1"/>
  <c r="AH61" i="26" s="1"/>
  <c r="AC60" i="26"/>
  <c r="AN60" i="26" s="1"/>
  <c r="AE60" i="26"/>
  <c r="AL60" i="26" s="1"/>
  <c r="AG60" i="26"/>
  <c r="Z61" i="26"/>
  <c r="AK60" i="26"/>
  <c r="AJ59" i="25"/>
  <c r="AM59" i="25" s="1"/>
  <c r="V60" i="25"/>
  <c r="AH60" i="25" s="1"/>
  <c r="AB59" i="24"/>
  <c r="AK59" i="24" s="1"/>
  <c r="AE59" i="24"/>
  <c r="AL59" i="24" s="1"/>
  <c r="AC59" i="24"/>
  <c r="AN59" i="24" s="1"/>
  <c r="AG59" i="24"/>
  <c r="AA60" i="24"/>
  <c r="W60" i="24"/>
  <c r="X60" i="23"/>
  <c r="AB60" i="23" s="1"/>
  <c r="Z61" i="23" s="1"/>
  <c r="AI60" i="23"/>
  <c r="AM59" i="23"/>
  <c r="AA61" i="26" l="1"/>
  <c r="AJ59" i="24"/>
  <c r="AM59" i="24" s="1"/>
  <c r="Z60" i="24"/>
  <c r="AJ60" i="26"/>
  <c r="AM60" i="26" s="1"/>
  <c r="W61" i="26"/>
  <c r="W60" i="25"/>
  <c r="AI60" i="25" s="1"/>
  <c r="X60" i="24"/>
  <c r="AB60" i="24" s="1"/>
  <c r="Z61" i="24" s="1"/>
  <c r="AI60" i="24"/>
  <c r="U61" i="23"/>
  <c r="V61" i="23" s="1"/>
  <c r="AH61" i="23" s="1"/>
  <c r="AK60" i="23"/>
  <c r="AC60" i="23"/>
  <c r="AA61" i="23" s="1"/>
  <c r="AE60" i="23"/>
  <c r="AL60" i="23" s="1"/>
  <c r="AG60" i="23"/>
  <c r="AO59" i="25"/>
  <c r="AO59" i="23"/>
  <c r="X61" i="26" l="1"/>
  <c r="AI61" i="26"/>
  <c r="AO60" i="26"/>
  <c r="X60" i="25"/>
  <c r="AB60" i="25" s="1"/>
  <c r="Z61" i="25" s="1"/>
  <c r="U61" i="24"/>
  <c r="V61" i="24" s="1"/>
  <c r="AH61" i="24" s="1"/>
  <c r="AK60" i="24"/>
  <c r="AE60" i="24"/>
  <c r="AL60" i="24" s="1"/>
  <c r="AC60" i="24"/>
  <c r="AA61" i="24" s="1"/>
  <c r="AG60" i="24"/>
  <c r="AN60" i="23"/>
  <c r="AJ60" i="23"/>
  <c r="AM60" i="23" s="1"/>
  <c r="W61" i="23"/>
  <c r="X61" i="23" s="1"/>
  <c r="AO59" i="24"/>
  <c r="AJ60" i="24" l="1"/>
  <c r="AB61" i="26"/>
  <c r="AE61" i="26"/>
  <c r="AC61" i="26"/>
  <c r="U62" i="26"/>
  <c r="V62" i="26" s="1"/>
  <c r="AH62" i="26" s="1"/>
  <c r="AG61" i="26"/>
  <c r="AC60" i="25"/>
  <c r="AN60" i="25" s="1"/>
  <c r="AE60" i="25"/>
  <c r="AL60" i="25" s="1"/>
  <c r="AG60" i="25"/>
  <c r="U61" i="25"/>
  <c r="V61" i="25" s="1"/>
  <c r="AH61" i="25" s="1"/>
  <c r="AK60" i="25"/>
  <c r="W61" i="24"/>
  <c r="X61" i="24" s="1"/>
  <c r="AN60" i="24"/>
  <c r="AM60" i="24"/>
  <c r="AB61" i="23"/>
  <c r="AK61" i="23" s="1"/>
  <c r="AC61" i="23"/>
  <c r="AA62" i="23" s="1"/>
  <c r="U62" i="23"/>
  <c r="V62" i="23" s="1"/>
  <c r="AH62" i="23" s="1"/>
  <c r="AG61" i="23"/>
  <c r="AE61" i="23"/>
  <c r="AL61" i="23" s="1"/>
  <c r="AI61" i="23"/>
  <c r="AO60" i="23"/>
  <c r="AA61" i="25" l="1"/>
  <c r="AJ60" i="25"/>
  <c r="AA62" i="26"/>
  <c r="AN61" i="26"/>
  <c r="AL61" i="26"/>
  <c r="AJ61" i="26"/>
  <c r="Z62" i="26"/>
  <c r="AK61" i="26"/>
  <c r="W62" i="26"/>
  <c r="AI62" i="26" s="1"/>
  <c r="AM60" i="25"/>
  <c r="W61" i="25"/>
  <c r="Z62" i="23"/>
  <c r="AI61" i="24"/>
  <c r="AB61" i="24"/>
  <c r="Z62" i="24" s="1"/>
  <c r="U62" i="24"/>
  <c r="V62" i="24" s="1"/>
  <c r="AH62" i="24" s="1"/>
  <c r="AC61" i="24"/>
  <c r="AA62" i="24" s="1"/>
  <c r="AG61" i="24"/>
  <c r="AE61" i="24"/>
  <c r="AL61" i="24" s="1"/>
  <c r="AO60" i="24"/>
  <c r="AN61" i="23"/>
  <c r="AJ61" i="23"/>
  <c r="AM61" i="23" s="1"/>
  <c r="W62" i="23"/>
  <c r="X62" i="23" s="1"/>
  <c r="I4" i="20" a="1"/>
  <c r="I4" i="19" a="1"/>
  <c r="I4" i="16" a="1"/>
  <c r="C144" i="20"/>
  <c r="C143" i="20"/>
  <c r="C142" i="20"/>
  <c r="C141" i="20"/>
  <c r="C140" i="20"/>
  <c r="C139" i="20"/>
  <c r="C138" i="20"/>
  <c r="C137" i="20"/>
  <c r="C136" i="20"/>
  <c r="C135" i="20"/>
  <c r="C134" i="20"/>
  <c r="AD133" i="20"/>
  <c r="C133" i="20"/>
  <c r="C132" i="20"/>
  <c r="AD131" i="20"/>
  <c r="C131" i="20"/>
  <c r="C130" i="20"/>
  <c r="C129" i="20"/>
  <c r="C128" i="20"/>
  <c r="C127" i="20"/>
  <c r="C126" i="20"/>
  <c r="C125" i="20"/>
  <c r="AV124" i="20"/>
  <c r="AU124" i="20"/>
  <c r="AN124" i="20"/>
  <c r="AK124" i="20"/>
  <c r="AI124" i="20"/>
  <c r="AH124" i="20"/>
  <c r="AG124" i="20"/>
  <c r="AE124" i="20"/>
  <c r="AC124" i="20"/>
  <c r="AB124" i="20"/>
  <c r="AA124" i="20"/>
  <c r="Z124" i="20"/>
  <c r="X124" i="20"/>
  <c r="W124" i="20"/>
  <c r="V124" i="20"/>
  <c r="U124" i="20"/>
  <c r="T124" i="20"/>
  <c r="Q124" i="20"/>
  <c r="P124" i="20"/>
  <c r="M124" i="20"/>
  <c r="L124" i="20"/>
  <c r="K124" i="20"/>
  <c r="C124" i="20"/>
  <c r="AV123" i="20"/>
  <c r="AU123" i="20"/>
  <c r="AN123" i="20"/>
  <c r="AK123" i="20"/>
  <c r="AI123" i="20"/>
  <c r="AH123" i="20"/>
  <c r="AG123" i="20"/>
  <c r="AE123" i="20"/>
  <c r="AC123" i="20"/>
  <c r="AB123" i="20"/>
  <c r="AA123" i="20"/>
  <c r="Z123" i="20"/>
  <c r="X123" i="20"/>
  <c r="W123" i="20"/>
  <c r="V123" i="20"/>
  <c r="U123" i="20"/>
  <c r="T123" i="20"/>
  <c r="Q123" i="20"/>
  <c r="P123" i="20"/>
  <c r="M123" i="20"/>
  <c r="L123" i="20"/>
  <c r="K123" i="20"/>
  <c r="C123" i="20"/>
  <c r="AV122" i="20"/>
  <c r="AU122" i="20"/>
  <c r="AN122" i="20"/>
  <c r="AK122" i="20"/>
  <c r="AI122" i="20"/>
  <c r="AH122" i="20"/>
  <c r="AG122" i="20"/>
  <c r="AE122" i="20"/>
  <c r="AC122" i="20"/>
  <c r="AB122" i="20"/>
  <c r="AA122" i="20"/>
  <c r="Z122" i="20"/>
  <c r="X122" i="20"/>
  <c r="W122" i="20"/>
  <c r="V122" i="20"/>
  <c r="U122" i="20"/>
  <c r="T122" i="20"/>
  <c r="Q122" i="20"/>
  <c r="P122" i="20"/>
  <c r="M122" i="20"/>
  <c r="L122" i="20"/>
  <c r="K122" i="20"/>
  <c r="C122" i="20"/>
  <c r="AV121" i="20"/>
  <c r="AU121" i="20"/>
  <c r="AN121" i="20"/>
  <c r="AK121" i="20"/>
  <c r="AI121" i="20"/>
  <c r="AH121" i="20"/>
  <c r="AG121" i="20"/>
  <c r="AE121" i="20"/>
  <c r="AC121" i="20"/>
  <c r="AB121" i="20"/>
  <c r="AA121" i="20"/>
  <c r="Z121" i="20"/>
  <c r="X121" i="20"/>
  <c r="W121" i="20"/>
  <c r="V121" i="20"/>
  <c r="U121" i="20"/>
  <c r="T121" i="20"/>
  <c r="Q121" i="20"/>
  <c r="P121" i="20"/>
  <c r="M121" i="20"/>
  <c r="L121" i="20"/>
  <c r="K121" i="20"/>
  <c r="C121" i="20"/>
  <c r="AV120" i="20"/>
  <c r="AU120" i="20"/>
  <c r="AN120" i="20"/>
  <c r="AK120" i="20"/>
  <c r="AI120" i="20"/>
  <c r="AH120" i="20"/>
  <c r="AG120" i="20"/>
  <c r="AE120" i="20"/>
  <c r="AC120" i="20"/>
  <c r="AB120" i="20"/>
  <c r="AA120" i="20"/>
  <c r="Z120" i="20"/>
  <c r="X120" i="20"/>
  <c r="W120" i="20"/>
  <c r="V120" i="20"/>
  <c r="U120" i="20"/>
  <c r="T120" i="20"/>
  <c r="Q120" i="20"/>
  <c r="P120" i="20"/>
  <c r="M120" i="20"/>
  <c r="L120" i="20"/>
  <c r="K120" i="20"/>
  <c r="C120" i="20"/>
  <c r="AV119" i="20"/>
  <c r="AU119" i="20"/>
  <c r="AN119" i="20"/>
  <c r="AK119" i="20"/>
  <c r="AI119" i="20"/>
  <c r="AH119" i="20"/>
  <c r="AG119" i="20"/>
  <c r="AE119" i="20"/>
  <c r="AC119" i="20"/>
  <c r="AB119" i="20"/>
  <c r="AA119" i="20"/>
  <c r="Z119" i="20"/>
  <c r="X119" i="20"/>
  <c r="W119" i="20"/>
  <c r="V119" i="20"/>
  <c r="U119" i="20"/>
  <c r="T119" i="20"/>
  <c r="Q119" i="20"/>
  <c r="P119" i="20"/>
  <c r="M119" i="20"/>
  <c r="L119" i="20"/>
  <c r="K119" i="20"/>
  <c r="C119" i="20"/>
  <c r="AV118" i="20"/>
  <c r="AU118" i="20"/>
  <c r="AN118" i="20"/>
  <c r="AK118" i="20"/>
  <c r="AI118" i="20"/>
  <c r="AH118" i="20"/>
  <c r="AG118" i="20"/>
  <c r="AE118" i="20"/>
  <c r="AC118" i="20"/>
  <c r="AB118" i="20"/>
  <c r="AA118" i="20"/>
  <c r="Z118" i="20"/>
  <c r="X118" i="20"/>
  <c r="W118" i="20"/>
  <c r="V118" i="20"/>
  <c r="U118" i="20"/>
  <c r="T118" i="20"/>
  <c r="Q118" i="20"/>
  <c r="P118" i="20"/>
  <c r="M118" i="20"/>
  <c r="L118" i="20"/>
  <c r="K118" i="20"/>
  <c r="C118" i="20"/>
  <c r="AV117" i="20"/>
  <c r="AU117" i="20"/>
  <c r="AN117" i="20"/>
  <c r="AK117" i="20"/>
  <c r="AI117" i="20"/>
  <c r="AH117" i="20"/>
  <c r="AG117" i="20"/>
  <c r="AE117" i="20"/>
  <c r="AC117" i="20"/>
  <c r="AB117" i="20"/>
  <c r="AA117" i="20"/>
  <c r="Z117" i="20"/>
  <c r="X117" i="20"/>
  <c r="W117" i="20"/>
  <c r="V117" i="20"/>
  <c r="U117" i="20"/>
  <c r="T117" i="20"/>
  <c r="Q117" i="20"/>
  <c r="P117" i="20"/>
  <c r="M117" i="20"/>
  <c r="L117" i="20"/>
  <c r="K117" i="20"/>
  <c r="C117" i="20"/>
  <c r="AV116" i="20"/>
  <c r="AU116" i="20"/>
  <c r="AN116" i="20"/>
  <c r="AK116" i="20"/>
  <c r="AI116" i="20"/>
  <c r="AH116" i="20"/>
  <c r="AG116" i="20"/>
  <c r="AE116" i="20"/>
  <c r="AC116" i="20"/>
  <c r="AB116" i="20"/>
  <c r="AA116" i="20"/>
  <c r="Z116" i="20"/>
  <c r="X116" i="20"/>
  <c r="W116" i="20"/>
  <c r="V116" i="20"/>
  <c r="U116" i="20"/>
  <c r="T116" i="20"/>
  <c r="Q116" i="20"/>
  <c r="P116" i="20"/>
  <c r="M116" i="20"/>
  <c r="L116" i="20"/>
  <c r="K116" i="20"/>
  <c r="C116" i="20"/>
  <c r="AV115" i="20"/>
  <c r="AU115" i="20"/>
  <c r="AN115" i="20"/>
  <c r="AK115" i="20"/>
  <c r="AI115" i="20"/>
  <c r="AH115" i="20"/>
  <c r="AG115" i="20"/>
  <c r="AE115" i="20"/>
  <c r="AC115" i="20"/>
  <c r="AB115" i="20"/>
  <c r="AA115" i="20"/>
  <c r="Z115" i="20"/>
  <c r="X115" i="20"/>
  <c r="W115" i="20"/>
  <c r="V115" i="20"/>
  <c r="U115" i="20"/>
  <c r="T115" i="20"/>
  <c r="Q115" i="20"/>
  <c r="P115" i="20"/>
  <c r="M115" i="20"/>
  <c r="L115" i="20"/>
  <c r="K115" i="20"/>
  <c r="C115" i="20"/>
  <c r="AV114" i="20"/>
  <c r="AU114" i="20"/>
  <c r="AN114" i="20"/>
  <c r="AK114" i="20"/>
  <c r="AI114" i="20"/>
  <c r="AH114" i="20"/>
  <c r="AG114" i="20"/>
  <c r="AE114" i="20"/>
  <c r="AC114" i="20"/>
  <c r="AB114" i="20"/>
  <c r="AA114" i="20"/>
  <c r="Z114" i="20"/>
  <c r="X114" i="20"/>
  <c r="W114" i="20"/>
  <c r="V114" i="20"/>
  <c r="U114" i="20"/>
  <c r="T114" i="20"/>
  <c r="Q114" i="20"/>
  <c r="P114" i="20"/>
  <c r="M114" i="20"/>
  <c r="L114" i="20"/>
  <c r="K114" i="20"/>
  <c r="C114" i="20"/>
  <c r="AV113" i="20"/>
  <c r="AU113" i="20"/>
  <c r="AN113" i="20"/>
  <c r="AK113" i="20"/>
  <c r="AI113" i="20"/>
  <c r="AH113" i="20"/>
  <c r="AG113" i="20"/>
  <c r="AE113" i="20"/>
  <c r="AC113" i="20"/>
  <c r="AB113" i="20"/>
  <c r="AA113" i="20"/>
  <c r="Z113" i="20"/>
  <c r="X113" i="20"/>
  <c r="W113" i="20"/>
  <c r="V113" i="20"/>
  <c r="U113" i="20"/>
  <c r="T113" i="20"/>
  <c r="Q113" i="20"/>
  <c r="P113" i="20"/>
  <c r="M113" i="20"/>
  <c r="L113" i="20"/>
  <c r="K113" i="20"/>
  <c r="C113" i="20"/>
  <c r="AV112" i="20"/>
  <c r="AU112" i="20"/>
  <c r="AN112" i="20"/>
  <c r="AK112" i="20"/>
  <c r="AI112" i="20"/>
  <c r="AH112" i="20"/>
  <c r="AG112" i="20"/>
  <c r="AE112" i="20"/>
  <c r="AC112" i="20"/>
  <c r="AB112" i="20"/>
  <c r="AA112" i="20"/>
  <c r="Z112" i="20"/>
  <c r="X112" i="20"/>
  <c r="W112" i="20"/>
  <c r="V112" i="20"/>
  <c r="U112" i="20"/>
  <c r="T112" i="20"/>
  <c r="Q112" i="20"/>
  <c r="P112" i="20"/>
  <c r="M112" i="20"/>
  <c r="L112" i="20"/>
  <c r="K112" i="20"/>
  <c r="C112" i="20"/>
  <c r="AV111" i="20"/>
  <c r="AU111" i="20"/>
  <c r="AN111" i="20"/>
  <c r="AK111" i="20"/>
  <c r="AI111" i="20"/>
  <c r="AH111" i="20"/>
  <c r="AG111" i="20"/>
  <c r="AE111" i="20"/>
  <c r="AC111" i="20"/>
  <c r="AB111" i="20"/>
  <c r="AA111" i="20"/>
  <c r="Z111" i="20"/>
  <c r="X111" i="20"/>
  <c r="W111" i="20"/>
  <c r="V111" i="20"/>
  <c r="U111" i="20"/>
  <c r="T111" i="20"/>
  <c r="Q111" i="20"/>
  <c r="P111" i="20"/>
  <c r="M111" i="20"/>
  <c r="L111" i="20"/>
  <c r="K111" i="20"/>
  <c r="C111" i="20"/>
  <c r="AV110" i="20"/>
  <c r="AU110" i="20"/>
  <c r="AN110" i="20"/>
  <c r="AK110" i="20"/>
  <c r="AI110" i="20"/>
  <c r="AH110" i="20"/>
  <c r="AG110" i="20"/>
  <c r="AE110" i="20"/>
  <c r="AC110" i="20"/>
  <c r="AB110" i="20"/>
  <c r="AA110" i="20"/>
  <c r="Z110" i="20"/>
  <c r="X110" i="20"/>
  <c r="W110" i="20"/>
  <c r="V110" i="20"/>
  <c r="U110" i="20"/>
  <c r="T110" i="20"/>
  <c r="Q110" i="20"/>
  <c r="P110" i="20"/>
  <c r="M110" i="20"/>
  <c r="L110" i="20"/>
  <c r="K110" i="20"/>
  <c r="C110" i="20"/>
  <c r="AV109" i="20"/>
  <c r="AU109" i="20"/>
  <c r="AN109" i="20"/>
  <c r="AK109" i="20"/>
  <c r="AI109" i="20"/>
  <c r="AH109" i="20"/>
  <c r="AG109" i="20"/>
  <c r="AE109" i="20"/>
  <c r="AC109" i="20"/>
  <c r="AB109" i="20"/>
  <c r="AA109" i="20"/>
  <c r="Z109" i="20"/>
  <c r="X109" i="20"/>
  <c r="W109" i="20"/>
  <c r="V109" i="20"/>
  <c r="U109" i="20"/>
  <c r="T109" i="20"/>
  <c r="Q109" i="20"/>
  <c r="P109" i="20"/>
  <c r="M109" i="20"/>
  <c r="L109" i="20"/>
  <c r="K109" i="20"/>
  <c r="C109" i="20"/>
  <c r="AV108" i="20"/>
  <c r="AU108" i="20"/>
  <c r="AN108" i="20"/>
  <c r="AK108" i="20"/>
  <c r="AI108" i="20"/>
  <c r="AH108" i="20"/>
  <c r="AG108" i="20"/>
  <c r="AE108" i="20"/>
  <c r="AC108" i="20"/>
  <c r="AB108" i="20"/>
  <c r="AA108" i="20"/>
  <c r="Z108" i="20"/>
  <c r="X108" i="20"/>
  <c r="W108" i="20"/>
  <c r="V108" i="20"/>
  <c r="U108" i="20"/>
  <c r="T108" i="20"/>
  <c r="Q108" i="20"/>
  <c r="P108" i="20"/>
  <c r="M108" i="20"/>
  <c r="L108" i="20"/>
  <c r="K108" i="20"/>
  <c r="C108" i="20"/>
  <c r="AV107" i="20"/>
  <c r="AU107" i="20"/>
  <c r="AN107" i="20"/>
  <c r="AK107" i="20"/>
  <c r="AI107" i="20"/>
  <c r="AH107" i="20"/>
  <c r="AG107" i="20"/>
  <c r="AE107" i="20"/>
  <c r="AC107" i="20"/>
  <c r="AB107" i="20"/>
  <c r="AA107" i="20"/>
  <c r="Z107" i="20"/>
  <c r="X107" i="20"/>
  <c r="W107" i="20"/>
  <c r="V107" i="20"/>
  <c r="U107" i="20"/>
  <c r="T107" i="20"/>
  <c r="Q107" i="20"/>
  <c r="P107" i="20"/>
  <c r="M107" i="20"/>
  <c r="L107" i="20"/>
  <c r="K107" i="20"/>
  <c r="C107" i="20"/>
  <c r="AV106" i="20"/>
  <c r="AU106" i="20"/>
  <c r="AN106" i="20"/>
  <c r="AK106" i="20"/>
  <c r="AI106" i="20"/>
  <c r="AH106" i="20"/>
  <c r="AG106" i="20"/>
  <c r="AE106" i="20"/>
  <c r="AC106" i="20"/>
  <c r="AB106" i="20"/>
  <c r="AA106" i="20"/>
  <c r="Z106" i="20"/>
  <c r="X106" i="20"/>
  <c r="W106" i="20"/>
  <c r="V106" i="20"/>
  <c r="U106" i="20"/>
  <c r="T106" i="20"/>
  <c r="Q106" i="20"/>
  <c r="P106" i="20"/>
  <c r="M106" i="20"/>
  <c r="L106" i="20"/>
  <c r="K106" i="20"/>
  <c r="C106" i="20"/>
  <c r="AV105" i="20"/>
  <c r="AU105" i="20"/>
  <c r="AN105" i="20"/>
  <c r="AK105" i="20"/>
  <c r="AI105" i="20"/>
  <c r="AH105" i="20"/>
  <c r="AG105" i="20"/>
  <c r="AE105" i="20"/>
  <c r="AC105" i="20"/>
  <c r="AB105" i="20"/>
  <c r="AA105" i="20"/>
  <c r="Z105" i="20"/>
  <c r="X105" i="20"/>
  <c r="W105" i="20"/>
  <c r="V105" i="20"/>
  <c r="U105" i="20"/>
  <c r="T105" i="20"/>
  <c r="Q105" i="20"/>
  <c r="P105" i="20"/>
  <c r="M105" i="20"/>
  <c r="L105" i="20"/>
  <c r="K105" i="20"/>
  <c r="C105" i="20"/>
  <c r="AV104" i="20"/>
  <c r="AU104" i="20"/>
  <c r="AN104" i="20"/>
  <c r="AK104" i="20"/>
  <c r="AI104" i="20"/>
  <c r="AH104" i="20"/>
  <c r="AG104" i="20"/>
  <c r="AE104" i="20"/>
  <c r="AC104" i="20"/>
  <c r="AB104" i="20"/>
  <c r="AA104" i="20"/>
  <c r="Z104" i="20"/>
  <c r="X104" i="20"/>
  <c r="W104" i="20"/>
  <c r="V104" i="20"/>
  <c r="U104" i="20"/>
  <c r="T104" i="20"/>
  <c r="Q104" i="20"/>
  <c r="P104" i="20"/>
  <c r="M104" i="20"/>
  <c r="L104" i="20"/>
  <c r="K104" i="20"/>
  <c r="C104" i="20"/>
  <c r="AV103" i="20"/>
  <c r="AU103" i="20"/>
  <c r="AN103" i="20"/>
  <c r="AK103" i="20"/>
  <c r="AI103" i="20"/>
  <c r="AH103" i="20"/>
  <c r="AG103" i="20"/>
  <c r="AE103" i="20"/>
  <c r="AC103" i="20"/>
  <c r="AB103" i="20"/>
  <c r="AA103" i="20"/>
  <c r="Z103" i="20"/>
  <c r="X103" i="20"/>
  <c r="W103" i="20"/>
  <c r="V103" i="20"/>
  <c r="U103" i="20"/>
  <c r="T103" i="20"/>
  <c r="Q103" i="20"/>
  <c r="P103" i="20"/>
  <c r="M103" i="20"/>
  <c r="L103" i="20"/>
  <c r="K103" i="20"/>
  <c r="C103" i="20"/>
  <c r="AV102" i="20"/>
  <c r="AU102" i="20"/>
  <c r="AN102" i="20"/>
  <c r="AK102" i="20"/>
  <c r="AI102" i="20"/>
  <c r="AH102" i="20"/>
  <c r="AG102" i="20"/>
  <c r="AE102" i="20"/>
  <c r="AC102" i="20"/>
  <c r="AB102" i="20"/>
  <c r="AA102" i="20"/>
  <c r="Z102" i="20"/>
  <c r="X102" i="20"/>
  <c r="W102" i="20"/>
  <c r="V102" i="20"/>
  <c r="U102" i="20"/>
  <c r="T102" i="20"/>
  <c r="Q102" i="20"/>
  <c r="P102" i="20"/>
  <c r="M102" i="20"/>
  <c r="L102" i="20"/>
  <c r="K102" i="20"/>
  <c r="C102" i="20"/>
  <c r="AV101" i="20"/>
  <c r="AU101" i="20"/>
  <c r="AN101" i="20"/>
  <c r="AK101" i="20"/>
  <c r="AI101" i="20"/>
  <c r="AH101" i="20"/>
  <c r="AG101" i="20"/>
  <c r="AE101" i="20"/>
  <c r="AC101" i="20"/>
  <c r="AB101" i="20"/>
  <c r="AA101" i="20"/>
  <c r="Z101" i="20"/>
  <c r="X101" i="20"/>
  <c r="W101" i="20"/>
  <c r="V101" i="20"/>
  <c r="U101" i="20"/>
  <c r="T101" i="20"/>
  <c r="Q101" i="20"/>
  <c r="P101" i="20"/>
  <c r="M101" i="20"/>
  <c r="L101" i="20"/>
  <c r="K101" i="20"/>
  <c r="C101" i="20"/>
  <c r="AV100" i="20"/>
  <c r="AU100" i="20"/>
  <c r="AN100" i="20"/>
  <c r="AK100" i="20"/>
  <c r="AI100" i="20"/>
  <c r="AH100" i="20"/>
  <c r="AG100" i="20"/>
  <c r="AE100" i="20"/>
  <c r="AC100" i="20"/>
  <c r="AB100" i="20"/>
  <c r="AA100" i="20"/>
  <c r="Z100" i="20"/>
  <c r="X100" i="20"/>
  <c r="W100" i="20"/>
  <c r="V100" i="20"/>
  <c r="U100" i="20"/>
  <c r="T100" i="20"/>
  <c r="Q100" i="20"/>
  <c r="P100" i="20"/>
  <c r="M100" i="20"/>
  <c r="L100" i="20"/>
  <c r="K100" i="20"/>
  <c r="C100" i="20"/>
  <c r="AV99" i="20"/>
  <c r="AU99" i="20"/>
  <c r="AN99" i="20"/>
  <c r="AK99" i="20"/>
  <c r="AI99" i="20"/>
  <c r="AH99" i="20"/>
  <c r="AG99" i="20"/>
  <c r="AE99" i="20"/>
  <c r="AC99" i="20"/>
  <c r="AB99" i="20"/>
  <c r="AA99" i="20"/>
  <c r="Z99" i="20"/>
  <c r="X99" i="20"/>
  <c r="W99" i="20"/>
  <c r="V99" i="20"/>
  <c r="U99" i="20"/>
  <c r="T99" i="20"/>
  <c r="Q99" i="20"/>
  <c r="P99" i="20"/>
  <c r="M99" i="20"/>
  <c r="L99" i="20"/>
  <c r="K99" i="20"/>
  <c r="C99" i="20"/>
  <c r="AV98" i="20"/>
  <c r="AU98" i="20"/>
  <c r="AN98" i="20"/>
  <c r="AK98" i="20"/>
  <c r="AI98" i="20"/>
  <c r="AH98" i="20"/>
  <c r="AG98" i="20"/>
  <c r="AE98" i="20"/>
  <c r="AC98" i="20"/>
  <c r="AB98" i="20"/>
  <c r="AA98" i="20"/>
  <c r="Z98" i="20"/>
  <c r="X98" i="20"/>
  <c r="W98" i="20"/>
  <c r="V98" i="20"/>
  <c r="U98" i="20"/>
  <c r="T98" i="20"/>
  <c r="Q98" i="20"/>
  <c r="P98" i="20"/>
  <c r="M98" i="20"/>
  <c r="L98" i="20"/>
  <c r="K98" i="20"/>
  <c r="C98" i="20"/>
  <c r="AV97" i="20"/>
  <c r="AU97" i="20"/>
  <c r="AN97" i="20"/>
  <c r="AK97" i="20"/>
  <c r="AI97" i="20"/>
  <c r="AH97" i="20"/>
  <c r="AG97" i="20"/>
  <c r="AE97" i="20"/>
  <c r="AC97" i="20"/>
  <c r="AB97" i="20"/>
  <c r="AA97" i="20"/>
  <c r="Z97" i="20"/>
  <c r="X97" i="20"/>
  <c r="W97" i="20"/>
  <c r="V97" i="20"/>
  <c r="U97" i="20"/>
  <c r="T97" i="20"/>
  <c r="Q97" i="20"/>
  <c r="P97" i="20"/>
  <c r="M97" i="20"/>
  <c r="L97" i="20"/>
  <c r="K97" i="20"/>
  <c r="C97" i="20"/>
  <c r="AV96" i="20"/>
  <c r="AU96" i="20"/>
  <c r="AN96" i="20"/>
  <c r="AK96" i="20"/>
  <c r="AI96" i="20"/>
  <c r="AH96" i="20"/>
  <c r="AG96" i="20"/>
  <c r="AE96" i="20"/>
  <c r="AC96" i="20"/>
  <c r="AB96" i="20"/>
  <c r="AA96" i="20"/>
  <c r="Z96" i="20"/>
  <c r="X96" i="20"/>
  <c r="W96" i="20"/>
  <c r="V96" i="20"/>
  <c r="U96" i="20"/>
  <c r="T96" i="20"/>
  <c r="Q96" i="20"/>
  <c r="P96" i="20"/>
  <c r="M96" i="20"/>
  <c r="L96" i="20"/>
  <c r="K96" i="20"/>
  <c r="C96" i="20"/>
  <c r="AV95" i="20"/>
  <c r="AU95" i="20"/>
  <c r="AN95" i="20"/>
  <c r="AK95" i="20"/>
  <c r="AI95" i="20"/>
  <c r="AH95" i="20"/>
  <c r="AG95" i="20"/>
  <c r="AE95" i="20"/>
  <c r="AC95" i="20"/>
  <c r="AB95" i="20"/>
  <c r="AA95" i="20"/>
  <c r="Z95" i="20"/>
  <c r="X95" i="20"/>
  <c r="W95" i="20"/>
  <c r="V95" i="20"/>
  <c r="U95" i="20"/>
  <c r="T95" i="20"/>
  <c r="Q95" i="20"/>
  <c r="P95" i="20"/>
  <c r="M95" i="20"/>
  <c r="L95" i="20"/>
  <c r="K95" i="20"/>
  <c r="C95" i="20"/>
  <c r="AV94" i="20"/>
  <c r="AU94" i="20"/>
  <c r="AN94" i="20"/>
  <c r="AK94" i="20"/>
  <c r="AI94" i="20"/>
  <c r="AH94" i="20"/>
  <c r="AG94" i="20"/>
  <c r="AE94" i="20"/>
  <c r="AC94" i="20"/>
  <c r="AB94" i="20"/>
  <c r="AA94" i="20"/>
  <c r="Z94" i="20"/>
  <c r="X94" i="20"/>
  <c r="W94" i="20"/>
  <c r="V94" i="20"/>
  <c r="U94" i="20"/>
  <c r="T94" i="20"/>
  <c r="Q94" i="20"/>
  <c r="P94" i="20"/>
  <c r="M94" i="20"/>
  <c r="L94" i="20"/>
  <c r="K94" i="20"/>
  <c r="C94" i="20"/>
  <c r="AV93" i="20"/>
  <c r="AU93" i="20"/>
  <c r="AN93" i="20"/>
  <c r="AK93" i="20"/>
  <c r="AI93" i="20"/>
  <c r="AH93" i="20"/>
  <c r="AG93" i="20"/>
  <c r="AE93" i="20"/>
  <c r="AC93" i="20"/>
  <c r="AB93" i="20"/>
  <c r="AA93" i="20"/>
  <c r="Z93" i="20"/>
  <c r="X93" i="20"/>
  <c r="W93" i="20"/>
  <c r="V93" i="20"/>
  <c r="U93" i="20"/>
  <c r="T93" i="20"/>
  <c r="Q93" i="20"/>
  <c r="P93" i="20"/>
  <c r="M93" i="20"/>
  <c r="L93" i="20"/>
  <c r="K93" i="20"/>
  <c r="C93" i="20"/>
  <c r="AV92" i="20"/>
  <c r="AU92" i="20"/>
  <c r="AN92" i="20"/>
  <c r="AK92" i="20"/>
  <c r="AI92" i="20"/>
  <c r="AH92" i="20"/>
  <c r="AG92" i="20"/>
  <c r="AE92" i="20"/>
  <c r="AC92" i="20"/>
  <c r="AB92" i="20"/>
  <c r="AA92" i="20"/>
  <c r="Z92" i="20"/>
  <c r="X92" i="20"/>
  <c r="W92" i="20"/>
  <c r="V92" i="20"/>
  <c r="U92" i="20"/>
  <c r="T92" i="20"/>
  <c r="Q92" i="20"/>
  <c r="P92" i="20"/>
  <c r="M92" i="20"/>
  <c r="L92" i="20"/>
  <c r="K92" i="20"/>
  <c r="C92" i="20"/>
  <c r="AV91" i="20"/>
  <c r="AU91" i="20"/>
  <c r="AN91" i="20"/>
  <c r="AK91" i="20"/>
  <c r="AI91" i="20"/>
  <c r="AH91" i="20"/>
  <c r="AG91" i="20"/>
  <c r="AE91" i="20"/>
  <c r="AC91" i="20"/>
  <c r="AB91" i="20"/>
  <c r="AA91" i="20"/>
  <c r="Z91" i="20"/>
  <c r="X91" i="20"/>
  <c r="W91" i="20"/>
  <c r="V91" i="20"/>
  <c r="U91" i="20"/>
  <c r="T91" i="20"/>
  <c r="Q91" i="20"/>
  <c r="P91" i="20"/>
  <c r="M91" i="20"/>
  <c r="L91" i="20"/>
  <c r="K91" i="20"/>
  <c r="C91" i="20"/>
  <c r="AV90" i="20"/>
  <c r="AU90" i="20"/>
  <c r="AN90" i="20"/>
  <c r="AK90" i="20"/>
  <c r="AI90" i="20"/>
  <c r="AH90" i="20"/>
  <c r="AG90" i="20"/>
  <c r="AE90" i="20"/>
  <c r="AC90" i="20"/>
  <c r="AB90" i="20"/>
  <c r="AA90" i="20"/>
  <c r="Z90" i="20"/>
  <c r="X90" i="20"/>
  <c r="W90" i="20"/>
  <c r="V90" i="20"/>
  <c r="U90" i="20"/>
  <c r="T90" i="20"/>
  <c r="Q90" i="20"/>
  <c r="P90" i="20"/>
  <c r="M90" i="20"/>
  <c r="L90" i="20"/>
  <c r="K90" i="20"/>
  <c r="C90" i="20"/>
  <c r="T89" i="20"/>
  <c r="K89" i="20"/>
  <c r="C89" i="20"/>
  <c r="T88" i="20"/>
  <c r="K88" i="20"/>
  <c r="C88" i="20"/>
  <c r="T87" i="20"/>
  <c r="K87" i="20"/>
  <c r="C87" i="20"/>
  <c r="T86" i="20"/>
  <c r="K86" i="20"/>
  <c r="C86" i="20"/>
  <c r="T85" i="20"/>
  <c r="K85" i="20"/>
  <c r="C85" i="20"/>
  <c r="T84" i="20"/>
  <c r="K84" i="20"/>
  <c r="C84" i="20"/>
  <c r="T83" i="20"/>
  <c r="K83" i="20"/>
  <c r="C83" i="20"/>
  <c r="T82" i="20"/>
  <c r="K82" i="20"/>
  <c r="C82" i="20"/>
  <c r="T81" i="20"/>
  <c r="K81" i="20"/>
  <c r="C81" i="20"/>
  <c r="T80" i="20"/>
  <c r="K80" i="20"/>
  <c r="C80" i="20"/>
  <c r="T79" i="20"/>
  <c r="K79" i="20"/>
  <c r="C79" i="20"/>
  <c r="T78" i="20"/>
  <c r="K78" i="20"/>
  <c r="C78" i="20"/>
  <c r="T77" i="20"/>
  <c r="K77" i="20"/>
  <c r="C77" i="20"/>
  <c r="T76" i="20"/>
  <c r="K76" i="20"/>
  <c r="C76" i="20"/>
  <c r="T75" i="20"/>
  <c r="K75" i="20"/>
  <c r="C75" i="20"/>
  <c r="T74" i="20"/>
  <c r="K74" i="20"/>
  <c r="C74" i="20"/>
  <c r="T73" i="20"/>
  <c r="K73" i="20"/>
  <c r="C73" i="20"/>
  <c r="T72" i="20"/>
  <c r="K72" i="20"/>
  <c r="C72" i="20"/>
  <c r="T71" i="20"/>
  <c r="K71" i="20"/>
  <c r="C71" i="20"/>
  <c r="T70" i="20"/>
  <c r="K70" i="20"/>
  <c r="C70" i="20"/>
  <c r="T69" i="20"/>
  <c r="K69" i="20"/>
  <c r="C69" i="20"/>
  <c r="T68" i="20"/>
  <c r="K68" i="20"/>
  <c r="C68" i="20"/>
  <c r="T67" i="20"/>
  <c r="K67" i="20"/>
  <c r="C67" i="20"/>
  <c r="T66" i="20"/>
  <c r="K66" i="20"/>
  <c r="C66" i="20"/>
  <c r="T65" i="20"/>
  <c r="K65" i="20"/>
  <c r="C65" i="20"/>
  <c r="T64" i="20"/>
  <c r="K64" i="20"/>
  <c r="C64" i="20"/>
  <c r="T63" i="20"/>
  <c r="K63" i="20"/>
  <c r="C63" i="20"/>
  <c r="T62" i="20"/>
  <c r="K62" i="20"/>
  <c r="C62" i="20"/>
  <c r="T61" i="20"/>
  <c r="K61" i="20"/>
  <c r="C61" i="20"/>
  <c r="T60" i="20"/>
  <c r="K60" i="20"/>
  <c r="C60" i="20"/>
  <c r="T59" i="20"/>
  <c r="K59" i="20"/>
  <c r="C59" i="20"/>
  <c r="T58" i="20"/>
  <c r="K58" i="20"/>
  <c r="C58" i="20"/>
  <c r="T57" i="20"/>
  <c r="K57" i="20"/>
  <c r="C57" i="20"/>
  <c r="T56" i="20"/>
  <c r="K56" i="20"/>
  <c r="C56" i="20"/>
  <c r="T55" i="20"/>
  <c r="K55" i="20"/>
  <c r="C55" i="20"/>
  <c r="T54" i="20"/>
  <c r="K54" i="20"/>
  <c r="C54" i="20"/>
  <c r="T53" i="20"/>
  <c r="K53" i="20"/>
  <c r="C53" i="20"/>
  <c r="T52" i="20"/>
  <c r="K52" i="20"/>
  <c r="C52" i="20"/>
  <c r="T51" i="20"/>
  <c r="K51" i="20"/>
  <c r="C51" i="20"/>
  <c r="T50" i="20"/>
  <c r="K50" i="20"/>
  <c r="C50" i="20"/>
  <c r="T49" i="20"/>
  <c r="K49" i="20"/>
  <c r="C49" i="20"/>
  <c r="T48" i="20"/>
  <c r="K48" i="20"/>
  <c r="C48" i="20"/>
  <c r="T47" i="20"/>
  <c r="K47" i="20"/>
  <c r="C47" i="20"/>
  <c r="T46" i="20"/>
  <c r="K46" i="20"/>
  <c r="C46" i="20"/>
  <c r="T45" i="20"/>
  <c r="K45" i="20"/>
  <c r="C45" i="20"/>
  <c r="T44" i="20"/>
  <c r="K44" i="20"/>
  <c r="C44" i="20"/>
  <c r="T43" i="20"/>
  <c r="K43" i="20"/>
  <c r="C43" i="20"/>
  <c r="T42" i="20"/>
  <c r="K42" i="20"/>
  <c r="C42" i="20"/>
  <c r="T41" i="20"/>
  <c r="K41" i="20"/>
  <c r="C41" i="20"/>
  <c r="T40" i="20"/>
  <c r="K40" i="20"/>
  <c r="C40" i="20"/>
  <c r="T39" i="20"/>
  <c r="K39" i="20"/>
  <c r="C39" i="20"/>
  <c r="T38" i="20"/>
  <c r="K38" i="20"/>
  <c r="C38" i="20"/>
  <c r="T37" i="20"/>
  <c r="K37" i="20"/>
  <c r="C37" i="20"/>
  <c r="T36" i="20"/>
  <c r="K36" i="20"/>
  <c r="C36" i="20"/>
  <c r="T35" i="20"/>
  <c r="K35" i="20"/>
  <c r="C35" i="20"/>
  <c r="T34" i="20"/>
  <c r="K34" i="20"/>
  <c r="C34" i="20"/>
  <c r="T33" i="20"/>
  <c r="K33" i="20"/>
  <c r="C33" i="20"/>
  <c r="T32" i="20"/>
  <c r="K32" i="20"/>
  <c r="C32" i="20"/>
  <c r="T31" i="20"/>
  <c r="K31" i="20"/>
  <c r="C31" i="20"/>
  <c r="T30" i="20"/>
  <c r="K30" i="20"/>
  <c r="C30" i="20"/>
  <c r="T29" i="20"/>
  <c r="K29" i="20"/>
  <c r="C29" i="20"/>
  <c r="T28" i="20"/>
  <c r="K28" i="20"/>
  <c r="C28" i="20"/>
  <c r="T27" i="20"/>
  <c r="K27" i="20"/>
  <c r="C27" i="20"/>
  <c r="T26" i="20"/>
  <c r="K26" i="20"/>
  <c r="C26" i="20"/>
  <c r="T25" i="20"/>
  <c r="K25" i="20"/>
  <c r="T24" i="20"/>
  <c r="K24" i="20"/>
  <c r="T23" i="20"/>
  <c r="K23" i="20"/>
  <c r="T22" i="20"/>
  <c r="K22" i="20"/>
  <c r="T21" i="20"/>
  <c r="K21" i="20"/>
  <c r="T20" i="20"/>
  <c r="K20" i="20"/>
  <c r="T19" i="20"/>
  <c r="K19" i="20"/>
  <c r="T18" i="20"/>
  <c r="K18" i="20"/>
  <c r="T17" i="20"/>
  <c r="K17" i="20"/>
  <c r="T16" i="20"/>
  <c r="K16" i="20"/>
  <c r="T15" i="20"/>
  <c r="K15" i="20"/>
  <c r="T14" i="20"/>
  <c r="K14" i="20"/>
  <c r="T13" i="20"/>
  <c r="K13" i="20"/>
  <c r="T12" i="20"/>
  <c r="K12" i="20"/>
  <c r="T11" i="20"/>
  <c r="K11" i="20"/>
  <c r="T10" i="20"/>
  <c r="K10" i="20"/>
  <c r="T9" i="20"/>
  <c r="K9" i="20"/>
  <c r="T8" i="20"/>
  <c r="K8" i="20"/>
  <c r="T7" i="20"/>
  <c r="K7" i="20"/>
  <c r="T6" i="20"/>
  <c r="K6" i="20"/>
  <c r="AT5" i="20"/>
  <c r="AT6" i="20" s="1"/>
  <c r="AT7" i="20" s="1"/>
  <c r="AT8" i="20" s="1"/>
  <c r="AT9" i="20" s="1"/>
  <c r="AT10" i="20" s="1"/>
  <c r="AT11" i="20" s="1"/>
  <c r="AT12" i="20" s="1"/>
  <c r="AT13" i="20" s="1"/>
  <c r="AT14" i="20" s="1"/>
  <c r="AT15" i="20" s="1"/>
  <c r="AT16" i="20" s="1"/>
  <c r="AT17" i="20" s="1"/>
  <c r="AT18" i="20" s="1"/>
  <c r="AT19" i="20" s="1"/>
  <c r="AT20" i="20" s="1"/>
  <c r="AT21" i="20" s="1"/>
  <c r="AT22" i="20" s="1"/>
  <c r="AT23" i="20" s="1"/>
  <c r="AT24" i="20" s="1"/>
  <c r="AT25" i="20" s="1"/>
  <c r="AT26" i="20" s="1"/>
  <c r="AT27" i="20" s="1"/>
  <c r="AT28" i="20" s="1"/>
  <c r="AT29" i="20" s="1"/>
  <c r="AT30" i="20" s="1"/>
  <c r="AT31" i="20" s="1"/>
  <c r="AT32" i="20" s="1"/>
  <c r="AT33" i="20" s="1"/>
  <c r="AT34" i="20" s="1"/>
  <c r="AT35" i="20" s="1"/>
  <c r="AT36" i="20" s="1"/>
  <c r="AT37" i="20" s="1"/>
  <c r="AT38" i="20" s="1"/>
  <c r="AT39" i="20" s="1"/>
  <c r="AT40" i="20" s="1"/>
  <c r="AT41" i="20" s="1"/>
  <c r="AT42" i="20" s="1"/>
  <c r="AT43" i="20" s="1"/>
  <c r="AT44" i="20" s="1"/>
  <c r="AT45" i="20" s="1"/>
  <c r="AT46" i="20" s="1"/>
  <c r="AT47" i="20" s="1"/>
  <c r="AT48" i="20" s="1"/>
  <c r="AT49" i="20" s="1"/>
  <c r="AT50" i="20" s="1"/>
  <c r="AT51" i="20" s="1"/>
  <c r="AT52" i="20" s="1"/>
  <c r="AT53" i="20" s="1"/>
  <c r="AT54" i="20" s="1"/>
  <c r="AT55" i="20" s="1"/>
  <c r="AT56" i="20" s="1"/>
  <c r="AT57" i="20" s="1"/>
  <c r="AT58" i="20" s="1"/>
  <c r="AT59" i="20" s="1"/>
  <c r="AT60" i="20" s="1"/>
  <c r="AT61" i="20" s="1"/>
  <c r="AT62" i="20" s="1"/>
  <c r="AT63" i="20" s="1"/>
  <c r="AT64" i="20" s="1"/>
  <c r="AT65" i="20" s="1"/>
  <c r="AT66" i="20" s="1"/>
  <c r="AT67" i="20" s="1"/>
  <c r="AT68" i="20" s="1"/>
  <c r="AT69" i="20" s="1"/>
  <c r="AT70" i="20" s="1"/>
  <c r="AT71" i="20" s="1"/>
  <c r="AT72" i="20" s="1"/>
  <c r="AT73" i="20" s="1"/>
  <c r="AT74" i="20" s="1"/>
  <c r="AT75" i="20" s="1"/>
  <c r="AT76" i="20" s="1"/>
  <c r="AT77" i="20" s="1"/>
  <c r="AT78" i="20" s="1"/>
  <c r="AT79" i="20" s="1"/>
  <c r="AT80" i="20" s="1"/>
  <c r="AT81" i="20" s="1"/>
  <c r="AT82" i="20" s="1"/>
  <c r="AT83" i="20" s="1"/>
  <c r="AT84" i="20" s="1"/>
  <c r="AT85" i="20" s="1"/>
  <c r="AT86" i="20" s="1"/>
  <c r="AT87" i="20" s="1"/>
  <c r="AT88" i="20" s="1"/>
  <c r="AT89" i="20" s="1"/>
  <c r="AT90" i="20" s="1"/>
  <c r="AT91" i="20" s="1"/>
  <c r="AT92" i="20" s="1"/>
  <c r="AT93" i="20" s="1"/>
  <c r="AT94" i="20" s="1"/>
  <c r="AT95" i="20" s="1"/>
  <c r="AT96" i="20" s="1"/>
  <c r="AT97" i="20" s="1"/>
  <c r="AT98" i="20" s="1"/>
  <c r="AT99" i="20" s="1"/>
  <c r="AT100" i="20" s="1"/>
  <c r="AT101" i="20" s="1"/>
  <c r="AT102" i="20" s="1"/>
  <c r="AT103" i="20" s="1"/>
  <c r="AT104" i="20" s="1"/>
  <c r="AT105" i="20" s="1"/>
  <c r="AT106" i="20" s="1"/>
  <c r="AT107" i="20" s="1"/>
  <c r="AT108" i="20" s="1"/>
  <c r="AT109" i="20" s="1"/>
  <c r="AT110" i="20" s="1"/>
  <c r="AT111" i="20" s="1"/>
  <c r="AT112" i="20" s="1"/>
  <c r="AT113" i="20" s="1"/>
  <c r="AT114" i="20" s="1"/>
  <c r="AT115" i="20" s="1"/>
  <c r="AT116" i="20" s="1"/>
  <c r="AT117" i="20" s="1"/>
  <c r="AT118" i="20" s="1"/>
  <c r="AT119" i="20" s="1"/>
  <c r="AT120" i="20" s="1"/>
  <c r="AT121" i="20" s="1"/>
  <c r="AT122" i="20" s="1"/>
  <c r="AT123" i="20" s="1"/>
  <c r="AT124" i="20" s="1"/>
  <c r="T5" i="20"/>
  <c r="M5" i="20"/>
  <c r="M4" i="20"/>
  <c r="J4" i="20"/>
  <c r="C144" i="19"/>
  <c r="C143" i="19"/>
  <c r="C142" i="19"/>
  <c r="C141" i="19"/>
  <c r="C140" i="19"/>
  <c r="C139" i="19"/>
  <c r="C138" i="19"/>
  <c r="C137" i="19"/>
  <c r="C136" i="19"/>
  <c r="C135" i="19"/>
  <c r="C134" i="19"/>
  <c r="AD133" i="19"/>
  <c r="C133" i="19"/>
  <c r="C132" i="19"/>
  <c r="AD131" i="19"/>
  <c r="C131" i="19"/>
  <c r="C130" i="19"/>
  <c r="C129" i="19"/>
  <c r="C128" i="19"/>
  <c r="C127" i="19"/>
  <c r="C126" i="19"/>
  <c r="C125" i="19"/>
  <c r="AV124" i="19"/>
  <c r="AU124" i="19"/>
  <c r="AN124" i="19"/>
  <c r="AK124" i="19"/>
  <c r="AI124" i="19"/>
  <c r="AH124" i="19"/>
  <c r="AG124" i="19"/>
  <c r="AE124" i="19"/>
  <c r="AC124" i="19"/>
  <c r="AB124" i="19"/>
  <c r="AA124" i="19"/>
  <c r="Z124" i="19"/>
  <c r="X124" i="19"/>
  <c r="W124" i="19"/>
  <c r="V124" i="19"/>
  <c r="U124" i="19"/>
  <c r="T124" i="19"/>
  <c r="Q124" i="19"/>
  <c r="P124" i="19"/>
  <c r="M124" i="19"/>
  <c r="L124" i="19"/>
  <c r="K124" i="19"/>
  <c r="C124" i="19"/>
  <c r="AV123" i="19"/>
  <c r="AU123" i="19"/>
  <c r="AN123" i="19"/>
  <c r="AK123" i="19"/>
  <c r="AI123" i="19"/>
  <c r="AH123" i="19"/>
  <c r="AG123" i="19"/>
  <c r="AE123" i="19"/>
  <c r="AC123" i="19"/>
  <c r="AB123" i="19"/>
  <c r="AA123" i="19"/>
  <c r="Z123" i="19"/>
  <c r="X123" i="19"/>
  <c r="W123" i="19"/>
  <c r="V123" i="19"/>
  <c r="U123" i="19"/>
  <c r="T123" i="19"/>
  <c r="Q123" i="19"/>
  <c r="P123" i="19"/>
  <c r="M123" i="19"/>
  <c r="L123" i="19"/>
  <c r="K123" i="19"/>
  <c r="C123" i="19"/>
  <c r="AV122" i="19"/>
  <c r="AU122" i="19"/>
  <c r="AN122" i="19"/>
  <c r="AK122" i="19"/>
  <c r="AI122" i="19"/>
  <c r="AH122" i="19"/>
  <c r="AG122" i="19"/>
  <c r="AE122" i="19"/>
  <c r="AC122" i="19"/>
  <c r="AB122" i="19"/>
  <c r="AA122" i="19"/>
  <c r="Z122" i="19"/>
  <c r="X122" i="19"/>
  <c r="W122" i="19"/>
  <c r="V122" i="19"/>
  <c r="U122" i="19"/>
  <c r="T122" i="19"/>
  <c r="Q122" i="19"/>
  <c r="P122" i="19"/>
  <c r="M122" i="19"/>
  <c r="L122" i="19"/>
  <c r="K122" i="19"/>
  <c r="C122" i="19"/>
  <c r="AV121" i="19"/>
  <c r="AU121" i="19"/>
  <c r="AN121" i="19"/>
  <c r="AK121" i="19"/>
  <c r="AI121" i="19"/>
  <c r="AH121" i="19"/>
  <c r="AG121" i="19"/>
  <c r="AE121" i="19"/>
  <c r="AC121" i="19"/>
  <c r="AB121" i="19"/>
  <c r="AA121" i="19"/>
  <c r="Z121" i="19"/>
  <c r="X121" i="19"/>
  <c r="W121" i="19"/>
  <c r="V121" i="19"/>
  <c r="U121" i="19"/>
  <c r="T121" i="19"/>
  <c r="Q121" i="19"/>
  <c r="P121" i="19"/>
  <c r="M121" i="19"/>
  <c r="L121" i="19"/>
  <c r="K121" i="19"/>
  <c r="C121" i="19"/>
  <c r="AV120" i="19"/>
  <c r="AU120" i="19"/>
  <c r="AN120" i="19"/>
  <c r="AK120" i="19"/>
  <c r="AI120" i="19"/>
  <c r="AH120" i="19"/>
  <c r="AG120" i="19"/>
  <c r="AE120" i="19"/>
  <c r="AC120" i="19"/>
  <c r="AB120" i="19"/>
  <c r="AA120" i="19"/>
  <c r="Z120" i="19"/>
  <c r="X120" i="19"/>
  <c r="W120" i="19"/>
  <c r="V120" i="19"/>
  <c r="U120" i="19"/>
  <c r="T120" i="19"/>
  <c r="Q120" i="19"/>
  <c r="P120" i="19"/>
  <c r="M120" i="19"/>
  <c r="L120" i="19"/>
  <c r="K120" i="19"/>
  <c r="C120" i="19"/>
  <c r="AV119" i="19"/>
  <c r="AU119" i="19"/>
  <c r="AN119" i="19"/>
  <c r="AK119" i="19"/>
  <c r="AI119" i="19"/>
  <c r="AH119" i="19"/>
  <c r="AG119" i="19"/>
  <c r="AE119" i="19"/>
  <c r="AC119" i="19"/>
  <c r="AB119" i="19"/>
  <c r="AA119" i="19"/>
  <c r="Z119" i="19"/>
  <c r="X119" i="19"/>
  <c r="W119" i="19"/>
  <c r="V119" i="19"/>
  <c r="U119" i="19"/>
  <c r="T119" i="19"/>
  <c r="Q119" i="19"/>
  <c r="P119" i="19"/>
  <c r="M119" i="19"/>
  <c r="L119" i="19"/>
  <c r="K119" i="19"/>
  <c r="C119" i="19"/>
  <c r="AV118" i="19"/>
  <c r="AU118" i="19"/>
  <c r="AN118" i="19"/>
  <c r="AK118" i="19"/>
  <c r="AI118" i="19"/>
  <c r="AH118" i="19"/>
  <c r="AG118" i="19"/>
  <c r="AE118" i="19"/>
  <c r="AC118" i="19"/>
  <c r="AB118" i="19"/>
  <c r="AA118" i="19"/>
  <c r="Z118" i="19"/>
  <c r="X118" i="19"/>
  <c r="W118" i="19"/>
  <c r="V118" i="19"/>
  <c r="U118" i="19"/>
  <c r="T118" i="19"/>
  <c r="Q118" i="19"/>
  <c r="P118" i="19"/>
  <c r="M118" i="19"/>
  <c r="L118" i="19"/>
  <c r="K118" i="19"/>
  <c r="C118" i="19"/>
  <c r="AV117" i="19"/>
  <c r="AU117" i="19"/>
  <c r="AN117" i="19"/>
  <c r="AK117" i="19"/>
  <c r="AI117" i="19"/>
  <c r="AH117" i="19"/>
  <c r="AG117" i="19"/>
  <c r="AE117" i="19"/>
  <c r="AC117" i="19"/>
  <c r="AB117" i="19"/>
  <c r="AA117" i="19"/>
  <c r="Z117" i="19"/>
  <c r="X117" i="19"/>
  <c r="W117" i="19"/>
  <c r="V117" i="19"/>
  <c r="U117" i="19"/>
  <c r="T117" i="19"/>
  <c r="Q117" i="19"/>
  <c r="P117" i="19"/>
  <c r="M117" i="19"/>
  <c r="L117" i="19"/>
  <c r="K117" i="19"/>
  <c r="C117" i="19"/>
  <c r="AV116" i="19"/>
  <c r="AU116" i="19"/>
  <c r="AN116" i="19"/>
  <c r="AK116" i="19"/>
  <c r="AI116" i="19"/>
  <c r="AH116" i="19"/>
  <c r="AG116" i="19"/>
  <c r="AE116" i="19"/>
  <c r="AC116" i="19"/>
  <c r="AB116" i="19"/>
  <c r="AA116" i="19"/>
  <c r="Z116" i="19"/>
  <c r="X116" i="19"/>
  <c r="W116" i="19"/>
  <c r="V116" i="19"/>
  <c r="U116" i="19"/>
  <c r="T116" i="19"/>
  <c r="Q116" i="19"/>
  <c r="P116" i="19"/>
  <c r="M116" i="19"/>
  <c r="L116" i="19"/>
  <c r="K116" i="19"/>
  <c r="C116" i="19"/>
  <c r="AV115" i="19"/>
  <c r="AU115" i="19"/>
  <c r="AN115" i="19"/>
  <c r="AK115" i="19"/>
  <c r="AI115" i="19"/>
  <c r="AH115" i="19"/>
  <c r="AG115" i="19"/>
  <c r="AE115" i="19"/>
  <c r="AC115" i="19"/>
  <c r="AB115" i="19"/>
  <c r="AA115" i="19"/>
  <c r="Z115" i="19"/>
  <c r="X115" i="19"/>
  <c r="W115" i="19"/>
  <c r="V115" i="19"/>
  <c r="U115" i="19"/>
  <c r="T115" i="19"/>
  <c r="Q115" i="19"/>
  <c r="P115" i="19"/>
  <c r="M115" i="19"/>
  <c r="L115" i="19"/>
  <c r="K115" i="19"/>
  <c r="C115" i="19"/>
  <c r="AV114" i="19"/>
  <c r="AU114" i="19"/>
  <c r="AN114" i="19"/>
  <c r="AK114" i="19"/>
  <c r="AI114" i="19"/>
  <c r="AH114" i="19"/>
  <c r="AG114" i="19"/>
  <c r="AE114" i="19"/>
  <c r="AC114" i="19"/>
  <c r="AB114" i="19"/>
  <c r="AA114" i="19"/>
  <c r="Z114" i="19"/>
  <c r="X114" i="19"/>
  <c r="W114" i="19"/>
  <c r="V114" i="19"/>
  <c r="U114" i="19"/>
  <c r="T114" i="19"/>
  <c r="Q114" i="19"/>
  <c r="P114" i="19"/>
  <c r="M114" i="19"/>
  <c r="L114" i="19"/>
  <c r="K114" i="19"/>
  <c r="C114" i="19"/>
  <c r="AV113" i="19"/>
  <c r="AU113" i="19"/>
  <c r="AN113" i="19"/>
  <c r="AK113" i="19"/>
  <c r="AI113" i="19"/>
  <c r="AH113" i="19"/>
  <c r="AG113" i="19"/>
  <c r="AE113" i="19"/>
  <c r="AC113" i="19"/>
  <c r="AB113" i="19"/>
  <c r="AA113" i="19"/>
  <c r="Z113" i="19"/>
  <c r="X113" i="19"/>
  <c r="W113" i="19"/>
  <c r="V113" i="19"/>
  <c r="U113" i="19"/>
  <c r="T113" i="19"/>
  <c r="Q113" i="19"/>
  <c r="P113" i="19"/>
  <c r="M113" i="19"/>
  <c r="L113" i="19"/>
  <c r="K113" i="19"/>
  <c r="C113" i="19"/>
  <c r="AV112" i="19"/>
  <c r="AU112" i="19"/>
  <c r="AN112" i="19"/>
  <c r="AK112" i="19"/>
  <c r="AI112" i="19"/>
  <c r="AH112" i="19"/>
  <c r="AG112" i="19"/>
  <c r="AE112" i="19"/>
  <c r="AC112" i="19"/>
  <c r="AB112" i="19"/>
  <c r="AA112" i="19"/>
  <c r="Z112" i="19"/>
  <c r="X112" i="19"/>
  <c r="W112" i="19"/>
  <c r="V112" i="19"/>
  <c r="U112" i="19"/>
  <c r="T112" i="19"/>
  <c r="Q112" i="19"/>
  <c r="P112" i="19"/>
  <c r="M112" i="19"/>
  <c r="L112" i="19"/>
  <c r="K112" i="19"/>
  <c r="C112" i="19"/>
  <c r="AV111" i="19"/>
  <c r="AU111" i="19"/>
  <c r="AN111" i="19"/>
  <c r="AK111" i="19"/>
  <c r="AI111" i="19"/>
  <c r="AH111" i="19"/>
  <c r="AG111" i="19"/>
  <c r="AE111" i="19"/>
  <c r="AC111" i="19"/>
  <c r="AB111" i="19"/>
  <c r="AA111" i="19"/>
  <c r="Z111" i="19"/>
  <c r="X111" i="19"/>
  <c r="W111" i="19"/>
  <c r="V111" i="19"/>
  <c r="U111" i="19"/>
  <c r="T111" i="19"/>
  <c r="Q111" i="19"/>
  <c r="P111" i="19"/>
  <c r="M111" i="19"/>
  <c r="L111" i="19"/>
  <c r="K111" i="19"/>
  <c r="C111" i="19"/>
  <c r="AV110" i="19"/>
  <c r="AU110" i="19"/>
  <c r="AN110" i="19"/>
  <c r="AK110" i="19"/>
  <c r="AI110" i="19"/>
  <c r="AH110" i="19"/>
  <c r="AG110" i="19"/>
  <c r="AE110" i="19"/>
  <c r="AC110" i="19"/>
  <c r="AB110" i="19"/>
  <c r="AA110" i="19"/>
  <c r="Z110" i="19"/>
  <c r="X110" i="19"/>
  <c r="W110" i="19"/>
  <c r="V110" i="19"/>
  <c r="U110" i="19"/>
  <c r="T110" i="19"/>
  <c r="Q110" i="19"/>
  <c r="P110" i="19"/>
  <c r="M110" i="19"/>
  <c r="L110" i="19"/>
  <c r="K110" i="19"/>
  <c r="C110" i="19"/>
  <c r="AV109" i="19"/>
  <c r="AU109" i="19"/>
  <c r="AN109" i="19"/>
  <c r="AK109" i="19"/>
  <c r="AI109" i="19"/>
  <c r="AH109" i="19"/>
  <c r="AG109" i="19"/>
  <c r="AE109" i="19"/>
  <c r="AC109" i="19"/>
  <c r="AB109" i="19"/>
  <c r="AA109" i="19"/>
  <c r="Z109" i="19"/>
  <c r="X109" i="19"/>
  <c r="W109" i="19"/>
  <c r="V109" i="19"/>
  <c r="U109" i="19"/>
  <c r="T109" i="19"/>
  <c r="Q109" i="19"/>
  <c r="P109" i="19"/>
  <c r="M109" i="19"/>
  <c r="L109" i="19"/>
  <c r="K109" i="19"/>
  <c r="C109" i="19"/>
  <c r="AV108" i="19"/>
  <c r="AU108" i="19"/>
  <c r="AN108" i="19"/>
  <c r="AK108" i="19"/>
  <c r="AI108" i="19"/>
  <c r="AH108" i="19"/>
  <c r="AG108" i="19"/>
  <c r="AE108" i="19"/>
  <c r="AC108" i="19"/>
  <c r="AB108" i="19"/>
  <c r="AA108" i="19"/>
  <c r="Z108" i="19"/>
  <c r="X108" i="19"/>
  <c r="W108" i="19"/>
  <c r="V108" i="19"/>
  <c r="U108" i="19"/>
  <c r="T108" i="19"/>
  <c r="Q108" i="19"/>
  <c r="P108" i="19"/>
  <c r="M108" i="19"/>
  <c r="L108" i="19"/>
  <c r="K108" i="19"/>
  <c r="C108" i="19"/>
  <c r="AV107" i="19"/>
  <c r="AU107" i="19"/>
  <c r="AN107" i="19"/>
  <c r="AK107" i="19"/>
  <c r="AI107" i="19"/>
  <c r="AH107" i="19"/>
  <c r="AG107" i="19"/>
  <c r="AE107" i="19"/>
  <c r="AC107" i="19"/>
  <c r="AB107" i="19"/>
  <c r="AA107" i="19"/>
  <c r="Z107" i="19"/>
  <c r="X107" i="19"/>
  <c r="W107" i="19"/>
  <c r="V107" i="19"/>
  <c r="U107" i="19"/>
  <c r="T107" i="19"/>
  <c r="Q107" i="19"/>
  <c r="P107" i="19"/>
  <c r="M107" i="19"/>
  <c r="L107" i="19"/>
  <c r="K107" i="19"/>
  <c r="C107" i="19"/>
  <c r="AV106" i="19"/>
  <c r="AU106" i="19"/>
  <c r="AN106" i="19"/>
  <c r="AK106" i="19"/>
  <c r="AI106" i="19"/>
  <c r="AH106" i="19"/>
  <c r="AG106" i="19"/>
  <c r="AE106" i="19"/>
  <c r="AC106" i="19"/>
  <c r="AB106" i="19"/>
  <c r="AA106" i="19"/>
  <c r="Z106" i="19"/>
  <c r="X106" i="19"/>
  <c r="W106" i="19"/>
  <c r="V106" i="19"/>
  <c r="U106" i="19"/>
  <c r="T106" i="19"/>
  <c r="Q106" i="19"/>
  <c r="P106" i="19"/>
  <c r="M106" i="19"/>
  <c r="L106" i="19"/>
  <c r="K106" i="19"/>
  <c r="C106" i="19"/>
  <c r="AV105" i="19"/>
  <c r="AU105" i="19"/>
  <c r="AN105" i="19"/>
  <c r="AK105" i="19"/>
  <c r="AI105" i="19"/>
  <c r="AH105" i="19"/>
  <c r="AG105" i="19"/>
  <c r="AE105" i="19"/>
  <c r="AC105" i="19"/>
  <c r="AB105" i="19"/>
  <c r="AA105" i="19"/>
  <c r="Z105" i="19"/>
  <c r="X105" i="19"/>
  <c r="W105" i="19"/>
  <c r="V105" i="19"/>
  <c r="U105" i="19"/>
  <c r="T105" i="19"/>
  <c r="Q105" i="19"/>
  <c r="P105" i="19"/>
  <c r="M105" i="19"/>
  <c r="L105" i="19"/>
  <c r="K105" i="19"/>
  <c r="C105" i="19"/>
  <c r="AV104" i="19"/>
  <c r="AU104" i="19"/>
  <c r="AN104" i="19"/>
  <c r="AK104" i="19"/>
  <c r="AI104" i="19"/>
  <c r="AH104" i="19"/>
  <c r="AG104" i="19"/>
  <c r="AE104" i="19"/>
  <c r="AC104" i="19"/>
  <c r="AB104" i="19"/>
  <c r="AA104" i="19"/>
  <c r="Z104" i="19"/>
  <c r="X104" i="19"/>
  <c r="W104" i="19"/>
  <c r="V104" i="19"/>
  <c r="U104" i="19"/>
  <c r="T104" i="19"/>
  <c r="Q104" i="19"/>
  <c r="P104" i="19"/>
  <c r="M104" i="19"/>
  <c r="L104" i="19"/>
  <c r="K104" i="19"/>
  <c r="C104" i="19"/>
  <c r="AV103" i="19"/>
  <c r="AU103" i="19"/>
  <c r="AN103" i="19"/>
  <c r="AK103" i="19"/>
  <c r="AI103" i="19"/>
  <c r="AH103" i="19"/>
  <c r="AG103" i="19"/>
  <c r="AE103" i="19"/>
  <c r="AC103" i="19"/>
  <c r="AB103" i="19"/>
  <c r="AA103" i="19"/>
  <c r="Z103" i="19"/>
  <c r="X103" i="19"/>
  <c r="W103" i="19"/>
  <c r="V103" i="19"/>
  <c r="U103" i="19"/>
  <c r="T103" i="19"/>
  <c r="Q103" i="19"/>
  <c r="P103" i="19"/>
  <c r="M103" i="19"/>
  <c r="L103" i="19"/>
  <c r="K103" i="19"/>
  <c r="C103" i="19"/>
  <c r="AV102" i="19"/>
  <c r="AU102" i="19"/>
  <c r="AN102" i="19"/>
  <c r="AK102" i="19"/>
  <c r="AI102" i="19"/>
  <c r="AH102" i="19"/>
  <c r="AG102" i="19"/>
  <c r="AE102" i="19"/>
  <c r="AC102" i="19"/>
  <c r="AB102" i="19"/>
  <c r="AA102" i="19"/>
  <c r="Z102" i="19"/>
  <c r="X102" i="19"/>
  <c r="W102" i="19"/>
  <c r="V102" i="19"/>
  <c r="U102" i="19"/>
  <c r="T102" i="19"/>
  <c r="Q102" i="19"/>
  <c r="P102" i="19"/>
  <c r="M102" i="19"/>
  <c r="L102" i="19"/>
  <c r="K102" i="19"/>
  <c r="C102" i="19"/>
  <c r="AV101" i="19"/>
  <c r="AU101" i="19"/>
  <c r="AN101" i="19"/>
  <c r="AK101" i="19"/>
  <c r="AI101" i="19"/>
  <c r="AH101" i="19"/>
  <c r="AG101" i="19"/>
  <c r="AE101" i="19"/>
  <c r="AC101" i="19"/>
  <c r="AB101" i="19"/>
  <c r="AA101" i="19"/>
  <c r="Z101" i="19"/>
  <c r="X101" i="19"/>
  <c r="W101" i="19"/>
  <c r="V101" i="19"/>
  <c r="U101" i="19"/>
  <c r="T101" i="19"/>
  <c r="Q101" i="19"/>
  <c r="P101" i="19"/>
  <c r="M101" i="19"/>
  <c r="L101" i="19"/>
  <c r="K101" i="19"/>
  <c r="C101" i="19"/>
  <c r="AV100" i="19"/>
  <c r="AU100" i="19"/>
  <c r="AN100" i="19"/>
  <c r="AK100" i="19"/>
  <c r="AI100" i="19"/>
  <c r="AH100" i="19"/>
  <c r="AG100" i="19"/>
  <c r="AE100" i="19"/>
  <c r="AC100" i="19"/>
  <c r="AB100" i="19"/>
  <c r="AA100" i="19"/>
  <c r="Z100" i="19"/>
  <c r="X100" i="19"/>
  <c r="W100" i="19"/>
  <c r="V100" i="19"/>
  <c r="U100" i="19"/>
  <c r="T100" i="19"/>
  <c r="Q100" i="19"/>
  <c r="P100" i="19"/>
  <c r="M100" i="19"/>
  <c r="L100" i="19"/>
  <c r="K100" i="19"/>
  <c r="C100" i="19"/>
  <c r="AV99" i="19"/>
  <c r="AU99" i="19"/>
  <c r="AN99" i="19"/>
  <c r="AK99" i="19"/>
  <c r="AI99" i="19"/>
  <c r="AH99" i="19"/>
  <c r="AG99" i="19"/>
  <c r="AE99" i="19"/>
  <c r="AC99" i="19"/>
  <c r="AB99" i="19"/>
  <c r="AA99" i="19"/>
  <c r="Z99" i="19"/>
  <c r="X99" i="19"/>
  <c r="W99" i="19"/>
  <c r="V99" i="19"/>
  <c r="U99" i="19"/>
  <c r="T99" i="19"/>
  <c r="Q99" i="19"/>
  <c r="P99" i="19"/>
  <c r="M99" i="19"/>
  <c r="L99" i="19"/>
  <c r="K99" i="19"/>
  <c r="C99" i="19"/>
  <c r="AV98" i="19"/>
  <c r="AU98" i="19"/>
  <c r="AN98" i="19"/>
  <c r="AK98" i="19"/>
  <c r="AI98" i="19"/>
  <c r="AH98" i="19"/>
  <c r="AG98" i="19"/>
  <c r="AE98" i="19"/>
  <c r="AC98" i="19"/>
  <c r="AB98" i="19"/>
  <c r="AA98" i="19"/>
  <c r="Z98" i="19"/>
  <c r="X98" i="19"/>
  <c r="W98" i="19"/>
  <c r="V98" i="19"/>
  <c r="U98" i="19"/>
  <c r="T98" i="19"/>
  <c r="Q98" i="19"/>
  <c r="P98" i="19"/>
  <c r="M98" i="19"/>
  <c r="L98" i="19"/>
  <c r="K98" i="19"/>
  <c r="C98" i="19"/>
  <c r="AV97" i="19"/>
  <c r="AU97" i="19"/>
  <c r="AN97" i="19"/>
  <c r="AK97" i="19"/>
  <c r="AI97" i="19"/>
  <c r="AH97" i="19"/>
  <c r="AG97" i="19"/>
  <c r="AE97" i="19"/>
  <c r="AC97" i="19"/>
  <c r="AB97" i="19"/>
  <c r="AA97" i="19"/>
  <c r="Z97" i="19"/>
  <c r="X97" i="19"/>
  <c r="W97" i="19"/>
  <c r="V97" i="19"/>
  <c r="U97" i="19"/>
  <c r="T97" i="19"/>
  <c r="Q97" i="19"/>
  <c r="P97" i="19"/>
  <c r="M97" i="19"/>
  <c r="L97" i="19"/>
  <c r="K97" i="19"/>
  <c r="C97" i="19"/>
  <c r="AV96" i="19"/>
  <c r="AU96" i="19"/>
  <c r="AN96" i="19"/>
  <c r="AK96" i="19"/>
  <c r="AI96" i="19"/>
  <c r="AH96" i="19"/>
  <c r="AG96" i="19"/>
  <c r="AE96" i="19"/>
  <c r="AC96" i="19"/>
  <c r="AB96" i="19"/>
  <c r="AA96" i="19"/>
  <c r="Z96" i="19"/>
  <c r="X96" i="19"/>
  <c r="W96" i="19"/>
  <c r="V96" i="19"/>
  <c r="U96" i="19"/>
  <c r="T96" i="19"/>
  <c r="Q96" i="19"/>
  <c r="P96" i="19"/>
  <c r="M96" i="19"/>
  <c r="L96" i="19"/>
  <c r="K96" i="19"/>
  <c r="C96" i="19"/>
  <c r="AV95" i="19"/>
  <c r="AU95" i="19"/>
  <c r="AN95" i="19"/>
  <c r="AK95" i="19"/>
  <c r="AI95" i="19"/>
  <c r="AH95" i="19"/>
  <c r="AG95" i="19"/>
  <c r="AE95" i="19"/>
  <c r="AC95" i="19"/>
  <c r="AB95" i="19"/>
  <c r="AA95" i="19"/>
  <c r="Z95" i="19"/>
  <c r="X95" i="19"/>
  <c r="W95" i="19"/>
  <c r="V95" i="19"/>
  <c r="U95" i="19"/>
  <c r="T95" i="19"/>
  <c r="Q95" i="19"/>
  <c r="P95" i="19"/>
  <c r="M95" i="19"/>
  <c r="L95" i="19"/>
  <c r="K95" i="19"/>
  <c r="C95" i="19"/>
  <c r="AV94" i="19"/>
  <c r="AU94" i="19"/>
  <c r="AN94" i="19"/>
  <c r="AK94" i="19"/>
  <c r="AI94" i="19"/>
  <c r="AH94" i="19"/>
  <c r="AG94" i="19"/>
  <c r="AE94" i="19"/>
  <c r="AC94" i="19"/>
  <c r="AB94" i="19"/>
  <c r="AA94" i="19"/>
  <c r="Z94" i="19"/>
  <c r="X94" i="19"/>
  <c r="W94" i="19"/>
  <c r="V94" i="19"/>
  <c r="U94" i="19"/>
  <c r="T94" i="19"/>
  <c r="Q94" i="19"/>
  <c r="P94" i="19"/>
  <c r="M94" i="19"/>
  <c r="L94" i="19"/>
  <c r="K94" i="19"/>
  <c r="C94" i="19"/>
  <c r="AV93" i="19"/>
  <c r="AU93" i="19"/>
  <c r="AN93" i="19"/>
  <c r="AK93" i="19"/>
  <c r="AI93" i="19"/>
  <c r="AH93" i="19"/>
  <c r="AG93" i="19"/>
  <c r="AE93" i="19"/>
  <c r="AC93" i="19"/>
  <c r="AB93" i="19"/>
  <c r="AA93" i="19"/>
  <c r="Z93" i="19"/>
  <c r="X93" i="19"/>
  <c r="W93" i="19"/>
  <c r="V93" i="19"/>
  <c r="U93" i="19"/>
  <c r="T93" i="19"/>
  <c r="Q93" i="19"/>
  <c r="P93" i="19"/>
  <c r="M93" i="19"/>
  <c r="L93" i="19"/>
  <c r="K93" i="19"/>
  <c r="C93" i="19"/>
  <c r="AV92" i="19"/>
  <c r="AU92" i="19"/>
  <c r="AN92" i="19"/>
  <c r="AK92" i="19"/>
  <c r="AI92" i="19"/>
  <c r="AH92" i="19"/>
  <c r="AG92" i="19"/>
  <c r="AE92" i="19"/>
  <c r="AC92" i="19"/>
  <c r="AB92" i="19"/>
  <c r="AA92" i="19"/>
  <c r="Z92" i="19"/>
  <c r="X92" i="19"/>
  <c r="W92" i="19"/>
  <c r="V92" i="19"/>
  <c r="U92" i="19"/>
  <c r="T92" i="19"/>
  <c r="Q92" i="19"/>
  <c r="P92" i="19"/>
  <c r="M92" i="19"/>
  <c r="L92" i="19"/>
  <c r="K92" i="19"/>
  <c r="C92" i="19"/>
  <c r="AV91" i="19"/>
  <c r="AU91" i="19"/>
  <c r="AN91" i="19"/>
  <c r="AK91" i="19"/>
  <c r="AI91" i="19"/>
  <c r="AH91" i="19"/>
  <c r="AG91" i="19"/>
  <c r="AE91" i="19"/>
  <c r="AC91" i="19"/>
  <c r="AB91" i="19"/>
  <c r="AA91" i="19"/>
  <c r="Z91" i="19"/>
  <c r="X91" i="19"/>
  <c r="W91" i="19"/>
  <c r="V91" i="19"/>
  <c r="U91" i="19"/>
  <c r="T91" i="19"/>
  <c r="Q91" i="19"/>
  <c r="P91" i="19"/>
  <c r="M91" i="19"/>
  <c r="L91" i="19"/>
  <c r="K91" i="19"/>
  <c r="C91" i="19"/>
  <c r="AV90" i="19"/>
  <c r="AU90" i="19"/>
  <c r="AN90" i="19"/>
  <c r="AK90" i="19"/>
  <c r="AI90" i="19"/>
  <c r="AH90" i="19"/>
  <c r="AG90" i="19"/>
  <c r="AE90" i="19"/>
  <c r="AC90" i="19"/>
  <c r="AB90" i="19"/>
  <c r="AA90" i="19"/>
  <c r="Z90" i="19"/>
  <c r="X90" i="19"/>
  <c r="W90" i="19"/>
  <c r="V90" i="19"/>
  <c r="U90" i="19"/>
  <c r="T90" i="19"/>
  <c r="Q90" i="19"/>
  <c r="P90" i="19"/>
  <c r="M90" i="19"/>
  <c r="L90" i="19"/>
  <c r="K90" i="19"/>
  <c r="C90" i="19"/>
  <c r="T89" i="19"/>
  <c r="K89" i="19"/>
  <c r="C89" i="19"/>
  <c r="T88" i="19"/>
  <c r="K88" i="19"/>
  <c r="C88" i="19"/>
  <c r="T87" i="19"/>
  <c r="K87" i="19"/>
  <c r="C87" i="19"/>
  <c r="T86" i="19"/>
  <c r="K86" i="19"/>
  <c r="C86" i="19"/>
  <c r="T85" i="19"/>
  <c r="K85" i="19"/>
  <c r="C85" i="19"/>
  <c r="T84" i="19"/>
  <c r="K84" i="19"/>
  <c r="C84" i="19"/>
  <c r="T83" i="19"/>
  <c r="K83" i="19"/>
  <c r="C83" i="19"/>
  <c r="T82" i="19"/>
  <c r="K82" i="19"/>
  <c r="C82" i="19"/>
  <c r="T81" i="19"/>
  <c r="K81" i="19"/>
  <c r="C81" i="19"/>
  <c r="T80" i="19"/>
  <c r="K80" i="19"/>
  <c r="C80" i="19"/>
  <c r="T79" i="19"/>
  <c r="K79" i="19"/>
  <c r="C79" i="19"/>
  <c r="T78" i="19"/>
  <c r="K78" i="19"/>
  <c r="C78" i="19"/>
  <c r="T77" i="19"/>
  <c r="K77" i="19"/>
  <c r="C77" i="19"/>
  <c r="T76" i="19"/>
  <c r="K76" i="19"/>
  <c r="C76" i="19"/>
  <c r="T75" i="19"/>
  <c r="K75" i="19"/>
  <c r="C75" i="19"/>
  <c r="T74" i="19"/>
  <c r="K74" i="19"/>
  <c r="C74" i="19"/>
  <c r="T73" i="19"/>
  <c r="K73" i="19"/>
  <c r="C73" i="19"/>
  <c r="T72" i="19"/>
  <c r="K72" i="19"/>
  <c r="C72" i="19"/>
  <c r="T71" i="19"/>
  <c r="K71" i="19"/>
  <c r="C71" i="19"/>
  <c r="T70" i="19"/>
  <c r="K70" i="19"/>
  <c r="C70" i="19"/>
  <c r="T69" i="19"/>
  <c r="K69" i="19"/>
  <c r="C69" i="19"/>
  <c r="T68" i="19"/>
  <c r="K68" i="19"/>
  <c r="C68" i="19"/>
  <c r="T67" i="19"/>
  <c r="K67" i="19"/>
  <c r="C67" i="19"/>
  <c r="T66" i="19"/>
  <c r="K66" i="19"/>
  <c r="C66" i="19"/>
  <c r="T65" i="19"/>
  <c r="K65" i="19"/>
  <c r="C65" i="19"/>
  <c r="T64" i="19"/>
  <c r="K64" i="19"/>
  <c r="C64" i="19"/>
  <c r="T63" i="19"/>
  <c r="K63" i="19"/>
  <c r="C63" i="19"/>
  <c r="T62" i="19"/>
  <c r="K62" i="19"/>
  <c r="C62" i="19"/>
  <c r="T61" i="19"/>
  <c r="K61" i="19"/>
  <c r="C61" i="19"/>
  <c r="T60" i="19"/>
  <c r="K60" i="19"/>
  <c r="C60" i="19"/>
  <c r="T59" i="19"/>
  <c r="K59" i="19"/>
  <c r="C59" i="19"/>
  <c r="T58" i="19"/>
  <c r="K58" i="19"/>
  <c r="C58" i="19"/>
  <c r="T57" i="19"/>
  <c r="K57" i="19"/>
  <c r="C57" i="19"/>
  <c r="T56" i="19"/>
  <c r="K56" i="19"/>
  <c r="C56" i="19"/>
  <c r="T55" i="19"/>
  <c r="K55" i="19"/>
  <c r="C55" i="19"/>
  <c r="T54" i="19"/>
  <c r="K54" i="19"/>
  <c r="C54" i="19"/>
  <c r="T53" i="19"/>
  <c r="K53" i="19"/>
  <c r="C53" i="19"/>
  <c r="T52" i="19"/>
  <c r="K52" i="19"/>
  <c r="C52" i="19"/>
  <c r="T51" i="19"/>
  <c r="K51" i="19"/>
  <c r="C51" i="19"/>
  <c r="T50" i="19"/>
  <c r="K50" i="19"/>
  <c r="C50" i="19"/>
  <c r="T49" i="19"/>
  <c r="K49" i="19"/>
  <c r="C49" i="19"/>
  <c r="T48" i="19"/>
  <c r="K48" i="19"/>
  <c r="C48" i="19"/>
  <c r="T47" i="19"/>
  <c r="K47" i="19"/>
  <c r="C47" i="19"/>
  <c r="T46" i="19"/>
  <c r="K46" i="19"/>
  <c r="C46" i="19"/>
  <c r="T45" i="19"/>
  <c r="K45" i="19"/>
  <c r="C45" i="19"/>
  <c r="T44" i="19"/>
  <c r="K44" i="19"/>
  <c r="C44" i="19"/>
  <c r="T43" i="19"/>
  <c r="K43" i="19"/>
  <c r="C43" i="19"/>
  <c r="T42" i="19"/>
  <c r="K42" i="19"/>
  <c r="C42" i="19"/>
  <c r="T41" i="19"/>
  <c r="K41" i="19"/>
  <c r="C41" i="19"/>
  <c r="T40" i="19"/>
  <c r="K40" i="19"/>
  <c r="C40" i="19"/>
  <c r="T39" i="19"/>
  <c r="K39" i="19"/>
  <c r="C39" i="19"/>
  <c r="T38" i="19"/>
  <c r="K38" i="19"/>
  <c r="C38" i="19"/>
  <c r="T37" i="19"/>
  <c r="K37" i="19"/>
  <c r="C37" i="19"/>
  <c r="T36" i="19"/>
  <c r="K36" i="19"/>
  <c r="C36" i="19"/>
  <c r="T35" i="19"/>
  <c r="K35" i="19"/>
  <c r="C35" i="19"/>
  <c r="T34" i="19"/>
  <c r="K34" i="19"/>
  <c r="C34" i="19"/>
  <c r="T33" i="19"/>
  <c r="K33" i="19"/>
  <c r="C33" i="19"/>
  <c r="T32" i="19"/>
  <c r="K32" i="19"/>
  <c r="C32" i="19"/>
  <c r="T31" i="19"/>
  <c r="K31" i="19"/>
  <c r="C31" i="19"/>
  <c r="T30" i="19"/>
  <c r="K30" i="19"/>
  <c r="C30" i="19"/>
  <c r="T29" i="19"/>
  <c r="K29" i="19"/>
  <c r="C29" i="19"/>
  <c r="T28" i="19"/>
  <c r="K28" i="19"/>
  <c r="C28" i="19"/>
  <c r="T27" i="19"/>
  <c r="K27" i="19"/>
  <c r="C27" i="19"/>
  <c r="T26" i="19"/>
  <c r="K26" i="19"/>
  <c r="C26" i="19"/>
  <c r="T25" i="19"/>
  <c r="K25" i="19"/>
  <c r="T24" i="19"/>
  <c r="K24" i="19"/>
  <c r="T23" i="19"/>
  <c r="K23" i="19"/>
  <c r="T22" i="19"/>
  <c r="K22" i="19"/>
  <c r="T21" i="19"/>
  <c r="K21" i="19"/>
  <c r="T20" i="19"/>
  <c r="K20" i="19"/>
  <c r="T19" i="19"/>
  <c r="K19" i="19"/>
  <c r="T18" i="19"/>
  <c r="K18" i="19"/>
  <c r="T17" i="19"/>
  <c r="K17" i="19"/>
  <c r="T16" i="19"/>
  <c r="K16" i="19"/>
  <c r="T15" i="19"/>
  <c r="K15" i="19"/>
  <c r="T14" i="19"/>
  <c r="K14" i="19"/>
  <c r="T13" i="19"/>
  <c r="K13" i="19"/>
  <c r="T12" i="19"/>
  <c r="K12" i="19"/>
  <c r="T11" i="19"/>
  <c r="K11" i="19"/>
  <c r="T10" i="19"/>
  <c r="K10" i="19"/>
  <c r="T9" i="19"/>
  <c r="K9" i="19"/>
  <c r="T8" i="19"/>
  <c r="K8" i="19"/>
  <c r="T7" i="19"/>
  <c r="K7" i="19"/>
  <c r="T6" i="19"/>
  <c r="K6" i="19"/>
  <c r="AT5" i="19"/>
  <c r="AT6" i="19" s="1"/>
  <c r="AT7" i="19" s="1"/>
  <c r="AT8" i="19" s="1"/>
  <c r="AT9" i="19" s="1"/>
  <c r="AT10" i="19" s="1"/>
  <c r="AT11" i="19" s="1"/>
  <c r="AT12" i="19" s="1"/>
  <c r="AT13" i="19" s="1"/>
  <c r="AT14" i="19" s="1"/>
  <c r="AT15" i="19" s="1"/>
  <c r="AT16" i="19" s="1"/>
  <c r="AT17" i="19" s="1"/>
  <c r="AT18" i="19" s="1"/>
  <c r="AT19" i="19" s="1"/>
  <c r="AT20" i="19" s="1"/>
  <c r="AT21" i="19" s="1"/>
  <c r="AT22" i="19" s="1"/>
  <c r="AT23" i="19" s="1"/>
  <c r="AT24" i="19" s="1"/>
  <c r="AT25" i="19" s="1"/>
  <c r="AT26" i="19" s="1"/>
  <c r="AT27" i="19" s="1"/>
  <c r="AT28" i="19" s="1"/>
  <c r="AT29" i="19" s="1"/>
  <c r="AT30" i="19" s="1"/>
  <c r="AT31" i="19" s="1"/>
  <c r="AT32" i="19" s="1"/>
  <c r="AT33" i="19" s="1"/>
  <c r="AT34" i="19" s="1"/>
  <c r="AT35" i="19" s="1"/>
  <c r="AT36" i="19" s="1"/>
  <c r="AT37" i="19" s="1"/>
  <c r="AT38" i="19" s="1"/>
  <c r="AT39" i="19" s="1"/>
  <c r="AT40" i="19" s="1"/>
  <c r="AT41" i="19" s="1"/>
  <c r="AT42" i="19" s="1"/>
  <c r="AT43" i="19" s="1"/>
  <c r="AT44" i="19" s="1"/>
  <c r="AT45" i="19" s="1"/>
  <c r="AT46" i="19" s="1"/>
  <c r="AT47" i="19" s="1"/>
  <c r="AT48" i="19" s="1"/>
  <c r="AT49" i="19" s="1"/>
  <c r="AT50" i="19" s="1"/>
  <c r="AT51" i="19" s="1"/>
  <c r="AT52" i="19" s="1"/>
  <c r="AT53" i="19" s="1"/>
  <c r="AT54" i="19" s="1"/>
  <c r="AT55" i="19" s="1"/>
  <c r="AT56" i="19" s="1"/>
  <c r="AT57" i="19" s="1"/>
  <c r="AT58" i="19" s="1"/>
  <c r="AT59" i="19" s="1"/>
  <c r="AT60" i="19" s="1"/>
  <c r="AT61" i="19" s="1"/>
  <c r="AT62" i="19" s="1"/>
  <c r="AT63" i="19" s="1"/>
  <c r="AT64" i="19" s="1"/>
  <c r="AT65" i="19" s="1"/>
  <c r="AT66" i="19" s="1"/>
  <c r="AT67" i="19" s="1"/>
  <c r="AT68" i="19" s="1"/>
  <c r="AT69" i="19" s="1"/>
  <c r="AT70" i="19" s="1"/>
  <c r="AT71" i="19" s="1"/>
  <c r="AT72" i="19" s="1"/>
  <c r="AT73" i="19" s="1"/>
  <c r="AT74" i="19" s="1"/>
  <c r="AT75" i="19" s="1"/>
  <c r="AT76" i="19" s="1"/>
  <c r="AT77" i="19" s="1"/>
  <c r="AT78" i="19" s="1"/>
  <c r="AT79" i="19" s="1"/>
  <c r="AT80" i="19" s="1"/>
  <c r="AT81" i="19" s="1"/>
  <c r="AT82" i="19" s="1"/>
  <c r="AT83" i="19" s="1"/>
  <c r="AT84" i="19" s="1"/>
  <c r="AT85" i="19" s="1"/>
  <c r="AT86" i="19" s="1"/>
  <c r="AT87" i="19" s="1"/>
  <c r="AT88" i="19" s="1"/>
  <c r="AT89" i="19" s="1"/>
  <c r="AT90" i="19" s="1"/>
  <c r="AT91" i="19" s="1"/>
  <c r="AT92" i="19" s="1"/>
  <c r="AT93" i="19" s="1"/>
  <c r="AT94" i="19" s="1"/>
  <c r="AT95" i="19" s="1"/>
  <c r="AT96" i="19" s="1"/>
  <c r="AT97" i="19" s="1"/>
  <c r="AT98" i="19" s="1"/>
  <c r="AT99" i="19" s="1"/>
  <c r="AT100" i="19" s="1"/>
  <c r="AT101" i="19" s="1"/>
  <c r="AT102" i="19" s="1"/>
  <c r="AT103" i="19" s="1"/>
  <c r="AT104" i="19" s="1"/>
  <c r="AT105" i="19" s="1"/>
  <c r="AT106" i="19" s="1"/>
  <c r="AT107" i="19" s="1"/>
  <c r="AT108" i="19" s="1"/>
  <c r="AT109" i="19" s="1"/>
  <c r="AT110" i="19" s="1"/>
  <c r="AT111" i="19" s="1"/>
  <c r="AT112" i="19" s="1"/>
  <c r="AT113" i="19" s="1"/>
  <c r="AT114" i="19" s="1"/>
  <c r="AT115" i="19" s="1"/>
  <c r="AT116" i="19" s="1"/>
  <c r="AT117" i="19" s="1"/>
  <c r="AT118" i="19" s="1"/>
  <c r="AT119" i="19" s="1"/>
  <c r="AT120" i="19" s="1"/>
  <c r="AT121" i="19" s="1"/>
  <c r="AT122" i="19" s="1"/>
  <c r="AT123" i="19" s="1"/>
  <c r="AT124" i="19" s="1"/>
  <c r="T5" i="19"/>
  <c r="M5" i="19"/>
  <c r="M4" i="19"/>
  <c r="J4" i="19"/>
  <c r="K4" i="19" s="1"/>
  <c r="C144" i="18"/>
  <c r="C143" i="18"/>
  <c r="C142" i="18"/>
  <c r="C141" i="18"/>
  <c r="C140" i="18"/>
  <c r="C139" i="18"/>
  <c r="C138" i="18"/>
  <c r="C137" i="18"/>
  <c r="C136" i="18"/>
  <c r="C135" i="18"/>
  <c r="C134" i="18"/>
  <c r="AD133" i="18"/>
  <c r="C133" i="18"/>
  <c r="C132" i="18"/>
  <c r="AD131" i="18"/>
  <c r="C131" i="18"/>
  <c r="C130" i="18"/>
  <c r="C129" i="18"/>
  <c r="C128" i="18"/>
  <c r="C127" i="18"/>
  <c r="C126" i="18"/>
  <c r="C125" i="18"/>
  <c r="T124" i="18"/>
  <c r="K124" i="18"/>
  <c r="C124" i="18"/>
  <c r="T123" i="18"/>
  <c r="K123" i="18"/>
  <c r="C123" i="18"/>
  <c r="T122" i="18"/>
  <c r="K122" i="18"/>
  <c r="C122" i="18"/>
  <c r="T121" i="18"/>
  <c r="K121" i="18"/>
  <c r="C121" i="18"/>
  <c r="T120" i="18"/>
  <c r="K120" i="18"/>
  <c r="C120" i="18"/>
  <c r="T119" i="18"/>
  <c r="K119" i="18"/>
  <c r="C119" i="18"/>
  <c r="T118" i="18"/>
  <c r="K118" i="18"/>
  <c r="C118" i="18"/>
  <c r="T117" i="18"/>
  <c r="K117" i="18"/>
  <c r="C117" i="18"/>
  <c r="T116" i="18"/>
  <c r="K116" i="18"/>
  <c r="C116" i="18"/>
  <c r="T115" i="18"/>
  <c r="K115" i="18"/>
  <c r="C115" i="18"/>
  <c r="T114" i="18"/>
  <c r="K114" i="18"/>
  <c r="C114" i="18"/>
  <c r="T113" i="18"/>
  <c r="K113" i="18"/>
  <c r="C113" i="18"/>
  <c r="T112" i="18"/>
  <c r="K112" i="18"/>
  <c r="C112" i="18"/>
  <c r="T111" i="18"/>
  <c r="K111" i="18"/>
  <c r="C111" i="18"/>
  <c r="T110" i="18"/>
  <c r="K110" i="18"/>
  <c r="C110" i="18"/>
  <c r="T109" i="18"/>
  <c r="K109" i="18"/>
  <c r="C109" i="18"/>
  <c r="T108" i="18"/>
  <c r="K108" i="18"/>
  <c r="C108" i="18"/>
  <c r="T107" i="18"/>
  <c r="K107" i="18"/>
  <c r="C107" i="18"/>
  <c r="T106" i="18"/>
  <c r="K106" i="18"/>
  <c r="C106" i="18"/>
  <c r="T105" i="18"/>
  <c r="K105" i="18"/>
  <c r="C105" i="18"/>
  <c r="T104" i="18"/>
  <c r="K104" i="18"/>
  <c r="C104" i="18"/>
  <c r="T103" i="18"/>
  <c r="K103" i="18"/>
  <c r="C103" i="18"/>
  <c r="T102" i="18"/>
  <c r="K102" i="18"/>
  <c r="C102" i="18"/>
  <c r="T101" i="18"/>
  <c r="K101" i="18"/>
  <c r="C101" i="18"/>
  <c r="T100" i="18"/>
  <c r="K100" i="18"/>
  <c r="C100" i="18"/>
  <c r="T99" i="18"/>
  <c r="K99" i="18"/>
  <c r="C99" i="18"/>
  <c r="T98" i="18"/>
  <c r="K98" i="18"/>
  <c r="C98" i="18"/>
  <c r="T97" i="18"/>
  <c r="K97" i="18"/>
  <c r="C97" i="18"/>
  <c r="T96" i="18"/>
  <c r="K96" i="18"/>
  <c r="C96" i="18"/>
  <c r="T95" i="18"/>
  <c r="K95" i="18"/>
  <c r="C95" i="18"/>
  <c r="T94" i="18"/>
  <c r="K94" i="18"/>
  <c r="C94" i="18"/>
  <c r="T93" i="18"/>
  <c r="K93" i="18"/>
  <c r="C93" i="18"/>
  <c r="T92" i="18"/>
  <c r="K92" i="18"/>
  <c r="C92" i="18"/>
  <c r="T91" i="18"/>
  <c r="K91" i="18"/>
  <c r="C91" i="18"/>
  <c r="T90" i="18"/>
  <c r="K90" i="18"/>
  <c r="C90" i="18"/>
  <c r="T89" i="18"/>
  <c r="K89" i="18"/>
  <c r="C89" i="18"/>
  <c r="T88" i="18"/>
  <c r="K88" i="18"/>
  <c r="C88" i="18"/>
  <c r="T87" i="18"/>
  <c r="K87" i="18"/>
  <c r="C87" i="18"/>
  <c r="T86" i="18"/>
  <c r="K86" i="18"/>
  <c r="C86" i="18"/>
  <c r="T85" i="18"/>
  <c r="K85" i="18"/>
  <c r="C85" i="18"/>
  <c r="T84" i="18"/>
  <c r="K84" i="18"/>
  <c r="C84" i="18"/>
  <c r="T83" i="18"/>
  <c r="K83" i="18"/>
  <c r="C83" i="18"/>
  <c r="T82" i="18"/>
  <c r="K82" i="18"/>
  <c r="C82" i="18"/>
  <c r="T81" i="18"/>
  <c r="K81" i="18"/>
  <c r="C81" i="18"/>
  <c r="T80" i="18"/>
  <c r="K80" i="18"/>
  <c r="C80" i="18"/>
  <c r="T79" i="18"/>
  <c r="K79" i="18"/>
  <c r="C79" i="18"/>
  <c r="T78" i="18"/>
  <c r="K78" i="18"/>
  <c r="C78" i="18"/>
  <c r="T77" i="18"/>
  <c r="K77" i="18"/>
  <c r="C77" i="18"/>
  <c r="T76" i="18"/>
  <c r="K76" i="18"/>
  <c r="C76" i="18"/>
  <c r="T75" i="18"/>
  <c r="K75" i="18"/>
  <c r="C75" i="18"/>
  <c r="T74" i="18"/>
  <c r="K74" i="18"/>
  <c r="C74" i="18"/>
  <c r="T73" i="18"/>
  <c r="K73" i="18"/>
  <c r="C73" i="18"/>
  <c r="T72" i="18"/>
  <c r="K72" i="18"/>
  <c r="C72" i="18"/>
  <c r="T71" i="18"/>
  <c r="K71" i="18"/>
  <c r="C71" i="18"/>
  <c r="T70" i="18"/>
  <c r="K70" i="18"/>
  <c r="C70" i="18"/>
  <c r="T69" i="18"/>
  <c r="K69" i="18"/>
  <c r="C69" i="18"/>
  <c r="T68" i="18"/>
  <c r="K68" i="18"/>
  <c r="C68" i="18"/>
  <c r="T67" i="18"/>
  <c r="K67" i="18"/>
  <c r="C67" i="18"/>
  <c r="T66" i="18"/>
  <c r="K66" i="18"/>
  <c r="C66" i="18"/>
  <c r="T65" i="18"/>
  <c r="K65" i="18"/>
  <c r="C65" i="18"/>
  <c r="T64" i="18"/>
  <c r="K64" i="18"/>
  <c r="C64" i="18"/>
  <c r="T63" i="18"/>
  <c r="K63" i="18"/>
  <c r="C63" i="18"/>
  <c r="T62" i="18"/>
  <c r="K62" i="18"/>
  <c r="C62" i="18"/>
  <c r="T61" i="18"/>
  <c r="K61" i="18"/>
  <c r="C61" i="18"/>
  <c r="T60" i="18"/>
  <c r="K60" i="18"/>
  <c r="C60" i="18"/>
  <c r="T59" i="18"/>
  <c r="K59" i="18"/>
  <c r="C59" i="18"/>
  <c r="T58" i="18"/>
  <c r="K58" i="18"/>
  <c r="C58" i="18"/>
  <c r="T57" i="18"/>
  <c r="K57" i="18"/>
  <c r="C57" i="18"/>
  <c r="T56" i="18"/>
  <c r="K56" i="18"/>
  <c r="C56" i="18"/>
  <c r="T55" i="18"/>
  <c r="K55" i="18"/>
  <c r="C55" i="18"/>
  <c r="T54" i="18"/>
  <c r="K54" i="18"/>
  <c r="C54" i="18"/>
  <c r="T53" i="18"/>
  <c r="K53" i="18"/>
  <c r="C53" i="18"/>
  <c r="T52" i="18"/>
  <c r="K52" i="18"/>
  <c r="C52" i="18"/>
  <c r="T51" i="18"/>
  <c r="K51" i="18"/>
  <c r="C51" i="18"/>
  <c r="T50" i="18"/>
  <c r="K50" i="18"/>
  <c r="C50" i="18"/>
  <c r="T49" i="18"/>
  <c r="K49" i="18"/>
  <c r="C49" i="18"/>
  <c r="T48" i="18"/>
  <c r="K48" i="18"/>
  <c r="C48" i="18"/>
  <c r="T47" i="18"/>
  <c r="K47" i="18"/>
  <c r="C47" i="18"/>
  <c r="T46" i="18"/>
  <c r="K46" i="18"/>
  <c r="C46" i="18"/>
  <c r="T45" i="18"/>
  <c r="K45" i="18"/>
  <c r="C45" i="18"/>
  <c r="T44" i="18"/>
  <c r="K44" i="18"/>
  <c r="C44" i="18"/>
  <c r="T43" i="18"/>
  <c r="K43" i="18"/>
  <c r="C43" i="18"/>
  <c r="T42" i="18"/>
  <c r="K42" i="18"/>
  <c r="C42" i="18"/>
  <c r="T41" i="18"/>
  <c r="K41" i="18"/>
  <c r="C41" i="18"/>
  <c r="T40" i="18"/>
  <c r="K40" i="18"/>
  <c r="C40" i="18"/>
  <c r="T39" i="18"/>
  <c r="K39" i="18"/>
  <c r="C39" i="18"/>
  <c r="T38" i="18"/>
  <c r="K38" i="18"/>
  <c r="C38" i="18"/>
  <c r="T37" i="18"/>
  <c r="K37" i="18"/>
  <c r="C37" i="18"/>
  <c r="T36" i="18"/>
  <c r="K36" i="18"/>
  <c r="C36" i="18"/>
  <c r="T35" i="18"/>
  <c r="K35" i="18"/>
  <c r="C35" i="18"/>
  <c r="T34" i="18"/>
  <c r="K34" i="18"/>
  <c r="C34" i="18"/>
  <c r="T33" i="18"/>
  <c r="K33" i="18"/>
  <c r="C33" i="18"/>
  <c r="T32" i="18"/>
  <c r="K32" i="18"/>
  <c r="C32" i="18"/>
  <c r="T31" i="18"/>
  <c r="K31" i="18"/>
  <c r="C31" i="18"/>
  <c r="T30" i="18"/>
  <c r="K30" i="18"/>
  <c r="C30" i="18"/>
  <c r="T29" i="18"/>
  <c r="K29" i="18"/>
  <c r="C29" i="18"/>
  <c r="T28" i="18"/>
  <c r="K28" i="18"/>
  <c r="C28" i="18"/>
  <c r="T27" i="18"/>
  <c r="K27" i="18"/>
  <c r="C27" i="18"/>
  <c r="T26" i="18"/>
  <c r="K26" i="18"/>
  <c r="C26" i="18"/>
  <c r="T25" i="18"/>
  <c r="K25" i="18"/>
  <c r="T24" i="18"/>
  <c r="K24" i="18"/>
  <c r="T23" i="18"/>
  <c r="K23" i="18"/>
  <c r="T22" i="18"/>
  <c r="K22" i="18"/>
  <c r="T21" i="18"/>
  <c r="K21" i="18"/>
  <c r="T20" i="18"/>
  <c r="K20" i="18"/>
  <c r="T19" i="18"/>
  <c r="K19" i="18"/>
  <c r="T18" i="18"/>
  <c r="K18" i="18"/>
  <c r="T17" i="18"/>
  <c r="K17" i="18"/>
  <c r="T16" i="18"/>
  <c r="K16" i="18"/>
  <c r="T15" i="18"/>
  <c r="K15" i="18"/>
  <c r="T14" i="18"/>
  <c r="K14" i="18"/>
  <c r="T13" i="18"/>
  <c r="K13" i="18"/>
  <c r="T12" i="18"/>
  <c r="K12" i="18"/>
  <c r="T11" i="18"/>
  <c r="K11" i="18"/>
  <c r="T10" i="18"/>
  <c r="K10" i="18"/>
  <c r="T9" i="18"/>
  <c r="K9" i="18"/>
  <c r="T8" i="18"/>
  <c r="K8" i="18"/>
  <c r="T7" i="18"/>
  <c r="K7" i="18"/>
  <c r="T6" i="18"/>
  <c r="K6" i="18"/>
  <c r="AT5" i="18"/>
  <c r="AT6" i="18" s="1"/>
  <c r="AT7" i="18" s="1"/>
  <c r="AT8" i="18" s="1"/>
  <c r="AT9" i="18" s="1"/>
  <c r="AT10" i="18" s="1"/>
  <c r="AT11" i="18" s="1"/>
  <c r="AT12" i="18" s="1"/>
  <c r="AT13" i="18" s="1"/>
  <c r="AT14" i="18" s="1"/>
  <c r="AT15" i="18" s="1"/>
  <c r="AT16" i="18" s="1"/>
  <c r="AT17" i="18" s="1"/>
  <c r="AT18" i="18" s="1"/>
  <c r="AT19" i="18" s="1"/>
  <c r="AT20" i="18" s="1"/>
  <c r="AT21" i="18" s="1"/>
  <c r="AT22" i="18" s="1"/>
  <c r="AT23" i="18" s="1"/>
  <c r="AT24" i="18" s="1"/>
  <c r="AT25" i="18" s="1"/>
  <c r="AT26" i="18" s="1"/>
  <c r="AT27" i="18" s="1"/>
  <c r="AT28" i="18" s="1"/>
  <c r="AT29" i="18" s="1"/>
  <c r="AT30" i="18" s="1"/>
  <c r="AT31" i="18" s="1"/>
  <c r="AT32" i="18" s="1"/>
  <c r="AT33" i="18" s="1"/>
  <c r="AT34" i="18" s="1"/>
  <c r="AT35" i="18" s="1"/>
  <c r="AT36" i="18" s="1"/>
  <c r="AT37" i="18" s="1"/>
  <c r="AT38" i="18" s="1"/>
  <c r="AT39" i="18" s="1"/>
  <c r="AT40" i="18" s="1"/>
  <c r="AT41" i="18" s="1"/>
  <c r="AT42" i="18" s="1"/>
  <c r="AT43" i="18" s="1"/>
  <c r="AT44" i="18" s="1"/>
  <c r="AT45" i="18" s="1"/>
  <c r="AT46" i="18" s="1"/>
  <c r="AT47" i="18" s="1"/>
  <c r="AT48" i="18" s="1"/>
  <c r="AT49" i="18" s="1"/>
  <c r="AT50" i="18" s="1"/>
  <c r="AT51" i="18" s="1"/>
  <c r="AT52" i="18" s="1"/>
  <c r="AT53" i="18" s="1"/>
  <c r="AT54" i="18" s="1"/>
  <c r="AT55" i="18" s="1"/>
  <c r="AT56" i="18" s="1"/>
  <c r="AT57" i="18" s="1"/>
  <c r="AT58" i="18" s="1"/>
  <c r="AT59" i="18" s="1"/>
  <c r="AT60" i="18" s="1"/>
  <c r="AT61" i="18" s="1"/>
  <c r="AT62" i="18" s="1"/>
  <c r="AT63" i="18" s="1"/>
  <c r="AT64" i="18" s="1"/>
  <c r="AT65" i="18" s="1"/>
  <c r="AT66" i="18" s="1"/>
  <c r="AT67" i="18" s="1"/>
  <c r="AT68" i="18" s="1"/>
  <c r="AT69" i="18" s="1"/>
  <c r="AT70" i="18" s="1"/>
  <c r="AT71" i="18" s="1"/>
  <c r="AT72" i="18" s="1"/>
  <c r="AT73" i="18" s="1"/>
  <c r="AT74" i="18" s="1"/>
  <c r="AT75" i="18" s="1"/>
  <c r="AT76" i="18" s="1"/>
  <c r="AT77" i="18" s="1"/>
  <c r="AT78" i="18" s="1"/>
  <c r="AT79" i="18" s="1"/>
  <c r="AT80" i="18" s="1"/>
  <c r="AT81" i="18" s="1"/>
  <c r="AT82" i="18" s="1"/>
  <c r="AT83" i="18" s="1"/>
  <c r="AT84" i="18" s="1"/>
  <c r="AT85" i="18" s="1"/>
  <c r="AT86" i="18" s="1"/>
  <c r="AT87" i="18" s="1"/>
  <c r="AT88" i="18" s="1"/>
  <c r="AT89" i="18" s="1"/>
  <c r="AT90" i="18" s="1"/>
  <c r="AT91" i="18" s="1"/>
  <c r="AT92" i="18" s="1"/>
  <c r="AT93" i="18" s="1"/>
  <c r="AT94" i="18" s="1"/>
  <c r="AT95" i="18" s="1"/>
  <c r="AT96" i="18" s="1"/>
  <c r="AT97" i="18" s="1"/>
  <c r="AT98" i="18" s="1"/>
  <c r="AT99" i="18" s="1"/>
  <c r="AT100" i="18" s="1"/>
  <c r="AT101" i="18" s="1"/>
  <c r="AT102" i="18" s="1"/>
  <c r="AT103" i="18" s="1"/>
  <c r="AT104" i="18" s="1"/>
  <c r="AT105" i="18" s="1"/>
  <c r="AT106" i="18" s="1"/>
  <c r="AT107" i="18" s="1"/>
  <c r="AT108" i="18" s="1"/>
  <c r="AT109" i="18" s="1"/>
  <c r="AT110" i="18" s="1"/>
  <c r="AT111" i="18" s="1"/>
  <c r="AT112" i="18" s="1"/>
  <c r="AT113" i="18" s="1"/>
  <c r="AT114" i="18" s="1"/>
  <c r="AT115" i="18" s="1"/>
  <c r="AT116" i="18" s="1"/>
  <c r="AT117" i="18" s="1"/>
  <c r="AT118" i="18" s="1"/>
  <c r="AT119" i="18" s="1"/>
  <c r="AT120" i="18" s="1"/>
  <c r="AT121" i="18" s="1"/>
  <c r="AT122" i="18" s="1"/>
  <c r="AT123" i="18" s="1"/>
  <c r="AT124" i="18" s="1"/>
  <c r="T5" i="18"/>
  <c r="M5" i="18"/>
  <c r="M4" i="18"/>
  <c r="J4" i="18"/>
  <c r="K4" i="18" s="1"/>
  <c r="J4" i="16"/>
  <c r="L4" i="16" s="1"/>
  <c r="L4" i="11"/>
  <c r="AK61" i="24" l="1"/>
  <c r="X62" i="26"/>
  <c r="AB62" i="26" s="1"/>
  <c r="Z63" i="26" s="1"/>
  <c r="AM61" i="26"/>
  <c r="AO61" i="26" s="1"/>
  <c r="L4" i="20"/>
  <c r="K4" i="20"/>
  <c r="X61" i="25"/>
  <c r="AB61" i="25" s="1"/>
  <c r="AI61" i="25"/>
  <c r="AO60" i="25"/>
  <c r="AN61" i="24"/>
  <c r="AJ61" i="24"/>
  <c r="W62" i="24"/>
  <c r="AB62" i="23"/>
  <c r="Z63" i="23" s="1"/>
  <c r="AG62" i="23"/>
  <c r="AI62" i="23"/>
  <c r="AC62" i="23"/>
  <c r="AA63" i="23" s="1"/>
  <c r="AE62" i="23"/>
  <c r="AL62" i="23" s="1"/>
  <c r="U63" i="23"/>
  <c r="V63" i="23" s="1"/>
  <c r="AH63" i="23" s="1"/>
  <c r="AO61" i="23"/>
  <c r="S83" i="20"/>
  <c r="S75" i="20"/>
  <c r="S67" i="20"/>
  <c r="S82" i="20"/>
  <c r="S74" i="20"/>
  <c r="S66" i="20"/>
  <c r="S89" i="20"/>
  <c r="S81" i="20"/>
  <c r="S73" i="20"/>
  <c r="S65" i="20"/>
  <c r="S88" i="20"/>
  <c r="S80" i="20"/>
  <c r="S72" i="20"/>
  <c r="S64" i="20"/>
  <c r="S87" i="20"/>
  <c r="S79" i="20"/>
  <c r="S71" i="20"/>
  <c r="S63" i="20"/>
  <c r="S86" i="20"/>
  <c r="S78" i="20"/>
  <c r="S70" i="20"/>
  <c r="S62" i="20"/>
  <c r="S85" i="20"/>
  <c r="S77" i="20"/>
  <c r="S69" i="20"/>
  <c r="S61" i="20"/>
  <c r="S84" i="20"/>
  <c r="S76" i="20"/>
  <c r="S68" i="20"/>
  <c r="S60" i="20"/>
  <c r="I4" i="20"/>
  <c r="S17" i="20"/>
  <c r="S53" i="20"/>
  <c r="S45" i="20"/>
  <c r="S37" i="20"/>
  <c r="S29" i="20"/>
  <c r="S21" i="20"/>
  <c r="S12" i="20"/>
  <c r="S36" i="20"/>
  <c r="S28" i="20"/>
  <c r="S11" i="20"/>
  <c r="S59" i="20"/>
  <c r="S51" i="20"/>
  <c r="S43" i="20"/>
  <c r="S35" i="20"/>
  <c r="S27" i="20"/>
  <c r="S19" i="20"/>
  <c r="S10" i="20"/>
  <c r="S39" i="20"/>
  <c r="S23" i="20"/>
  <c r="S58" i="20"/>
  <c r="S50" i="20"/>
  <c r="S42" i="20"/>
  <c r="S34" i="20"/>
  <c r="S26" i="20"/>
  <c r="S18" i="20"/>
  <c r="S9" i="20"/>
  <c r="S57" i="20"/>
  <c r="S49" i="20"/>
  <c r="S41" i="20"/>
  <c r="S33" i="20"/>
  <c r="S25" i="20"/>
  <c r="S16" i="20"/>
  <c r="S8" i="20"/>
  <c r="S47" i="20"/>
  <c r="S56" i="20"/>
  <c r="S48" i="20"/>
  <c r="S40" i="20"/>
  <c r="S32" i="20"/>
  <c r="S24" i="20"/>
  <c r="S15" i="20"/>
  <c r="S7" i="20"/>
  <c r="S55" i="20"/>
  <c r="S31" i="20"/>
  <c r="S14" i="20"/>
  <c r="S6" i="20"/>
  <c r="S54" i="20"/>
  <c r="S46" i="20"/>
  <c r="S38" i="20"/>
  <c r="S30" i="20"/>
  <c r="S22" i="20"/>
  <c r="S13" i="20"/>
  <c r="S5" i="20"/>
  <c r="S52" i="20"/>
  <c r="S44" i="20"/>
  <c r="S20" i="20"/>
  <c r="S84" i="19"/>
  <c r="S76" i="19"/>
  <c r="S68" i="19"/>
  <c r="S60" i="19"/>
  <c r="S83" i="19"/>
  <c r="S75" i="19"/>
  <c r="S67" i="19"/>
  <c r="S82" i="19"/>
  <c r="S74" i="19"/>
  <c r="S66" i="19"/>
  <c r="S89" i="19"/>
  <c r="S81" i="19"/>
  <c r="S73" i="19"/>
  <c r="S65" i="19"/>
  <c r="S88" i="19"/>
  <c r="S80" i="19"/>
  <c r="S72" i="19"/>
  <c r="S64" i="19"/>
  <c r="S87" i="19"/>
  <c r="S79" i="19"/>
  <c r="S71" i="19"/>
  <c r="S63" i="19"/>
  <c r="S86" i="19"/>
  <c r="S78" i="19"/>
  <c r="S70" i="19"/>
  <c r="S62" i="19"/>
  <c r="S85" i="19"/>
  <c r="S77" i="19"/>
  <c r="S69" i="19"/>
  <c r="S61" i="19"/>
  <c r="I4" i="19"/>
  <c r="S54" i="19"/>
  <c r="S46" i="19"/>
  <c r="S38" i="19"/>
  <c r="S30" i="19"/>
  <c r="S22" i="19"/>
  <c r="S13" i="19"/>
  <c r="S5" i="19"/>
  <c r="S47" i="19"/>
  <c r="S19" i="19"/>
  <c r="S53" i="19"/>
  <c r="S45" i="19"/>
  <c r="S37" i="19"/>
  <c r="S29" i="19"/>
  <c r="S21" i="19"/>
  <c r="S12" i="19"/>
  <c r="S52" i="19"/>
  <c r="S44" i="19"/>
  <c r="S36" i="19"/>
  <c r="S28" i="19"/>
  <c r="S20" i="19"/>
  <c r="S11" i="19"/>
  <c r="S31" i="19"/>
  <c r="S14" i="19"/>
  <c r="S59" i="19"/>
  <c r="S51" i="19"/>
  <c r="S43" i="19"/>
  <c r="S35" i="19"/>
  <c r="S27" i="19"/>
  <c r="S18" i="19"/>
  <c r="S10" i="19"/>
  <c r="S58" i="19"/>
  <c r="S50" i="19"/>
  <c r="S42" i="19"/>
  <c r="S34" i="19"/>
  <c r="S26" i="19"/>
  <c r="S17" i="19"/>
  <c r="S9" i="19"/>
  <c r="S39" i="19"/>
  <c r="S57" i="19"/>
  <c r="S49" i="19"/>
  <c r="S41" i="19"/>
  <c r="S33" i="19"/>
  <c r="S25" i="19"/>
  <c r="S16" i="19"/>
  <c r="S8" i="19"/>
  <c r="S56" i="19"/>
  <c r="S48" i="19"/>
  <c r="S40" i="19"/>
  <c r="S32" i="19"/>
  <c r="S24" i="19"/>
  <c r="S15" i="19"/>
  <c r="S7" i="19"/>
  <c r="S55" i="19"/>
  <c r="S23" i="19"/>
  <c r="S6" i="19"/>
  <c r="S85" i="16"/>
  <c r="S77" i="16"/>
  <c r="S69" i="16"/>
  <c r="S61" i="16"/>
  <c r="S84" i="16"/>
  <c r="S76" i="16"/>
  <c r="S68" i="16"/>
  <c r="S60" i="16"/>
  <c r="S83" i="16"/>
  <c r="S75" i="16"/>
  <c r="S67" i="16"/>
  <c r="S82" i="16"/>
  <c r="S74" i="16"/>
  <c r="S66" i="16"/>
  <c r="S89" i="16"/>
  <c r="S81" i="16"/>
  <c r="S73" i="16"/>
  <c r="S65" i="16"/>
  <c r="S88" i="16"/>
  <c r="S80" i="16"/>
  <c r="S72" i="16"/>
  <c r="S64" i="16"/>
  <c r="S87" i="16"/>
  <c r="S79" i="16"/>
  <c r="S71" i="16"/>
  <c r="S63" i="16"/>
  <c r="S86" i="16"/>
  <c r="S78" i="16"/>
  <c r="S70" i="16"/>
  <c r="S62" i="16"/>
  <c r="I4" i="16"/>
  <c r="S56" i="16"/>
  <c r="S48" i="16"/>
  <c r="S40" i="16"/>
  <c r="S32" i="16"/>
  <c r="S24" i="16"/>
  <c r="S16" i="16"/>
  <c r="S7" i="16"/>
  <c r="S55" i="16"/>
  <c r="S47" i="16"/>
  <c r="S39" i="16"/>
  <c r="S31" i="16"/>
  <c r="S23" i="16"/>
  <c r="S14" i="16"/>
  <c r="S6" i="16"/>
  <c r="S49" i="16"/>
  <c r="S33" i="16"/>
  <c r="S25" i="16"/>
  <c r="S54" i="16"/>
  <c r="S46" i="16"/>
  <c r="S38" i="16"/>
  <c r="S30" i="16"/>
  <c r="S22" i="16"/>
  <c r="S13" i="16"/>
  <c r="S5" i="16"/>
  <c r="S15" i="16"/>
  <c r="S53" i="16"/>
  <c r="S45" i="16"/>
  <c r="S37" i="16"/>
  <c r="S29" i="16"/>
  <c r="S21" i="16"/>
  <c r="S12" i="16"/>
  <c r="S52" i="16"/>
  <c r="S44" i="16"/>
  <c r="S36" i="16"/>
  <c r="S28" i="16"/>
  <c r="S20" i="16"/>
  <c r="S11" i="16"/>
  <c r="S8" i="16"/>
  <c r="S59" i="16"/>
  <c r="S51" i="16"/>
  <c r="S43" i="16"/>
  <c r="S35" i="16"/>
  <c r="S27" i="16"/>
  <c r="S19" i="16"/>
  <c r="S10" i="16"/>
  <c r="S57" i="16"/>
  <c r="S41" i="16"/>
  <c r="S17" i="16"/>
  <c r="S58" i="16"/>
  <c r="S50" i="16"/>
  <c r="S42" i="16"/>
  <c r="S34" i="16"/>
  <c r="S26" i="16"/>
  <c r="S18" i="16"/>
  <c r="S9" i="16"/>
  <c r="L123" i="18"/>
  <c r="M118" i="18"/>
  <c r="L115" i="18"/>
  <c r="M110" i="18"/>
  <c r="L107" i="18"/>
  <c r="M102" i="18"/>
  <c r="L99" i="18"/>
  <c r="M94" i="18"/>
  <c r="L91" i="18"/>
  <c r="M91" i="18"/>
  <c r="L96" i="18"/>
  <c r="M99" i="18"/>
  <c r="L104" i="18"/>
  <c r="M107" i="18"/>
  <c r="L112" i="18"/>
  <c r="M115" i="18"/>
  <c r="L120" i="18"/>
  <c r="M123" i="18"/>
  <c r="L93" i="18"/>
  <c r="M96" i="18"/>
  <c r="L101" i="18"/>
  <c r="M104" i="18"/>
  <c r="L109" i="18"/>
  <c r="M112" i="18"/>
  <c r="L117" i="18"/>
  <c r="M120" i="18"/>
  <c r="L90" i="18"/>
  <c r="M93" i="18"/>
  <c r="L98" i="18"/>
  <c r="M101" i="18"/>
  <c r="L106" i="18"/>
  <c r="M109" i="18"/>
  <c r="L114" i="18"/>
  <c r="M117" i="18"/>
  <c r="L122" i="18"/>
  <c r="M90" i="18"/>
  <c r="L95" i="18"/>
  <c r="M98" i="18"/>
  <c r="L103" i="18"/>
  <c r="M106" i="18"/>
  <c r="L111" i="18"/>
  <c r="M114" i="18"/>
  <c r="L119" i="18"/>
  <c r="M122" i="18"/>
  <c r="L92" i="18"/>
  <c r="M95" i="18"/>
  <c r="L100" i="18"/>
  <c r="M103" i="18"/>
  <c r="L108" i="18"/>
  <c r="M111" i="18"/>
  <c r="L116" i="18"/>
  <c r="M119" i="18"/>
  <c r="L124" i="18"/>
  <c r="M92" i="18"/>
  <c r="L97" i="18"/>
  <c r="M100" i="18"/>
  <c r="L105" i="18"/>
  <c r="M108" i="18"/>
  <c r="L113" i="18"/>
  <c r="M116" i="18"/>
  <c r="L121" i="18"/>
  <c r="M124" i="18"/>
  <c r="L94" i="18"/>
  <c r="M97" i="18"/>
  <c r="L102" i="18"/>
  <c r="M105" i="18"/>
  <c r="L110" i="18"/>
  <c r="M113" i="18"/>
  <c r="L118" i="18"/>
  <c r="M121" i="18"/>
  <c r="L4" i="19"/>
  <c r="AJ102" i="19"/>
  <c r="L64" i="19"/>
  <c r="M67" i="19"/>
  <c r="L72" i="19"/>
  <c r="M75" i="19"/>
  <c r="L80" i="19"/>
  <c r="M83" i="19"/>
  <c r="L88" i="19"/>
  <c r="L61" i="19"/>
  <c r="M64" i="19"/>
  <c r="L69" i="19"/>
  <c r="M72" i="19"/>
  <c r="L77" i="19"/>
  <c r="M80" i="19"/>
  <c r="L85" i="19"/>
  <c r="M88" i="19"/>
  <c r="M61" i="19"/>
  <c r="L66" i="19"/>
  <c r="M69" i="19"/>
  <c r="L74" i="19"/>
  <c r="M77" i="19"/>
  <c r="L82" i="19"/>
  <c r="M85" i="19"/>
  <c r="L63" i="19"/>
  <c r="M66" i="19"/>
  <c r="L71" i="19"/>
  <c r="M74" i="19"/>
  <c r="L79" i="19"/>
  <c r="M82" i="19"/>
  <c r="L87" i="19"/>
  <c r="L60" i="19"/>
  <c r="M63" i="19"/>
  <c r="L68" i="19"/>
  <c r="M71" i="19"/>
  <c r="L76" i="19"/>
  <c r="M79" i="19"/>
  <c r="L84" i="19"/>
  <c r="M87" i="19"/>
  <c r="M60" i="19"/>
  <c r="L65" i="19"/>
  <c r="M68" i="19"/>
  <c r="L73" i="19"/>
  <c r="M76" i="19"/>
  <c r="L81" i="19"/>
  <c r="M84" i="19"/>
  <c r="L89" i="19"/>
  <c r="L62" i="19"/>
  <c r="M65" i="19"/>
  <c r="L70" i="19"/>
  <c r="M73" i="19"/>
  <c r="L78" i="19"/>
  <c r="M81" i="19"/>
  <c r="L86" i="19"/>
  <c r="M89" i="19"/>
  <c r="M62" i="19"/>
  <c r="L67" i="19"/>
  <c r="M70" i="19"/>
  <c r="L75" i="19"/>
  <c r="M78" i="19"/>
  <c r="L83" i="19"/>
  <c r="M86" i="19"/>
  <c r="AL90" i="19"/>
  <c r="AL98" i="19"/>
  <c r="AL103" i="19"/>
  <c r="AL105" i="19"/>
  <c r="AL108" i="19"/>
  <c r="AL111" i="19"/>
  <c r="AL113" i="19"/>
  <c r="AL114" i="19"/>
  <c r="AL124" i="19"/>
  <c r="AJ99" i="19"/>
  <c r="AL100" i="19"/>
  <c r="AL102" i="19"/>
  <c r="AL107" i="19"/>
  <c r="AL116" i="19"/>
  <c r="AL120" i="19"/>
  <c r="AL121" i="19"/>
  <c r="AJ91" i="19"/>
  <c r="AJ92" i="19"/>
  <c r="AJ94" i="19"/>
  <c r="AJ118" i="19"/>
  <c r="AJ123" i="19"/>
  <c r="AJ107" i="19"/>
  <c r="AJ110" i="19"/>
  <c r="AL97" i="19"/>
  <c r="AJ100" i="19"/>
  <c r="AJ115" i="19"/>
  <c r="L81" i="20"/>
  <c r="L62" i="20"/>
  <c r="M65" i="20"/>
  <c r="L70" i="20"/>
  <c r="M73" i="20"/>
  <c r="L78" i="20"/>
  <c r="M81" i="20"/>
  <c r="L86" i="20"/>
  <c r="M89" i="20"/>
  <c r="L65" i="20"/>
  <c r="M62" i="20"/>
  <c r="L67" i="20"/>
  <c r="M70" i="20"/>
  <c r="L75" i="20"/>
  <c r="M78" i="20"/>
  <c r="L83" i="20"/>
  <c r="M86" i="20"/>
  <c r="L73" i="20"/>
  <c r="L89" i="20"/>
  <c r="L64" i="20"/>
  <c r="M67" i="20"/>
  <c r="L72" i="20"/>
  <c r="M75" i="20"/>
  <c r="L80" i="20"/>
  <c r="M83" i="20"/>
  <c r="L88" i="20"/>
  <c r="L61" i="20"/>
  <c r="M64" i="20"/>
  <c r="L69" i="20"/>
  <c r="M72" i="20"/>
  <c r="L77" i="20"/>
  <c r="M80" i="20"/>
  <c r="L85" i="20"/>
  <c r="M88" i="20"/>
  <c r="M68" i="20"/>
  <c r="M84" i="20"/>
  <c r="M61" i="20"/>
  <c r="L66" i="20"/>
  <c r="M69" i="20"/>
  <c r="L74" i="20"/>
  <c r="M77" i="20"/>
  <c r="L82" i="20"/>
  <c r="M85" i="20"/>
  <c r="M76" i="20"/>
  <c r="L63" i="20"/>
  <c r="M66" i="20"/>
  <c r="L71" i="20"/>
  <c r="M74" i="20"/>
  <c r="L79" i="20"/>
  <c r="M82" i="20"/>
  <c r="L87" i="20"/>
  <c r="M60" i="20"/>
  <c r="L60" i="20"/>
  <c r="M63" i="20"/>
  <c r="L68" i="20"/>
  <c r="M71" i="20"/>
  <c r="L76" i="20"/>
  <c r="M79" i="20"/>
  <c r="L84" i="20"/>
  <c r="M87" i="20"/>
  <c r="AL98" i="20"/>
  <c r="L8" i="20"/>
  <c r="M48" i="20"/>
  <c r="L32" i="20"/>
  <c r="M6" i="20"/>
  <c r="AL114" i="20"/>
  <c r="M8" i="20"/>
  <c r="M15" i="20"/>
  <c r="M12" i="20"/>
  <c r="AL90" i="20"/>
  <c r="AJ103" i="20"/>
  <c r="AJ119" i="20"/>
  <c r="AL91" i="20"/>
  <c r="AL94" i="20"/>
  <c r="AL95" i="20"/>
  <c r="AL100" i="20"/>
  <c r="AL102" i="20"/>
  <c r="AL103" i="20"/>
  <c r="AL110" i="20"/>
  <c r="AL115" i="20"/>
  <c r="AL118" i="20"/>
  <c r="AL119" i="20"/>
  <c r="AL122" i="20"/>
  <c r="AJ95" i="20"/>
  <c r="AJ96" i="20"/>
  <c r="AJ97" i="20"/>
  <c r="AJ100" i="20"/>
  <c r="AJ102" i="20"/>
  <c r="AJ104" i="20"/>
  <c r="AJ106" i="20"/>
  <c r="AJ110" i="20"/>
  <c r="AJ111" i="20"/>
  <c r="AJ112" i="20"/>
  <c r="AJ115" i="20"/>
  <c r="AJ116" i="20"/>
  <c r="AJ120" i="20"/>
  <c r="AL99" i="20"/>
  <c r="AJ122" i="20"/>
  <c r="AL104" i="20"/>
  <c r="AJ105" i="20"/>
  <c r="AL105" i="20"/>
  <c r="AL107" i="20"/>
  <c r="AJ118" i="20"/>
  <c r="AL120" i="20"/>
  <c r="AJ121" i="20"/>
  <c r="AJ92" i="20"/>
  <c r="AJ94" i="20"/>
  <c r="AL106" i="20"/>
  <c r="AL121" i="20"/>
  <c r="AL97" i="20"/>
  <c r="AL111" i="20"/>
  <c r="AL112" i="20"/>
  <c r="AJ113" i="20"/>
  <c r="AL123" i="20"/>
  <c r="AL113" i="20"/>
  <c r="M13" i="20"/>
  <c r="L58" i="20"/>
  <c r="M59" i="20"/>
  <c r="L54" i="20"/>
  <c r="M53" i="20"/>
  <c r="L46" i="20"/>
  <c r="M45" i="20"/>
  <c r="L59" i="20"/>
  <c r="L53" i="20"/>
  <c r="M52" i="20"/>
  <c r="L52" i="20"/>
  <c r="M51" i="20"/>
  <c r="L51" i="20"/>
  <c r="M50" i="20"/>
  <c r="L56" i="20"/>
  <c r="M55" i="20"/>
  <c r="L55" i="20"/>
  <c r="M54" i="20"/>
  <c r="L47" i="20"/>
  <c r="L41" i="20"/>
  <c r="M40" i="20"/>
  <c r="L40" i="20"/>
  <c r="M39" i="20"/>
  <c r="M56" i="20"/>
  <c r="L50" i="20"/>
  <c r="L39" i="20"/>
  <c r="M38" i="20"/>
  <c r="L31" i="20"/>
  <c r="M30" i="20"/>
  <c r="M58" i="20"/>
  <c r="L38" i="20"/>
  <c r="M37" i="20"/>
  <c r="L30" i="20"/>
  <c r="M29" i="20"/>
  <c r="M57" i="20"/>
  <c r="M49" i="20"/>
  <c r="L48" i="20"/>
  <c r="L43" i="20"/>
  <c r="M42" i="20"/>
  <c r="L35" i="20"/>
  <c r="M34" i="20"/>
  <c r="L57" i="20"/>
  <c r="L49" i="20"/>
  <c r="M46" i="20"/>
  <c r="L42" i="20"/>
  <c r="M41" i="20"/>
  <c r="L34" i="20"/>
  <c r="M33" i="20"/>
  <c r="L26" i="20"/>
  <c r="M25" i="20"/>
  <c r="M24" i="20"/>
  <c r="M23" i="20"/>
  <c r="M22" i="20"/>
  <c r="M21" i="20"/>
  <c r="M20" i="20"/>
  <c r="M19" i="20"/>
  <c r="M28" i="20"/>
  <c r="M44" i="20"/>
  <c r="M35" i="20"/>
  <c r="L29" i="20"/>
  <c r="L28" i="20"/>
  <c r="L44" i="20"/>
  <c r="L37" i="20"/>
  <c r="L33" i="20"/>
  <c r="M32" i="20"/>
  <c r="M27" i="20"/>
  <c r="L3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12" i="20"/>
  <c r="L11" i="20"/>
  <c r="L45" i="20"/>
  <c r="M31" i="20"/>
  <c r="L6" i="20"/>
  <c r="M18" i="20"/>
  <c r="M36" i="20"/>
  <c r="M43" i="20"/>
  <c r="L9" i="20"/>
  <c r="M26" i="20"/>
  <c r="AU5" i="20"/>
  <c r="M9" i="20"/>
  <c r="M16" i="20"/>
  <c r="L27" i="20"/>
  <c r="L7" i="20"/>
  <c r="L10" i="20"/>
  <c r="M14" i="20"/>
  <c r="M47" i="20"/>
  <c r="M7" i="20"/>
  <c r="M10" i="20"/>
  <c r="M11" i="20"/>
  <c r="M17" i="20"/>
  <c r="AJ93" i="20"/>
  <c r="AL93" i="20"/>
  <c r="AJ109" i="20"/>
  <c r="AL109" i="20"/>
  <c r="AJ91" i="20"/>
  <c r="AJ114" i="20"/>
  <c r="AJ98" i="20"/>
  <c r="AJ108" i="20"/>
  <c r="AL116" i="20"/>
  <c r="AJ124" i="20"/>
  <c r="AJ99" i="20"/>
  <c r="AL108" i="20"/>
  <c r="AL124" i="20"/>
  <c r="AL92" i="20"/>
  <c r="AJ117" i="20"/>
  <c r="AL117" i="20"/>
  <c r="AJ90" i="20"/>
  <c r="AL96" i="20"/>
  <c r="AJ101" i="20"/>
  <c r="AL101" i="20"/>
  <c r="AJ107" i="20"/>
  <c r="AJ123" i="20"/>
  <c r="AL91" i="19"/>
  <c r="AJ96" i="19"/>
  <c r="AJ97" i="19"/>
  <c r="AL104" i="19"/>
  <c r="AL117" i="19"/>
  <c r="AL118" i="19"/>
  <c r="AJ93" i="19"/>
  <c r="AL92" i="19"/>
  <c r="AJ98" i="19"/>
  <c r="AJ108" i="19"/>
  <c r="AJ109" i="19"/>
  <c r="AJ114" i="19"/>
  <c r="AL119" i="19"/>
  <c r="AL123" i="19"/>
  <c r="AJ124" i="19"/>
  <c r="AL94" i="19"/>
  <c r="AJ90" i="19"/>
  <c r="AJ103" i="19"/>
  <c r="AJ104" i="19"/>
  <c r="AJ105" i="19"/>
  <c r="AL109" i="19"/>
  <c r="AL110" i="19"/>
  <c r="AJ101" i="19"/>
  <c r="AJ106" i="19"/>
  <c r="AL112" i="19"/>
  <c r="AJ119" i="19"/>
  <c r="AJ120" i="19"/>
  <c r="AJ121" i="19"/>
  <c r="AL115" i="19"/>
  <c r="AJ116" i="19"/>
  <c r="AJ117" i="19"/>
  <c r="AJ122" i="19"/>
  <c r="L43" i="19"/>
  <c r="M6" i="19"/>
  <c r="M30" i="19"/>
  <c r="L31" i="19"/>
  <c r="M15" i="19"/>
  <c r="M31" i="19"/>
  <c r="L32" i="19"/>
  <c r="M45" i="19"/>
  <c r="M7" i="19"/>
  <c r="M9" i="19"/>
  <c r="M39" i="19"/>
  <c r="M16" i="19"/>
  <c r="L59" i="19"/>
  <c r="M58" i="19"/>
  <c r="M59" i="19"/>
  <c r="L54" i="19"/>
  <c r="M53" i="19"/>
  <c r="L57" i="19"/>
  <c r="L51" i="19"/>
  <c r="L44" i="19"/>
  <c r="M43" i="19"/>
  <c r="L58" i="19"/>
  <c r="M52" i="19"/>
  <c r="L49" i="19"/>
  <c r="L42" i="19"/>
  <c r="M41" i="19"/>
  <c r="M56" i="19"/>
  <c r="L55" i="19"/>
  <c r="M50" i="19"/>
  <c r="L56" i="19"/>
  <c r="M44" i="19"/>
  <c r="L38" i="19"/>
  <c r="M37" i="19"/>
  <c r="L30" i="19"/>
  <c r="M29" i="19"/>
  <c r="M51" i="19"/>
  <c r="L37" i="19"/>
  <c r="M36" i="19"/>
  <c r="L29" i="19"/>
  <c r="M28" i="19"/>
  <c r="M55" i="19"/>
  <c r="L48" i="19"/>
  <c r="M46" i="19"/>
  <c r="L45" i="19"/>
  <c r="L35" i="19"/>
  <c r="M34" i="19"/>
  <c r="L27" i="19"/>
  <c r="M26" i="19"/>
  <c r="L53" i="19"/>
  <c r="L50" i="19"/>
  <c r="M40" i="19"/>
  <c r="L39" i="19"/>
  <c r="M35" i="19"/>
  <c r="L25" i="19"/>
  <c r="L24" i="19"/>
  <c r="L23" i="19"/>
  <c r="L22" i="19"/>
  <c r="L21" i="19"/>
  <c r="L20" i="19"/>
  <c r="L19" i="19"/>
  <c r="M47" i="19"/>
  <c r="L46" i="19"/>
  <c r="L40" i="19"/>
  <c r="M33" i="19"/>
  <c r="L28" i="19"/>
  <c r="L47" i="19"/>
  <c r="L33" i="19"/>
  <c r="M54" i="19"/>
  <c r="L36" i="19"/>
  <c r="M32" i="19"/>
  <c r="M25" i="19"/>
  <c r="M24" i="19"/>
  <c r="M23" i="19"/>
  <c r="M22" i="19"/>
  <c r="M21" i="19"/>
  <c r="M20" i="19"/>
  <c r="M19" i="19"/>
  <c r="L15" i="19"/>
  <c r="M49" i="19"/>
  <c r="M48" i="19"/>
  <c r="M38" i="19"/>
  <c r="L16" i="19"/>
  <c r="M13" i="19"/>
  <c r="M12" i="19"/>
  <c r="M11" i="19"/>
  <c r="L6" i="19"/>
  <c r="L52" i="19"/>
  <c r="L41" i="19"/>
  <c r="M14" i="19"/>
  <c r="L13" i="19"/>
  <c r="L12" i="19"/>
  <c r="L11" i="19"/>
  <c r="M27" i="19"/>
  <c r="M17" i="19"/>
  <c r="L14" i="19"/>
  <c r="M57" i="19"/>
  <c r="L34" i="19"/>
  <c r="L17" i="19"/>
  <c r="L18" i="19"/>
  <c r="M42" i="19"/>
  <c r="AU5" i="19"/>
  <c r="L8" i="19"/>
  <c r="L10" i="19"/>
  <c r="M18" i="19"/>
  <c r="M8" i="19"/>
  <c r="M10" i="19"/>
  <c r="L26" i="19"/>
  <c r="L7" i="19"/>
  <c r="L9" i="19"/>
  <c r="AL96" i="19"/>
  <c r="AJ112" i="19"/>
  <c r="AL122" i="19"/>
  <c r="AJ95" i="19"/>
  <c r="AL93" i="19"/>
  <c r="AL95" i="19"/>
  <c r="AL101" i="19"/>
  <c r="AL106" i="19"/>
  <c r="AL99" i="19"/>
  <c r="AJ111" i="19"/>
  <c r="AJ113" i="19"/>
  <c r="M69" i="18"/>
  <c r="L74" i="18"/>
  <c r="L60" i="18"/>
  <c r="M63" i="18"/>
  <c r="L68" i="18"/>
  <c r="M71" i="18"/>
  <c r="L76" i="18"/>
  <c r="M79" i="18"/>
  <c r="L84" i="18"/>
  <c r="M87" i="18"/>
  <c r="M60" i="18"/>
  <c r="L65" i="18"/>
  <c r="M68" i="18"/>
  <c r="L73" i="18"/>
  <c r="M76" i="18"/>
  <c r="L81" i="18"/>
  <c r="M84" i="18"/>
  <c r="L89" i="18"/>
  <c r="L70" i="18"/>
  <c r="L78" i="18"/>
  <c r="M89" i="18"/>
  <c r="L77" i="18"/>
  <c r="L62" i="18"/>
  <c r="M65" i="18"/>
  <c r="M73" i="18"/>
  <c r="M81" i="18"/>
  <c r="L86" i="18"/>
  <c r="M62" i="18"/>
  <c r="L67" i="18"/>
  <c r="M70" i="18"/>
  <c r="L75" i="18"/>
  <c r="M78" i="18"/>
  <c r="L83" i="18"/>
  <c r="M86" i="18"/>
  <c r="M64" i="18"/>
  <c r="L64" i="18"/>
  <c r="M67" i="18"/>
  <c r="L72" i="18"/>
  <c r="M75" i="18"/>
  <c r="L80" i="18"/>
  <c r="M83" i="18"/>
  <c r="L88" i="18"/>
  <c r="M72" i="18"/>
  <c r="L85" i="18"/>
  <c r="L69" i="18"/>
  <c r="L66" i="18"/>
  <c r="M85" i="18"/>
  <c r="L61" i="18"/>
  <c r="M80" i="18"/>
  <c r="M88" i="18"/>
  <c r="M61" i="18"/>
  <c r="M77" i="18"/>
  <c r="L82" i="18"/>
  <c r="L63" i="18"/>
  <c r="M66" i="18"/>
  <c r="L71" i="18"/>
  <c r="M74" i="18"/>
  <c r="L79" i="18"/>
  <c r="M82" i="18"/>
  <c r="L87" i="18"/>
  <c r="M8" i="18"/>
  <c r="AU5" i="18"/>
  <c r="AV5" i="18" s="1"/>
  <c r="L24" i="18"/>
  <c r="L43" i="18"/>
  <c r="L11" i="18"/>
  <c r="L16" i="18"/>
  <c r="M7" i="18"/>
  <c r="M11" i="18"/>
  <c r="M16" i="18"/>
  <c r="M38" i="18"/>
  <c r="L12" i="18"/>
  <c r="L15" i="18"/>
  <c r="L19" i="18"/>
  <c r="L23" i="18"/>
  <c r="M32" i="18"/>
  <c r="M17" i="18"/>
  <c r="M15" i="18"/>
  <c r="M19" i="18"/>
  <c r="L29" i="18"/>
  <c r="M9" i="18"/>
  <c r="L10" i="18"/>
  <c r="M12" i="18"/>
  <c r="L21" i="18"/>
  <c r="L6" i="18"/>
  <c r="M10" i="18"/>
  <c r="L13" i="18"/>
  <c r="L14" i="18"/>
  <c r="L18" i="18"/>
  <c r="L20" i="18"/>
  <c r="L28" i="18"/>
  <c r="M29" i="18"/>
  <c r="M39" i="18"/>
  <c r="M59" i="18"/>
  <c r="L56" i="18"/>
  <c r="M55" i="18"/>
  <c r="L48" i="18"/>
  <c r="M47" i="18"/>
  <c r="L59" i="18"/>
  <c r="L55" i="18"/>
  <c r="M54" i="18"/>
  <c r="L47" i="18"/>
  <c r="L54" i="18"/>
  <c r="M53" i="18"/>
  <c r="L46" i="18"/>
  <c r="M45" i="18"/>
  <c r="L53" i="18"/>
  <c r="M52" i="18"/>
  <c r="L52" i="18"/>
  <c r="M51" i="18"/>
  <c r="L44" i="18"/>
  <c r="M43" i="18"/>
  <c r="M58" i="18"/>
  <c r="M57" i="18"/>
  <c r="M56" i="18"/>
  <c r="M48" i="18"/>
  <c r="L38" i="18"/>
  <c r="M37" i="18"/>
  <c r="L58" i="18"/>
  <c r="L57" i="18"/>
  <c r="L51" i="18"/>
  <c r="M50" i="18"/>
  <c r="L37" i="18"/>
  <c r="M36" i="18"/>
  <c r="L50" i="18"/>
  <c r="L45" i="18"/>
  <c r="L36" i="18"/>
  <c r="M35" i="18"/>
  <c r="M44" i="18"/>
  <c r="M42" i="18"/>
  <c r="L35" i="18"/>
  <c r="M34" i="18"/>
  <c r="L49" i="18"/>
  <c r="L32" i="18"/>
  <c r="L26" i="18"/>
  <c r="M25" i="18"/>
  <c r="M24" i="18"/>
  <c r="M23" i="18"/>
  <c r="M22" i="18"/>
  <c r="M21" i="18"/>
  <c r="M20" i="18"/>
  <c r="L41" i="18"/>
  <c r="M40" i="18"/>
  <c r="L33" i="18"/>
  <c r="M31" i="18"/>
  <c r="L40" i="18"/>
  <c r="L31" i="18"/>
  <c r="M30" i="18"/>
  <c r="M46" i="18"/>
  <c r="L39" i="18"/>
  <c r="L34" i="18"/>
  <c r="M26" i="18"/>
  <c r="M49" i="18"/>
  <c r="L22" i="18"/>
  <c r="L42" i="18"/>
  <c r="L30" i="18"/>
  <c r="M27" i="18"/>
  <c r="M6" i="18"/>
  <c r="L7" i="18"/>
  <c r="L8" i="18"/>
  <c r="L9" i="18"/>
  <c r="M13" i="18"/>
  <c r="M14" i="18"/>
  <c r="M18" i="18"/>
  <c r="M28" i="18"/>
  <c r="M33" i="18"/>
  <c r="L17" i="18"/>
  <c r="L25" i="18"/>
  <c r="L27" i="18"/>
  <c r="M41" i="18"/>
  <c r="AG61" i="25" l="1"/>
  <c r="U62" i="25"/>
  <c r="AE61" i="25"/>
  <c r="AL61" i="25" s="1"/>
  <c r="AM61" i="24"/>
  <c r="AO61" i="24" s="1"/>
  <c r="AC62" i="26"/>
  <c r="AN62" i="26" s="1"/>
  <c r="AE62" i="26"/>
  <c r="AL62" i="26" s="1"/>
  <c r="U63" i="26"/>
  <c r="V63" i="26" s="1"/>
  <c r="AH63" i="26" s="1"/>
  <c r="AK62" i="26"/>
  <c r="AG62" i="26"/>
  <c r="AC61" i="25"/>
  <c r="AA62" i="25" s="1"/>
  <c r="Z62" i="25"/>
  <c r="AK61" i="25"/>
  <c r="AN61" i="25"/>
  <c r="V62" i="25"/>
  <c r="AH62" i="25" s="1"/>
  <c r="X62" i="24"/>
  <c r="AB62" i="24" s="1"/>
  <c r="AI62" i="24"/>
  <c r="AK62" i="23"/>
  <c r="AN62" i="23"/>
  <c r="W63" i="23"/>
  <c r="AJ62" i="23"/>
  <c r="AM116" i="19"/>
  <c r="AO116" i="19" s="1"/>
  <c r="AM91" i="19"/>
  <c r="AO91" i="19" s="1"/>
  <c r="AM111" i="19"/>
  <c r="AO111" i="19" s="1"/>
  <c r="AM121" i="19"/>
  <c r="AO121" i="19" s="1"/>
  <c r="AM102" i="19"/>
  <c r="AO102" i="19" s="1"/>
  <c r="AM122" i="19"/>
  <c r="AO122" i="19" s="1"/>
  <c r="AM120" i="19"/>
  <c r="AO120" i="19" s="1"/>
  <c r="AM108" i="19"/>
  <c r="AO108" i="19" s="1"/>
  <c r="AM93" i="19"/>
  <c r="AO93" i="19" s="1"/>
  <c r="AM98" i="19"/>
  <c r="AO98" i="19" s="1"/>
  <c r="AM90" i="19"/>
  <c r="AO90" i="19" s="1"/>
  <c r="AM94" i="19"/>
  <c r="AO94" i="19" s="1"/>
  <c r="AM119" i="19"/>
  <c r="AO119" i="19" s="1"/>
  <c r="AM100" i="19"/>
  <c r="AO100" i="19" s="1"/>
  <c r="AM92" i="19"/>
  <c r="AO92" i="19" s="1"/>
  <c r="AM117" i="19"/>
  <c r="AO117" i="19" s="1"/>
  <c r="AM115" i="19"/>
  <c r="AO115" i="19" s="1"/>
  <c r="AM113" i="19"/>
  <c r="AO113" i="19" s="1"/>
  <c r="AM114" i="19"/>
  <c r="AO114" i="19" s="1"/>
  <c r="AM97" i="19"/>
  <c r="AO97" i="19" s="1"/>
  <c r="AM99" i="19"/>
  <c r="AO99" i="19" s="1"/>
  <c r="AM103" i="19"/>
  <c r="AO103" i="19" s="1"/>
  <c r="AM118" i="19"/>
  <c r="AO118" i="19" s="1"/>
  <c r="AM105" i="19"/>
  <c r="AO105" i="19" s="1"/>
  <c r="AM123" i="19"/>
  <c r="AO123" i="19" s="1"/>
  <c r="AM110" i="19"/>
  <c r="AO110" i="19" s="1"/>
  <c r="AM107" i="19"/>
  <c r="AO107" i="19" s="1"/>
  <c r="AM109" i="19"/>
  <c r="AO109" i="19" s="1"/>
  <c r="AM112" i="19"/>
  <c r="AO112" i="19" s="1"/>
  <c r="AM106" i="19"/>
  <c r="AO106" i="19" s="1"/>
  <c r="AM124" i="19"/>
  <c r="AO124" i="19" s="1"/>
  <c r="AM101" i="19"/>
  <c r="AO101" i="19" s="1"/>
  <c r="X4" i="20"/>
  <c r="U5" i="20" s="1"/>
  <c r="V5" i="20" s="1"/>
  <c r="AM91" i="20"/>
  <c r="AO91" i="20" s="1"/>
  <c r="AM94" i="20"/>
  <c r="AO94" i="20" s="1"/>
  <c r="AM114" i="20"/>
  <c r="AO114" i="20" s="1"/>
  <c r="AM120" i="20"/>
  <c r="AO120" i="20" s="1"/>
  <c r="AM92" i="20"/>
  <c r="AO92" i="20" s="1"/>
  <c r="AM115" i="20"/>
  <c r="AO115" i="20" s="1"/>
  <c r="AM96" i="20"/>
  <c r="AO96" i="20" s="1"/>
  <c r="AM102" i="20"/>
  <c r="AO102" i="20" s="1"/>
  <c r="AM97" i="20"/>
  <c r="AO97" i="20" s="1"/>
  <c r="AM90" i="20"/>
  <c r="AO90" i="20" s="1"/>
  <c r="AM107" i="20"/>
  <c r="AO107" i="20" s="1"/>
  <c r="AM99" i="20"/>
  <c r="AO99" i="20" s="1"/>
  <c r="AM116" i="20"/>
  <c r="AO116" i="20" s="1"/>
  <c r="AM119" i="20"/>
  <c r="AO119" i="20" s="1"/>
  <c r="AM110" i="20"/>
  <c r="AO110" i="20" s="1"/>
  <c r="AM112" i="20"/>
  <c r="AO112" i="20" s="1"/>
  <c r="AM118" i="20"/>
  <c r="AO118" i="20" s="1"/>
  <c r="AM98" i="20"/>
  <c r="AO98" i="20" s="1"/>
  <c r="AM103" i="20"/>
  <c r="AO103" i="20" s="1"/>
  <c r="AM104" i="20"/>
  <c r="AO104" i="20" s="1"/>
  <c r="AM111" i="20"/>
  <c r="AO111" i="20" s="1"/>
  <c r="AM101" i="20"/>
  <c r="AO101" i="20" s="1"/>
  <c r="AM121" i="20"/>
  <c r="AO121" i="20" s="1"/>
  <c r="AM95" i="20"/>
  <c r="AO95" i="20" s="1"/>
  <c r="AM105" i="20"/>
  <c r="AO105" i="20" s="1"/>
  <c r="AM106" i="20"/>
  <c r="AO106" i="20" s="1"/>
  <c r="AM100" i="20"/>
  <c r="AO100" i="20" s="1"/>
  <c r="AM113" i="20"/>
  <c r="AO113" i="20" s="1"/>
  <c r="AM122" i="20"/>
  <c r="AO122" i="20" s="1"/>
  <c r="AM117" i="20"/>
  <c r="AO117" i="20" s="1"/>
  <c r="AM93" i="20"/>
  <c r="AO93" i="20" s="1"/>
  <c r="AM123" i="20"/>
  <c r="AO123" i="20" s="1"/>
  <c r="AM108" i="20"/>
  <c r="AO108" i="20" s="1"/>
  <c r="AM124" i="20"/>
  <c r="AO124" i="20" s="1"/>
  <c r="AM109" i="20"/>
  <c r="AO109" i="20" s="1"/>
  <c r="AV5" i="20"/>
  <c r="AU6" i="20" s="1"/>
  <c r="AV6" i="20" s="1"/>
  <c r="AM104" i="19"/>
  <c r="AO104" i="19" s="1"/>
  <c r="AM96" i="19"/>
  <c r="AO96" i="19" s="1"/>
  <c r="X4" i="19"/>
  <c r="U5" i="19" s="1"/>
  <c r="V5" i="19" s="1"/>
  <c r="AH5" i="19" s="1"/>
  <c r="AM95" i="19"/>
  <c r="AO95" i="19" s="1"/>
  <c r="AV5" i="19"/>
  <c r="AU6" i="18"/>
  <c r="AV6" i="18" s="1"/>
  <c r="X4" i="18"/>
  <c r="U5" i="18" s="1"/>
  <c r="AA63" i="26" l="1"/>
  <c r="AJ61" i="25"/>
  <c r="U63" i="24"/>
  <c r="AE62" i="24"/>
  <c r="AL62" i="24" s="1"/>
  <c r="AG62" i="24"/>
  <c r="AC62" i="24"/>
  <c r="AN62" i="24" s="1"/>
  <c r="W63" i="26"/>
  <c r="AI63" i="26" s="1"/>
  <c r="AJ62" i="26"/>
  <c r="AM62" i="26" s="1"/>
  <c r="AO62" i="26" s="1"/>
  <c r="W62" i="25"/>
  <c r="AI62" i="25" s="1"/>
  <c r="AM61" i="25"/>
  <c r="Z63" i="24"/>
  <c r="AK62" i="24"/>
  <c r="V63" i="24"/>
  <c r="AH63" i="24" s="1"/>
  <c r="AA63" i="24"/>
  <c r="AM62" i="23"/>
  <c r="AO62" i="23" s="1"/>
  <c r="X63" i="23"/>
  <c r="AI63" i="23"/>
  <c r="AE4" i="19"/>
  <c r="AF4" i="19"/>
  <c r="AF133" i="19" s="1"/>
  <c r="AG4" i="20"/>
  <c r="AC4" i="20"/>
  <c r="AA5" i="20" s="1"/>
  <c r="AE4" i="20"/>
  <c r="AF4" i="20"/>
  <c r="AF129" i="20" s="1"/>
  <c r="W5" i="20"/>
  <c r="X5" i="20" s="1"/>
  <c r="AH5" i="20"/>
  <c r="AU7" i="20"/>
  <c r="W5" i="19"/>
  <c r="X5" i="19" s="1"/>
  <c r="AC4" i="19"/>
  <c r="AG4" i="19"/>
  <c r="AU6" i="19"/>
  <c r="AC4" i="18"/>
  <c r="AA5" i="18" s="1"/>
  <c r="AE4" i="18"/>
  <c r="AG4" i="18"/>
  <c r="AF4" i="18"/>
  <c r="AU7" i="18"/>
  <c r="V5" i="18"/>
  <c r="AH5" i="18" s="1"/>
  <c r="C27" i="16"/>
  <c r="C28" i="16"/>
  <c r="C29" i="16"/>
  <c r="C30" i="16"/>
  <c r="C31" i="16"/>
  <c r="C32" i="16"/>
  <c r="C33" i="16"/>
  <c r="C34" i="16"/>
  <c r="C36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AD133" i="16"/>
  <c r="AD131" i="16"/>
  <c r="T124" i="16"/>
  <c r="K124" i="16"/>
  <c r="T123" i="16"/>
  <c r="K123" i="16"/>
  <c r="T122" i="16"/>
  <c r="K122" i="16"/>
  <c r="T121" i="16"/>
  <c r="K121" i="16"/>
  <c r="T120" i="16"/>
  <c r="K120" i="16"/>
  <c r="T119" i="16"/>
  <c r="K119" i="16"/>
  <c r="T118" i="16"/>
  <c r="K118" i="16"/>
  <c r="T117" i="16"/>
  <c r="K117" i="16"/>
  <c r="T116" i="16"/>
  <c r="K116" i="16"/>
  <c r="T115" i="16"/>
  <c r="K115" i="16"/>
  <c r="T114" i="16"/>
  <c r="K114" i="16"/>
  <c r="T113" i="16"/>
  <c r="K113" i="16"/>
  <c r="T112" i="16"/>
  <c r="K112" i="16"/>
  <c r="T111" i="16"/>
  <c r="K111" i="16"/>
  <c r="T110" i="16"/>
  <c r="K110" i="16"/>
  <c r="T109" i="16"/>
  <c r="K109" i="16"/>
  <c r="T108" i="16"/>
  <c r="K108" i="16"/>
  <c r="T107" i="16"/>
  <c r="K107" i="16"/>
  <c r="T106" i="16"/>
  <c r="K106" i="16"/>
  <c r="T105" i="16"/>
  <c r="K105" i="16"/>
  <c r="T104" i="16"/>
  <c r="K104" i="16"/>
  <c r="T103" i="16"/>
  <c r="K103" i="16"/>
  <c r="T102" i="16"/>
  <c r="K102" i="16"/>
  <c r="T101" i="16"/>
  <c r="K101" i="16"/>
  <c r="T100" i="16"/>
  <c r="K100" i="16"/>
  <c r="T99" i="16"/>
  <c r="K99" i="16"/>
  <c r="T98" i="16"/>
  <c r="K98" i="16"/>
  <c r="T97" i="16"/>
  <c r="K97" i="16"/>
  <c r="T96" i="16"/>
  <c r="K96" i="16"/>
  <c r="T95" i="16"/>
  <c r="K95" i="16"/>
  <c r="T94" i="16"/>
  <c r="K94" i="16"/>
  <c r="T93" i="16"/>
  <c r="K93" i="16"/>
  <c r="T92" i="16"/>
  <c r="K92" i="16"/>
  <c r="T91" i="16"/>
  <c r="K91" i="16"/>
  <c r="T90" i="16"/>
  <c r="K90" i="16"/>
  <c r="T89" i="16"/>
  <c r="K89" i="16"/>
  <c r="T88" i="16"/>
  <c r="K88" i="16"/>
  <c r="T87" i="16"/>
  <c r="K87" i="16"/>
  <c r="T86" i="16"/>
  <c r="K86" i="16"/>
  <c r="T85" i="16"/>
  <c r="K85" i="16"/>
  <c r="T84" i="16"/>
  <c r="K84" i="16"/>
  <c r="T83" i="16"/>
  <c r="K83" i="16"/>
  <c r="T82" i="16"/>
  <c r="K82" i="16"/>
  <c r="T81" i="16"/>
  <c r="K81" i="16"/>
  <c r="T80" i="16"/>
  <c r="K80" i="16"/>
  <c r="T79" i="16"/>
  <c r="K79" i="16"/>
  <c r="T78" i="16"/>
  <c r="K78" i="16"/>
  <c r="T77" i="16"/>
  <c r="K77" i="16"/>
  <c r="T76" i="16"/>
  <c r="K76" i="16"/>
  <c r="T75" i="16"/>
  <c r="K75" i="16"/>
  <c r="T74" i="16"/>
  <c r="K74" i="16"/>
  <c r="T73" i="16"/>
  <c r="K73" i="16"/>
  <c r="T72" i="16"/>
  <c r="K72" i="16"/>
  <c r="T71" i="16"/>
  <c r="K71" i="16"/>
  <c r="T70" i="16"/>
  <c r="K70" i="16"/>
  <c r="T69" i="16"/>
  <c r="K69" i="16"/>
  <c r="T68" i="16"/>
  <c r="K68" i="16"/>
  <c r="T67" i="16"/>
  <c r="K67" i="16"/>
  <c r="T66" i="16"/>
  <c r="K66" i="16"/>
  <c r="T65" i="16"/>
  <c r="K65" i="16"/>
  <c r="T64" i="16"/>
  <c r="K64" i="16"/>
  <c r="T63" i="16"/>
  <c r="K63" i="16"/>
  <c r="T62" i="16"/>
  <c r="K62" i="16"/>
  <c r="T61" i="16"/>
  <c r="K61" i="16"/>
  <c r="T60" i="16"/>
  <c r="K60" i="16"/>
  <c r="T59" i="16"/>
  <c r="K59" i="16"/>
  <c r="T58" i="16"/>
  <c r="K58" i="16"/>
  <c r="T57" i="16"/>
  <c r="K57" i="16"/>
  <c r="T56" i="16"/>
  <c r="K56" i="16"/>
  <c r="T55" i="16"/>
  <c r="K55" i="16"/>
  <c r="T54" i="16"/>
  <c r="K54" i="16"/>
  <c r="T53" i="16"/>
  <c r="K53" i="16"/>
  <c r="T52" i="16"/>
  <c r="K52" i="16"/>
  <c r="T51" i="16"/>
  <c r="K51" i="16"/>
  <c r="T50" i="16"/>
  <c r="K50" i="16"/>
  <c r="T49" i="16"/>
  <c r="K49" i="16"/>
  <c r="T48" i="16"/>
  <c r="K48" i="16"/>
  <c r="T47" i="16"/>
  <c r="K47" i="16"/>
  <c r="T46" i="16"/>
  <c r="K46" i="16"/>
  <c r="T45" i="16"/>
  <c r="K45" i="16"/>
  <c r="T44" i="16"/>
  <c r="K44" i="16"/>
  <c r="T43" i="16"/>
  <c r="K43" i="16"/>
  <c r="T42" i="16"/>
  <c r="K42" i="16"/>
  <c r="T41" i="16"/>
  <c r="K41" i="16"/>
  <c r="T40" i="16"/>
  <c r="K40" i="16"/>
  <c r="T39" i="16"/>
  <c r="K39" i="16"/>
  <c r="T38" i="16"/>
  <c r="K38" i="16"/>
  <c r="T37" i="16"/>
  <c r="K37" i="16"/>
  <c r="T36" i="16"/>
  <c r="K36" i="16"/>
  <c r="T35" i="16"/>
  <c r="K35" i="16"/>
  <c r="T34" i="16"/>
  <c r="K34" i="16"/>
  <c r="T33" i="16"/>
  <c r="K33" i="16"/>
  <c r="T32" i="16"/>
  <c r="K32" i="16"/>
  <c r="T31" i="16"/>
  <c r="K31" i="16"/>
  <c r="T30" i="16"/>
  <c r="K30" i="16"/>
  <c r="T29" i="16"/>
  <c r="K29" i="16"/>
  <c r="T28" i="16"/>
  <c r="K28" i="16"/>
  <c r="T27" i="16"/>
  <c r="K27" i="16"/>
  <c r="T26" i="16"/>
  <c r="K26" i="16"/>
  <c r="T25" i="16"/>
  <c r="K25" i="16"/>
  <c r="T24" i="16"/>
  <c r="K24" i="16"/>
  <c r="T23" i="16"/>
  <c r="K23" i="16"/>
  <c r="T22" i="16"/>
  <c r="K22" i="16"/>
  <c r="T21" i="16"/>
  <c r="K21" i="16"/>
  <c r="T20" i="16"/>
  <c r="K20" i="16"/>
  <c r="T19" i="16"/>
  <c r="K19" i="16"/>
  <c r="T18" i="16"/>
  <c r="K18" i="16"/>
  <c r="T17" i="16"/>
  <c r="K17" i="16"/>
  <c r="T16" i="16"/>
  <c r="K16" i="16"/>
  <c r="T15" i="16"/>
  <c r="K15" i="16"/>
  <c r="T14" i="16"/>
  <c r="K14" i="16"/>
  <c r="T13" i="16"/>
  <c r="K13" i="16"/>
  <c r="T12" i="16"/>
  <c r="K12" i="16"/>
  <c r="T11" i="16"/>
  <c r="K11" i="16"/>
  <c r="T10" i="16"/>
  <c r="K10" i="16"/>
  <c r="T9" i="16"/>
  <c r="K9" i="16"/>
  <c r="T8" i="16"/>
  <c r="K8" i="16"/>
  <c r="T7" i="16"/>
  <c r="K7" i="16"/>
  <c r="T6" i="16"/>
  <c r="K6" i="16"/>
  <c r="AT5" i="16"/>
  <c r="AT6" i="16" s="1"/>
  <c r="AT7" i="16" s="1"/>
  <c r="AT8" i="16" s="1"/>
  <c r="AT9" i="16" s="1"/>
  <c r="AT10" i="16" s="1"/>
  <c r="AT11" i="16" s="1"/>
  <c r="AT12" i="16" s="1"/>
  <c r="AT13" i="16" s="1"/>
  <c r="AT14" i="16" s="1"/>
  <c r="AT15" i="16" s="1"/>
  <c r="AT16" i="16" s="1"/>
  <c r="AT17" i="16" s="1"/>
  <c r="AT18" i="16" s="1"/>
  <c r="AT19" i="16" s="1"/>
  <c r="AT20" i="16" s="1"/>
  <c r="AT21" i="16" s="1"/>
  <c r="AT22" i="16" s="1"/>
  <c r="AT23" i="16" s="1"/>
  <c r="AT24" i="16" s="1"/>
  <c r="AT25" i="16" s="1"/>
  <c r="AT26" i="16" s="1"/>
  <c r="AT27" i="16" s="1"/>
  <c r="AT28" i="16" s="1"/>
  <c r="AT29" i="16" s="1"/>
  <c r="AT30" i="16" s="1"/>
  <c r="AT31" i="16" s="1"/>
  <c r="AT32" i="16" s="1"/>
  <c r="AT33" i="16" s="1"/>
  <c r="AT34" i="16" s="1"/>
  <c r="AT35" i="16" s="1"/>
  <c r="AT36" i="16" s="1"/>
  <c r="AT37" i="16" s="1"/>
  <c r="AT38" i="16" s="1"/>
  <c r="AT39" i="16" s="1"/>
  <c r="AT40" i="16" s="1"/>
  <c r="AT41" i="16" s="1"/>
  <c r="AT42" i="16" s="1"/>
  <c r="AT43" i="16" s="1"/>
  <c r="AT44" i="16" s="1"/>
  <c r="AT45" i="16" s="1"/>
  <c r="AT46" i="16" s="1"/>
  <c r="AT47" i="16" s="1"/>
  <c r="AT48" i="16" s="1"/>
  <c r="AT49" i="16" s="1"/>
  <c r="AT50" i="16" s="1"/>
  <c r="AT51" i="16" s="1"/>
  <c r="AT52" i="16" s="1"/>
  <c r="AT53" i="16" s="1"/>
  <c r="AT54" i="16" s="1"/>
  <c r="AT55" i="16" s="1"/>
  <c r="AT56" i="16" s="1"/>
  <c r="AT57" i="16" s="1"/>
  <c r="AT58" i="16" s="1"/>
  <c r="AT59" i="16" s="1"/>
  <c r="AT60" i="16" s="1"/>
  <c r="AT61" i="16" s="1"/>
  <c r="AT62" i="16" s="1"/>
  <c r="AT63" i="16" s="1"/>
  <c r="AT64" i="16" s="1"/>
  <c r="AT65" i="16" s="1"/>
  <c r="AT66" i="16" s="1"/>
  <c r="AT67" i="16" s="1"/>
  <c r="AT68" i="16" s="1"/>
  <c r="AT69" i="16" s="1"/>
  <c r="AT70" i="16" s="1"/>
  <c r="AT71" i="16" s="1"/>
  <c r="AT72" i="16" s="1"/>
  <c r="AT73" i="16" s="1"/>
  <c r="AT74" i="16" s="1"/>
  <c r="AT75" i="16" s="1"/>
  <c r="AT76" i="16" s="1"/>
  <c r="AT77" i="16" s="1"/>
  <c r="AT78" i="16" s="1"/>
  <c r="AT79" i="16" s="1"/>
  <c r="AT80" i="16" s="1"/>
  <c r="AT81" i="16" s="1"/>
  <c r="AT82" i="16" s="1"/>
  <c r="AT83" i="16" s="1"/>
  <c r="AT84" i="16" s="1"/>
  <c r="AT85" i="16" s="1"/>
  <c r="AT86" i="16" s="1"/>
  <c r="AT87" i="16" s="1"/>
  <c r="AT88" i="16" s="1"/>
  <c r="AT89" i="16" s="1"/>
  <c r="AT90" i="16" s="1"/>
  <c r="AT91" i="16" s="1"/>
  <c r="AT92" i="16" s="1"/>
  <c r="AT93" i="16" s="1"/>
  <c r="AT94" i="16" s="1"/>
  <c r="AT95" i="16" s="1"/>
  <c r="AT96" i="16" s="1"/>
  <c r="AT97" i="16" s="1"/>
  <c r="AT98" i="16" s="1"/>
  <c r="AT99" i="16" s="1"/>
  <c r="AT100" i="16" s="1"/>
  <c r="AT101" i="16" s="1"/>
  <c r="AT102" i="16" s="1"/>
  <c r="AT103" i="16" s="1"/>
  <c r="AT104" i="16" s="1"/>
  <c r="AT105" i="16" s="1"/>
  <c r="AT106" i="16" s="1"/>
  <c r="AT107" i="16" s="1"/>
  <c r="AT108" i="16" s="1"/>
  <c r="AT109" i="16" s="1"/>
  <c r="AT110" i="16" s="1"/>
  <c r="AT111" i="16" s="1"/>
  <c r="AT112" i="16" s="1"/>
  <c r="AT113" i="16" s="1"/>
  <c r="AT114" i="16" s="1"/>
  <c r="AT115" i="16" s="1"/>
  <c r="AT116" i="16" s="1"/>
  <c r="AT117" i="16" s="1"/>
  <c r="AT118" i="16" s="1"/>
  <c r="AT119" i="16" s="1"/>
  <c r="AT120" i="16" s="1"/>
  <c r="AT121" i="16" s="1"/>
  <c r="AT122" i="16" s="1"/>
  <c r="AT123" i="16" s="1"/>
  <c r="AT124" i="16" s="1"/>
  <c r="T5" i="16"/>
  <c r="M5" i="16"/>
  <c r="M4" i="16"/>
  <c r="AD133" i="11"/>
  <c r="AD131" i="11"/>
  <c r="T124" i="11"/>
  <c r="K124" i="11"/>
  <c r="T123" i="11"/>
  <c r="K123" i="11"/>
  <c r="T122" i="11"/>
  <c r="K122" i="11"/>
  <c r="T121" i="11"/>
  <c r="T120" i="11"/>
  <c r="K120" i="11"/>
  <c r="T119" i="11"/>
  <c r="K119" i="11"/>
  <c r="T118" i="11"/>
  <c r="T117" i="11"/>
  <c r="T116" i="11"/>
  <c r="T115" i="11"/>
  <c r="K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K99" i="11"/>
  <c r="T98" i="11"/>
  <c r="T97" i="11"/>
  <c r="K97" i="11"/>
  <c r="T96" i="11"/>
  <c r="T95" i="11"/>
  <c r="T94" i="11"/>
  <c r="T93" i="11"/>
  <c r="K93" i="11"/>
  <c r="T92" i="11"/>
  <c r="K92" i="11"/>
  <c r="T91" i="11"/>
  <c r="K91" i="11"/>
  <c r="T90" i="11"/>
  <c r="T89" i="11"/>
  <c r="K89" i="11"/>
  <c r="T88" i="11"/>
  <c r="K88" i="11"/>
  <c r="T87" i="11"/>
  <c r="T86" i="11"/>
  <c r="T85" i="11"/>
  <c r="K85" i="11"/>
  <c r="T84" i="11"/>
  <c r="T83" i="11"/>
  <c r="K83" i="11"/>
  <c r="T82" i="11"/>
  <c r="T81" i="11"/>
  <c r="K81" i="11"/>
  <c r="T80" i="11"/>
  <c r="K80" i="11"/>
  <c r="T79" i="11"/>
  <c r="K79" i="11"/>
  <c r="T78" i="11"/>
  <c r="T77" i="11"/>
  <c r="T76" i="11"/>
  <c r="K76" i="11"/>
  <c r="T75" i="11"/>
  <c r="T74" i="11"/>
  <c r="T73" i="11"/>
  <c r="T72" i="11"/>
  <c r="K72" i="11"/>
  <c r="T71" i="11"/>
  <c r="K71" i="11"/>
  <c r="T70" i="11"/>
  <c r="K70" i="11"/>
  <c r="T69" i="11"/>
  <c r="T68" i="11"/>
  <c r="T67" i="11"/>
  <c r="K67" i="11"/>
  <c r="T66" i="11"/>
  <c r="T65" i="11"/>
  <c r="T64" i="11"/>
  <c r="T63" i="11"/>
  <c r="K63" i="11"/>
  <c r="T62" i="11"/>
  <c r="K62" i="11"/>
  <c r="T61" i="11"/>
  <c r="K61" i="11"/>
  <c r="T60" i="11"/>
  <c r="T59" i="11"/>
  <c r="T58" i="11"/>
  <c r="K58" i="11"/>
  <c r="T57" i="11"/>
  <c r="K57" i="11"/>
  <c r="T56" i="11"/>
  <c r="T55" i="11"/>
  <c r="T54" i="11"/>
  <c r="K54" i="11"/>
  <c r="T53" i="11"/>
  <c r="K53" i="11"/>
  <c r="T52" i="11"/>
  <c r="K52" i="11"/>
  <c r="T51" i="11"/>
  <c r="T50" i="11"/>
  <c r="K50" i="11"/>
  <c r="T49" i="11"/>
  <c r="K49" i="11"/>
  <c r="T48" i="11"/>
  <c r="K48" i="11"/>
  <c r="T47" i="11"/>
  <c r="T46" i="11"/>
  <c r="T45" i="11"/>
  <c r="K45" i="11"/>
  <c r="T44" i="11"/>
  <c r="K44" i="11"/>
  <c r="T43" i="11"/>
  <c r="T42" i="11"/>
  <c r="T41" i="11"/>
  <c r="K41" i="11"/>
  <c r="T40" i="11"/>
  <c r="K40" i="11"/>
  <c r="T39" i="11"/>
  <c r="T38" i="11"/>
  <c r="K38" i="11"/>
  <c r="T37" i="11"/>
  <c r="T36" i="11"/>
  <c r="K36" i="11"/>
  <c r="T35" i="11"/>
  <c r="T34" i="11"/>
  <c r="K34" i="11"/>
  <c r="T33" i="11"/>
  <c r="T32" i="11"/>
  <c r="K32" i="11"/>
  <c r="T31" i="11"/>
  <c r="T30" i="11"/>
  <c r="K30" i="11"/>
  <c r="T29" i="11"/>
  <c r="K29" i="11"/>
  <c r="T28" i="11"/>
  <c r="T27" i="11"/>
  <c r="T26" i="11"/>
  <c r="K26" i="11"/>
  <c r="T25" i="11"/>
  <c r="K25" i="11"/>
  <c r="T24" i="11"/>
  <c r="T23" i="11"/>
  <c r="T22" i="11"/>
  <c r="K22" i="11"/>
  <c r="T21" i="11"/>
  <c r="K21" i="11"/>
  <c r="T20" i="11"/>
  <c r="K20" i="11"/>
  <c r="T19" i="11"/>
  <c r="T18" i="11"/>
  <c r="K18" i="11"/>
  <c r="T17" i="11"/>
  <c r="K17" i="11"/>
  <c r="T16" i="11"/>
  <c r="K16" i="11"/>
  <c r="T15" i="11"/>
  <c r="T14" i="11"/>
  <c r="T13" i="11"/>
  <c r="K13" i="11"/>
  <c r="T12" i="11"/>
  <c r="K12" i="11"/>
  <c r="T11" i="11"/>
  <c r="K11" i="11"/>
  <c r="T10" i="11"/>
  <c r="T9" i="11"/>
  <c r="K9" i="11"/>
  <c r="T8" i="11"/>
  <c r="K8" i="11"/>
  <c r="T7" i="11"/>
  <c r="K7" i="11"/>
  <c r="AT6" i="11"/>
  <c r="AT7" i="11" s="1"/>
  <c r="AT8" i="11" s="1"/>
  <c r="AT9" i="11" s="1"/>
  <c r="AT10" i="11" s="1"/>
  <c r="AT11" i="11" s="1"/>
  <c r="AT12" i="11" s="1"/>
  <c r="AT13" i="11" s="1"/>
  <c r="AT14" i="11" s="1"/>
  <c r="AT15" i="11" s="1"/>
  <c r="AT16" i="11" s="1"/>
  <c r="AT17" i="11" s="1"/>
  <c r="AT18" i="11" s="1"/>
  <c r="AT19" i="11" s="1"/>
  <c r="AT20" i="11" s="1"/>
  <c r="AT21" i="11" s="1"/>
  <c r="AT22" i="11" s="1"/>
  <c r="AT23" i="11" s="1"/>
  <c r="AT24" i="11" s="1"/>
  <c r="AT25" i="11" s="1"/>
  <c r="AT26" i="11" s="1"/>
  <c r="AT27" i="11" s="1"/>
  <c r="AT28" i="11" s="1"/>
  <c r="AT29" i="11" s="1"/>
  <c r="AT30" i="11" s="1"/>
  <c r="AT31" i="11" s="1"/>
  <c r="AT32" i="11" s="1"/>
  <c r="AT33" i="11" s="1"/>
  <c r="AT34" i="11" s="1"/>
  <c r="AT35" i="11" s="1"/>
  <c r="AT36" i="11" s="1"/>
  <c r="AT37" i="11" s="1"/>
  <c r="AT38" i="11" s="1"/>
  <c r="AT39" i="11" s="1"/>
  <c r="AT40" i="11" s="1"/>
  <c r="AT41" i="11" s="1"/>
  <c r="AT42" i="11" s="1"/>
  <c r="AT43" i="11" s="1"/>
  <c r="AT44" i="11" s="1"/>
  <c r="AT45" i="11" s="1"/>
  <c r="AT46" i="11" s="1"/>
  <c r="AT47" i="11" s="1"/>
  <c r="AT48" i="11" s="1"/>
  <c r="AT49" i="11" s="1"/>
  <c r="AT50" i="11" s="1"/>
  <c r="AT51" i="11" s="1"/>
  <c r="AT52" i="11" s="1"/>
  <c r="AT53" i="11" s="1"/>
  <c r="AT54" i="11" s="1"/>
  <c r="AT55" i="11" s="1"/>
  <c r="AT56" i="11" s="1"/>
  <c r="AT57" i="11" s="1"/>
  <c r="AT58" i="11" s="1"/>
  <c r="AT59" i="11" s="1"/>
  <c r="AT60" i="11" s="1"/>
  <c r="AT61" i="11" s="1"/>
  <c r="AT62" i="11" s="1"/>
  <c r="AT63" i="11" s="1"/>
  <c r="AT64" i="11" s="1"/>
  <c r="AT65" i="11" s="1"/>
  <c r="AT66" i="11" s="1"/>
  <c r="AT67" i="11" s="1"/>
  <c r="AT68" i="11" s="1"/>
  <c r="AT69" i="11" s="1"/>
  <c r="AT70" i="11" s="1"/>
  <c r="AT71" i="11" s="1"/>
  <c r="AT72" i="11" s="1"/>
  <c r="AT73" i="11" s="1"/>
  <c r="AT74" i="11" s="1"/>
  <c r="AT75" i="11" s="1"/>
  <c r="AT76" i="11" s="1"/>
  <c r="AT77" i="11" s="1"/>
  <c r="AT78" i="11" s="1"/>
  <c r="AT79" i="11" s="1"/>
  <c r="AT80" i="11" s="1"/>
  <c r="AT81" i="11" s="1"/>
  <c r="AT82" i="11" s="1"/>
  <c r="AT83" i="11" s="1"/>
  <c r="AT84" i="11" s="1"/>
  <c r="AT85" i="11" s="1"/>
  <c r="AT86" i="11" s="1"/>
  <c r="AT87" i="11" s="1"/>
  <c r="AT88" i="11" s="1"/>
  <c r="AT89" i="11" s="1"/>
  <c r="AT90" i="11" s="1"/>
  <c r="AT91" i="11" s="1"/>
  <c r="AT92" i="11" s="1"/>
  <c r="AT93" i="11" s="1"/>
  <c r="AT94" i="11" s="1"/>
  <c r="AT95" i="11" s="1"/>
  <c r="AT96" i="11" s="1"/>
  <c r="AT97" i="11" s="1"/>
  <c r="AT98" i="11" s="1"/>
  <c r="AT99" i="11" s="1"/>
  <c r="AT100" i="11" s="1"/>
  <c r="AT101" i="11" s="1"/>
  <c r="AT102" i="11" s="1"/>
  <c r="AT103" i="11" s="1"/>
  <c r="AT104" i="11" s="1"/>
  <c r="AT105" i="11" s="1"/>
  <c r="AT106" i="11" s="1"/>
  <c r="AT107" i="11" s="1"/>
  <c r="AT108" i="11" s="1"/>
  <c r="AT109" i="11" s="1"/>
  <c r="AT110" i="11" s="1"/>
  <c r="AT111" i="11" s="1"/>
  <c r="AT112" i="11" s="1"/>
  <c r="AT113" i="11" s="1"/>
  <c r="AT114" i="11" s="1"/>
  <c r="AT115" i="11" s="1"/>
  <c r="AT116" i="11" s="1"/>
  <c r="AT117" i="11" s="1"/>
  <c r="AT118" i="11" s="1"/>
  <c r="AT119" i="11" s="1"/>
  <c r="AT120" i="11" s="1"/>
  <c r="AT121" i="11" s="1"/>
  <c r="AT122" i="11" s="1"/>
  <c r="AT123" i="11" s="1"/>
  <c r="AT124" i="11" s="1"/>
  <c r="T6" i="11"/>
  <c r="K6" i="11"/>
  <c r="AT5" i="11"/>
  <c r="T5" i="11"/>
  <c r="M5" i="11"/>
  <c r="M4" i="11"/>
  <c r="J4" i="11"/>
  <c r="K4" i="11" s="1"/>
  <c r="I4" i="11" a="1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AT80" i="10"/>
  <c r="AT81" i="10"/>
  <c r="AT82" i="10"/>
  <c r="AT83" i="10" s="1"/>
  <c r="AT84" i="10" s="1"/>
  <c r="AT85" i="10" s="1"/>
  <c r="AT86" i="10" s="1"/>
  <c r="AT87" i="10" s="1"/>
  <c r="AT88" i="10" s="1"/>
  <c r="AT89" i="10" s="1"/>
  <c r="AT90" i="10" s="1"/>
  <c r="AT91" i="10" s="1"/>
  <c r="AT92" i="10" s="1"/>
  <c r="AT93" i="10" s="1"/>
  <c r="AT94" i="10" s="1"/>
  <c r="AT95" i="10" s="1"/>
  <c r="AT96" i="10" s="1"/>
  <c r="AT97" i="10" s="1"/>
  <c r="AT98" i="10" s="1"/>
  <c r="AT99" i="10" s="1"/>
  <c r="AT100" i="10" s="1"/>
  <c r="AT101" i="10" s="1"/>
  <c r="AT102" i="10" s="1"/>
  <c r="AT103" i="10" s="1"/>
  <c r="AT104" i="10" s="1"/>
  <c r="AT105" i="10" s="1"/>
  <c r="AT106" i="10" s="1"/>
  <c r="AT107" i="10" s="1"/>
  <c r="AT108" i="10" s="1"/>
  <c r="AT109" i="10" s="1"/>
  <c r="AT110" i="10" s="1"/>
  <c r="AT111" i="10" s="1"/>
  <c r="AT112" i="10" s="1"/>
  <c r="AT113" i="10" s="1"/>
  <c r="AT114" i="10" s="1"/>
  <c r="AT115" i="10" s="1"/>
  <c r="AT116" i="10" s="1"/>
  <c r="AT117" i="10" s="1"/>
  <c r="AT118" i="10" s="1"/>
  <c r="AT119" i="10" s="1"/>
  <c r="AT120" i="10" s="1"/>
  <c r="AT121" i="10" s="1"/>
  <c r="AT122" i="10" s="1"/>
  <c r="AT123" i="10" s="1"/>
  <c r="AT124" i="10" s="1"/>
  <c r="I4" i="10" a="1"/>
  <c r="AC124" i="10" s="1"/>
  <c r="J4" i="10"/>
  <c r="K4" i="10" s="1"/>
  <c r="AD133" i="10"/>
  <c r="AD131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AT6" i="10"/>
  <c r="AT7" i="10" s="1"/>
  <c r="AT8" i="10" s="1"/>
  <c r="AT9" i="10" s="1"/>
  <c r="AT10" i="10" s="1"/>
  <c r="AT11" i="10" s="1"/>
  <c r="AT12" i="10" s="1"/>
  <c r="AT13" i="10" s="1"/>
  <c r="AT14" i="10" s="1"/>
  <c r="AT15" i="10" s="1"/>
  <c r="AT16" i="10" s="1"/>
  <c r="AT17" i="10" s="1"/>
  <c r="AT18" i="10" s="1"/>
  <c r="AT19" i="10" s="1"/>
  <c r="AT20" i="10" s="1"/>
  <c r="AT21" i="10" s="1"/>
  <c r="AT22" i="10" s="1"/>
  <c r="AT23" i="10" s="1"/>
  <c r="AT24" i="10" s="1"/>
  <c r="AT25" i="10" s="1"/>
  <c r="AT26" i="10" s="1"/>
  <c r="AT27" i="10" s="1"/>
  <c r="AT28" i="10" s="1"/>
  <c r="AT29" i="10" s="1"/>
  <c r="AT30" i="10" s="1"/>
  <c r="AT31" i="10" s="1"/>
  <c r="AT32" i="10" s="1"/>
  <c r="AT33" i="10" s="1"/>
  <c r="AT34" i="10" s="1"/>
  <c r="AT35" i="10" s="1"/>
  <c r="AT36" i="10" s="1"/>
  <c r="AT37" i="10" s="1"/>
  <c r="AT38" i="10" s="1"/>
  <c r="AT39" i="10" s="1"/>
  <c r="AT40" i="10" s="1"/>
  <c r="AT41" i="10" s="1"/>
  <c r="AT42" i="10" s="1"/>
  <c r="AT43" i="10" s="1"/>
  <c r="AT44" i="10" s="1"/>
  <c r="AT45" i="10" s="1"/>
  <c r="AT46" i="10" s="1"/>
  <c r="AT47" i="10" s="1"/>
  <c r="AT48" i="10" s="1"/>
  <c r="AT49" i="10" s="1"/>
  <c r="AT50" i="10" s="1"/>
  <c r="AT51" i="10" s="1"/>
  <c r="AT52" i="10" s="1"/>
  <c r="AT53" i="10" s="1"/>
  <c r="AT54" i="10" s="1"/>
  <c r="AT55" i="10" s="1"/>
  <c r="AT56" i="10" s="1"/>
  <c r="AT57" i="10" s="1"/>
  <c r="AT58" i="10" s="1"/>
  <c r="AT59" i="10" s="1"/>
  <c r="AT60" i="10" s="1"/>
  <c r="AT61" i="10" s="1"/>
  <c r="AT62" i="10" s="1"/>
  <c r="AT63" i="10" s="1"/>
  <c r="AT64" i="10" s="1"/>
  <c r="AT65" i="10" s="1"/>
  <c r="AT66" i="10" s="1"/>
  <c r="AT67" i="10" s="1"/>
  <c r="AT68" i="10" s="1"/>
  <c r="AT69" i="10" s="1"/>
  <c r="AT70" i="10" s="1"/>
  <c r="AT71" i="10" s="1"/>
  <c r="AT72" i="10" s="1"/>
  <c r="AT73" i="10" s="1"/>
  <c r="AT74" i="10" s="1"/>
  <c r="AT75" i="10" s="1"/>
  <c r="AT76" i="10" s="1"/>
  <c r="AT77" i="10" s="1"/>
  <c r="AT78" i="10" s="1"/>
  <c r="AT79" i="10" s="1"/>
  <c r="T6" i="10"/>
  <c r="AT5" i="10"/>
  <c r="T5" i="10"/>
  <c r="M5" i="10"/>
  <c r="M4" i="10"/>
  <c r="L4" i="10"/>
  <c r="AJ62" i="24" l="1"/>
  <c r="AM62" i="24" s="1"/>
  <c r="X63" i="26"/>
  <c r="AB63" i="26" s="1"/>
  <c r="Z64" i="26" s="1"/>
  <c r="X62" i="25"/>
  <c r="AB62" i="25" s="1"/>
  <c r="Z63" i="25" s="1"/>
  <c r="AO61" i="25"/>
  <c r="W63" i="24"/>
  <c r="AB63" i="23"/>
  <c r="AG63" i="23"/>
  <c r="AE63" i="23"/>
  <c r="AC63" i="23"/>
  <c r="U64" i="23"/>
  <c r="S6" i="11"/>
  <c r="S7" i="11"/>
  <c r="AF131" i="19"/>
  <c r="AF129" i="19"/>
  <c r="AN4" i="20"/>
  <c r="AF133" i="20"/>
  <c r="AJ4" i="20"/>
  <c r="AF131" i="20"/>
  <c r="AV7" i="20"/>
  <c r="AC5" i="20"/>
  <c r="AA6" i="20" s="1"/>
  <c r="AE5" i="20"/>
  <c r="U6" i="20"/>
  <c r="AG5" i="20"/>
  <c r="U6" i="19"/>
  <c r="AC5" i="19"/>
  <c r="AA6" i="19" s="1"/>
  <c r="AE5" i="19"/>
  <c r="AG5" i="19"/>
  <c r="AA5" i="19"/>
  <c r="AN4" i="19"/>
  <c r="AJ4" i="19"/>
  <c r="AV6" i="19"/>
  <c r="AJ4" i="18"/>
  <c r="AN4" i="18"/>
  <c r="W5" i="18"/>
  <c r="X5" i="18" s="1"/>
  <c r="AV7" i="18"/>
  <c r="AU8" i="18" s="1"/>
  <c r="AV8" i="18" s="1"/>
  <c r="AF129" i="18"/>
  <c r="AF131" i="18"/>
  <c r="AF133" i="18"/>
  <c r="K4" i="16"/>
  <c r="L123" i="16"/>
  <c r="M123" i="16"/>
  <c r="L124" i="16"/>
  <c r="M124" i="16"/>
  <c r="M12" i="16"/>
  <c r="M122" i="16"/>
  <c r="M121" i="16"/>
  <c r="M120" i="16"/>
  <c r="M119" i="16"/>
  <c r="M118" i="16"/>
  <c r="M117" i="16"/>
  <c r="M116" i="16"/>
  <c r="M115" i="16"/>
  <c r="M114" i="16"/>
  <c r="M113" i="16"/>
  <c r="M112" i="16"/>
  <c r="M111" i="16"/>
  <c r="M110" i="16"/>
  <c r="M109" i="16"/>
  <c r="M108" i="16"/>
  <c r="M107" i="16"/>
  <c r="M106" i="16"/>
  <c r="M105" i="16"/>
  <c r="M104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M103" i="16"/>
  <c r="L99" i="16"/>
  <c r="L95" i="16"/>
  <c r="L91" i="16"/>
  <c r="L87" i="16"/>
  <c r="L83" i="16"/>
  <c r="L79" i="16"/>
  <c r="L76" i="16"/>
  <c r="L72" i="16"/>
  <c r="L68" i="16"/>
  <c r="M102" i="16"/>
  <c r="M98" i="16"/>
  <c r="M94" i="16"/>
  <c r="M90" i="16"/>
  <c r="M86" i="16"/>
  <c r="M82" i="16"/>
  <c r="M78" i="16"/>
  <c r="M73" i="16"/>
  <c r="M69" i="16"/>
  <c r="L100" i="16"/>
  <c r="L96" i="16"/>
  <c r="L92" i="16"/>
  <c r="L88" i="16"/>
  <c r="L84" i="16"/>
  <c r="L80" i="16"/>
  <c r="M75" i="16"/>
  <c r="M67" i="16"/>
  <c r="M66" i="16"/>
  <c r="M76" i="16"/>
  <c r="L75" i="16"/>
  <c r="L69" i="16"/>
  <c r="M68" i="16"/>
  <c r="L67" i="16"/>
  <c r="L66" i="16"/>
  <c r="M93" i="16"/>
  <c r="M91" i="16"/>
  <c r="L90" i="16"/>
  <c r="M77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97" i="16"/>
  <c r="L94" i="16"/>
  <c r="M81" i="16"/>
  <c r="M79" i="16"/>
  <c r="L93" i="16"/>
  <c r="M92" i="16"/>
  <c r="L77" i="16"/>
  <c r="M72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M15" i="16"/>
  <c r="M13" i="16"/>
  <c r="AU5" i="16"/>
  <c r="M95" i="16"/>
  <c r="L78" i="16"/>
  <c r="L102" i="16"/>
  <c r="M101" i="16"/>
  <c r="L101" i="16"/>
  <c r="L98" i="16"/>
  <c r="M88" i="16"/>
  <c r="L81" i="16"/>
  <c r="L73" i="16"/>
  <c r="M71" i="16"/>
  <c r="L97" i="16"/>
  <c r="M87" i="16"/>
  <c r="M80" i="16"/>
  <c r="M83" i="16"/>
  <c r="L82" i="16"/>
  <c r="M99" i="16"/>
  <c r="M85" i="16"/>
  <c r="M84" i="16"/>
  <c r="M96" i="16"/>
  <c r="L86" i="16"/>
  <c r="L70" i="16"/>
  <c r="L15" i="16"/>
  <c r="M11" i="16"/>
  <c r="M10" i="16"/>
  <c r="M9" i="16"/>
  <c r="M8" i="16"/>
  <c r="M7" i="16"/>
  <c r="L85" i="16"/>
  <c r="L11" i="16"/>
  <c r="L10" i="16"/>
  <c r="L9" i="16"/>
  <c r="L8" i="16"/>
  <c r="L7" i="16"/>
  <c r="M6" i="16"/>
  <c r="L71" i="16"/>
  <c r="M89" i="16"/>
  <c r="L14" i="16"/>
  <c r="M14" i="16"/>
  <c r="M70" i="16"/>
  <c r="L74" i="16"/>
  <c r="L89" i="16"/>
  <c r="M100" i="16"/>
  <c r="M74" i="16"/>
  <c r="L6" i="16"/>
  <c r="L12" i="16"/>
  <c r="L13" i="16"/>
  <c r="S117" i="11"/>
  <c r="S109" i="11"/>
  <c r="S101" i="11"/>
  <c r="S93" i="11"/>
  <c r="S85" i="11"/>
  <c r="S77" i="11"/>
  <c r="S69" i="11"/>
  <c r="S61" i="11"/>
  <c r="S53" i="11"/>
  <c r="S45" i="11"/>
  <c r="S37" i="11"/>
  <c r="S29" i="11"/>
  <c r="S21" i="11"/>
  <c r="S13" i="11"/>
  <c r="S124" i="11"/>
  <c r="S116" i="11"/>
  <c r="S108" i="11"/>
  <c r="S100" i="11"/>
  <c r="S92" i="11"/>
  <c r="S84" i="11"/>
  <c r="S76" i="11"/>
  <c r="S68" i="11"/>
  <c r="S60" i="11"/>
  <c r="S52" i="11"/>
  <c r="S44" i="11"/>
  <c r="S36" i="11"/>
  <c r="S28" i="11"/>
  <c r="S20" i="11"/>
  <c r="S12" i="11"/>
  <c r="S123" i="11"/>
  <c r="S115" i="11"/>
  <c r="S107" i="11"/>
  <c r="S99" i="11"/>
  <c r="S91" i="11"/>
  <c r="S83" i="11"/>
  <c r="S75" i="11"/>
  <c r="S67" i="11"/>
  <c r="S59" i="11"/>
  <c r="S51" i="11"/>
  <c r="S43" i="11"/>
  <c r="S35" i="11"/>
  <c r="S27" i="11"/>
  <c r="S19" i="11"/>
  <c r="S11" i="11"/>
  <c r="S122" i="11"/>
  <c r="S114" i="11"/>
  <c r="S106" i="11"/>
  <c r="S98" i="11"/>
  <c r="S90" i="11"/>
  <c r="S82" i="11"/>
  <c r="S74" i="11"/>
  <c r="S66" i="11"/>
  <c r="S58" i="11"/>
  <c r="S50" i="11"/>
  <c r="S42" i="11"/>
  <c r="S34" i="11"/>
  <c r="S26" i="11"/>
  <c r="S18" i="11"/>
  <c r="S10" i="11"/>
  <c r="S121" i="11"/>
  <c r="S113" i="11"/>
  <c r="S105" i="11"/>
  <c r="S97" i="11"/>
  <c r="S89" i="11"/>
  <c r="S81" i="11"/>
  <c r="S73" i="11"/>
  <c r="S65" i="11"/>
  <c r="S57" i="11"/>
  <c r="S49" i="11"/>
  <c r="S41" i="11"/>
  <c r="S33" i="11"/>
  <c r="S25" i="11"/>
  <c r="S17" i="11"/>
  <c r="S9" i="11"/>
  <c r="S120" i="11"/>
  <c r="S104" i="11"/>
  <c r="S80" i="11"/>
  <c r="S64" i="11"/>
  <c r="S48" i="11"/>
  <c r="S24" i="11"/>
  <c r="S16" i="11"/>
  <c r="S119" i="11"/>
  <c r="S111" i="11"/>
  <c r="S103" i="11"/>
  <c r="S95" i="11"/>
  <c r="S87" i="11"/>
  <c r="S79" i="11"/>
  <c r="S71" i="11"/>
  <c r="S63" i="11"/>
  <c r="S55" i="11"/>
  <c r="S47" i="11"/>
  <c r="S39" i="11"/>
  <c r="S31" i="11"/>
  <c r="S23" i="11"/>
  <c r="S15" i="11"/>
  <c r="S112" i="11"/>
  <c r="S96" i="11"/>
  <c r="S88" i="11"/>
  <c r="S72" i="11"/>
  <c r="S56" i="11"/>
  <c r="S40" i="11"/>
  <c r="S32" i="11"/>
  <c r="S8" i="11"/>
  <c r="S118" i="11"/>
  <c r="S110" i="11"/>
  <c r="S102" i="11"/>
  <c r="S94" i="11"/>
  <c r="S86" i="11"/>
  <c r="S78" i="11"/>
  <c r="S70" i="11"/>
  <c r="S62" i="11"/>
  <c r="S54" i="11"/>
  <c r="S46" i="11"/>
  <c r="S38" i="11"/>
  <c r="S30" i="11"/>
  <c r="S22" i="11"/>
  <c r="S14" i="11"/>
  <c r="P124" i="10"/>
  <c r="AI124" i="10" s="1"/>
  <c r="M123" i="11"/>
  <c r="L123" i="11"/>
  <c r="M124" i="11"/>
  <c r="L124" i="11"/>
  <c r="L122" i="11"/>
  <c r="M122" i="11"/>
  <c r="L78" i="11"/>
  <c r="M71" i="11"/>
  <c r="M65" i="11"/>
  <c r="L59" i="11"/>
  <c r="M37" i="11"/>
  <c r="M15" i="11"/>
  <c r="M12" i="11"/>
  <c r="L10" i="11"/>
  <c r="M47" i="11"/>
  <c r="L27" i="11"/>
  <c r="M19" i="11"/>
  <c r="M89" i="11"/>
  <c r="L66" i="11"/>
  <c r="L49" i="11"/>
  <c r="L35" i="11"/>
  <c r="M6" i="11"/>
  <c r="M74" i="11"/>
  <c r="L71" i="11"/>
  <c r="M56" i="11"/>
  <c r="M53" i="11"/>
  <c r="M51" i="11"/>
  <c r="M48" i="11"/>
  <c r="L37" i="11"/>
  <c r="M31" i="11"/>
  <c r="L25" i="11"/>
  <c r="M20" i="11"/>
  <c r="L15" i="11"/>
  <c r="L12" i="11"/>
  <c r="L7" i="11"/>
  <c r="M44" i="11"/>
  <c r="M66" i="11"/>
  <c r="L47" i="11"/>
  <c r="M21" i="11"/>
  <c r="L40" i="11"/>
  <c r="L29" i="11"/>
  <c r="M10" i="11"/>
  <c r="M78" i="11"/>
  <c r="L8" i="11"/>
  <c r="L21" i="11"/>
  <c r="L24" i="11"/>
  <c r="M29" i="11"/>
  <c r="M32" i="11"/>
  <c r="L52" i="11"/>
  <c r="L60" i="11"/>
  <c r="M85" i="11"/>
  <c r="M8" i="11"/>
  <c r="M16" i="11"/>
  <c r="M24" i="11"/>
  <c r="L44" i="11"/>
  <c r="M52" i="11"/>
  <c r="L57" i="11"/>
  <c r="L11" i="11"/>
  <c r="M41" i="11"/>
  <c r="L70" i="11"/>
  <c r="M33" i="11"/>
  <c r="L39" i="11"/>
  <c r="L61" i="11"/>
  <c r="M87" i="11"/>
  <c r="M69" i="11"/>
  <c r="M75" i="11"/>
  <c r="L17" i="11"/>
  <c r="L20" i="11"/>
  <c r="L28" i="11"/>
  <c r="L31" i="11"/>
  <c r="M39" i="11"/>
  <c r="L53" i="11"/>
  <c r="L56" i="11"/>
  <c r="M61" i="11"/>
  <c r="L80" i="11"/>
  <c r="M109" i="11"/>
  <c r="M102" i="11"/>
  <c r="L87" i="11"/>
  <c r="L65" i="11"/>
  <c r="M62" i="11"/>
  <c r="L48" i="11"/>
  <c r="M43" i="11"/>
  <c r="L33" i="11"/>
  <c r="L16" i="11"/>
  <c r="M101" i="11"/>
  <c r="L111" i="11"/>
  <c r="M115" i="11"/>
  <c r="L100" i="11"/>
  <c r="M119" i="11"/>
  <c r="L110" i="11"/>
  <c r="M94" i="11"/>
  <c r="L94" i="11"/>
  <c r="L67" i="11"/>
  <c r="L62" i="11"/>
  <c r="M60" i="11"/>
  <c r="M57" i="11"/>
  <c r="L43" i="11"/>
  <c r="M35" i="11"/>
  <c r="M28" i="11"/>
  <c r="M25" i="11"/>
  <c r="M11" i="11"/>
  <c r="M7" i="11"/>
  <c r="AU5" i="11"/>
  <c r="L90" i="11"/>
  <c r="M110" i="11"/>
  <c r="L121" i="11"/>
  <c r="K118" i="11"/>
  <c r="L117" i="11"/>
  <c r="K114" i="11"/>
  <c r="L113" i="11"/>
  <c r="K110" i="11"/>
  <c r="L109" i="11"/>
  <c r="K106" i="11"/>
  <c r="L105" i="11"/>
  <c r="M120" i="11"/>
  <c r="M116" i="11"/>
  <c r="M112" i="11"/>
  <c r="M108" i="11"/>
  <c r="M117" i="11"/>
  <c r="K113" i="11"/>
  <c r="L112" i="11"/>
  <c r="M107" i="11"/>
  <c r="L104" i="11"/>
  <c r="M103" i="11"/>
  <c r="M99" i="11"/>
  <c r="M95" i="11"/>
  <c r="M91" i="11"/>
  <c r="M121" i="11"/>
  <c r="K117" i="11"/>
  <c r="L116" i="11"/>
  <c r="M111" i="11"/>
  <c r="K108" i="11"/>
  <c r="L107" i="11"/>
  <c r="L103" i="11"/>
  <c r="K100" i="11"/>
  <c r="L99" i="11"/>
  <c r="L114" i="11"/>
  <c r="K112" i="11"/>
  <c r="M105" i="11"/>
  <c r="K102" i="11"/>
  <c r="L101" i="11"/>
  <c r="L89" i="11"/>
  <c r="K86" i="11"/>
  <c r="L85" i="11"/>
  <c r="K82" i="11"/>
  <c r="L81" i="11"/>
  <c r="K78" i="11"/>
  <c r="L77" i="11"/>
  <c r="K74" i="11"/>
  <c r="L120" i="11"/>
  <c r="M118" i="11"/>
  <c r="K116" i="11"/>
  <c r="K105" i="11"/>
  <c r="K98" i="11"/>
  <c r="L95" i="11"/>
  <c r="K94" i="11"/>
  <c r="L91" i="11"/>
  <c r="K90" i="11"/>
  <c r="M88" i="11"/>
  <c r="M84" i="11"/>
  <c r="M80" i="11"/>
  <c r="M76" i="11"/>
  <c r="K121" i="11"/>
  <c r="L115" i="11"/>
  <c r="M114" i="11"/>
  <c r="M113" i="11"/>
  <c r="K107" i="11"/>
  <c r="K101" i="11"/>
  <c r="M96" i="11"/>
  <c r="K95" i="11"/>
  <c r="K87" i="11"/>
  <c r="L86" i="11"/>
  <c r="M77" i="11"/>
  <c r="L73" i="11"/>
  <c r="M72" i="11"/>
  <c r="M68" i="11"/>
  <c r="M64" i="11"/>
  <c r="K103" i="11"/>
  <c r="M97" i="11"/>
  <c r="L96" i="11"/>
  <c r="M90" i="11"/>
  <c r="M81" i="11"/>
  <c r="K77" i="11"/>
  <c r="L76" i="11"/>
  <c r="K73" i="11"/>
  <c r="L72" i="11"/>
  <c r="K69" i="11"/>
  <c r="L68" i="11"/>
  <c r="K65" i="11"/>
  <c r="L64" i="11"/>
  <c r="K109" i="11"/>
  <c r="M104" i="11"/>
  <c r="M98" i="11"/>
  <c r="L93" i="11"/>
  <c r="M92" i="11"/>
  <c r="L82" i="11"/>
  <c r="M79" i="11"/>
  <c r="L69" i="11"/>
  <c r="M63" i="11"/>
  <c r="M58" i="11"/>
  <c r="M54" i="11"/>
  <c r="M50" i="11"/>
  <c r="M46" i="11"/>
  <c r="M42" i="11"/>
  <c r="M38" i="11"/>
  <c r="M34" i="11"/>
  <c r="M30" i="11"/>
  <c r="M26" i="11"/>
  <c r="M22" i="11"/>
  <c r="M18" i="11"/>
  <c r="M14" i="11"/>
  <c r="L118" i="11"/>
  <c r="K111" i="11"/>
  <c r="M106" i="11"/>
  <c r="K104" i="11"/>
  <c r="M100" i="11"/>
  <c r="L98" i="11"/>
  <c r="L97" i="11"/>
  <c r="L92" i="11"/>
  <c r="L88" i="11"/>
  <c r="M86" i="11"/>
  <c r="K84" i="11"/>
  <c r="L79" i="11"/>
  <c r="K75" i="11"/>
  <c r="M73" i="11"/>
  <c r="M67" i="11"/>
  <c r="K64" i="11"/>
  <c r="L63" i="11"/>
  <c r="K59" i="11"/>
  <c r="L58" i="11"/>
  <c r="K55" i="11"/>
  <c r="L54" i="11"/>
  <c r="K51" i="11"/>
  <c r="L50" i="11"/>
  <c r="K47" i="11"/>
  <c r="L46" i="11"/>
  <c r="K43" i="11"/>
  <c r="L42" i="11"/>
  <c r="K39" i="11"/>
  <c r="L38" i="11"/>
  <c r="K35" i="11"/>
  <c r="L34" i="11"/>
  <c r="K31" i="11"/>
  <c r="L30" i="11"/>
  <c r="K27" i="11"/>
  <c r="L26" i="11"/>
  <c r="K23" i="11"/>
  <c r="L22" i="11"/>
  <c r="K19" i="11"/>
  <c r="L18" i="11"/>
  <c r="K15" i="11"/>
  <c r="L14" i="11"/>
  <c r="L9" i="11"/>
  <c r="K10" i="11"/>
  <c r="L13" i="11"/>
  <c r="K14" i="11"/>
  <c r="M17" i="11"/>
  <c r="L23" i="11"/>
  <c r="M27" i="11"/>
  <c r="K28" i="11"/>
  <c r="L36" i="11"/>
  <c r="K37" i="11"/>
  <c r="M40" i="11"/>
  <c r="L45" i="11"/>
  <c r="K46" i="11"/>
  <c r="M49" i="11"/>
  <c r="L55" i="11"/>
  <c r="M59" i="11"/>
  <c r="K60" i="11"/>
  <c r="K66" i="11"/>
  <c r="K68" i="11"/>
  <c r="M70" i="11"/>
  <c r="L83" i="11"/>
  <c r="L84" i="11"/>
  <c r="M93" i="11"/>
  <c r="L106" i="11"/>
  <c r="I4" i="11"/>
  <c r="S5" i="11" s="1"/>
  <c r="L6" i="11"/>
  <c r="M9" i="11"/>
  <c r="M13" i="11"/>
  <c r="L19" i="11"/>
  <c r="M23" i="11"/>
  <c r="K24" i="11"/>
  <c r="L32" i="11"/>
  <c r="K33" i="11"/>
  <c r="M36" i="11"/>
  <c r="L41" i="11"/>
  <c r="K42" i="11"/>
  <c r="M45" i="11"/>
  <c r="L51" i="11"/>
  <c r="M55" i="11"/>
  <c r="K56" i="11"/>
  <c r="L74" i="11"/>
  <c r="L75" i="11"/>
  <c r="M82" i="11"/>
  <c r="M83" i="11"/>
  <c r="K96" i="11"/>
  <c r="L102" i="11"/>
  <c r="L108" i="11"/>
  <c r="L119" i="11"/>
  <c r="S53" i="10"/>
  <c r="AU5" i="10"/>
  <c r="S52" i="10"/>
  <c r="S58" i="10"/>
  <c r="S34" i="10"/>
  <c r="S66" i="10"/>
  <c r="S20" i="10"/>
  <c r="S84" i="10"/>
  <c r="S21" i="10"/>
  <c r="S85" i="10"/>
  <c r="S26" i="10"/>
  <c r="S124" i="10"/>
  <c r="L69" i="10"/>
  <c r="S36" i="10"/>
  <c r="S68" i="10"/>
  <c r="S37" i="10"/>
  <c r="S69" i="10"/>
  <c r="M6" i="10"/>
  <c r="S82" i="10"/>
  <c r="S50" i="10"/>
  <c r="S18" i="10"/>
  <c r="M58" i="10"/>
  <c r="S74" i="10"/>
  <c r="S42" i="10"/>
  <c r="S10" i="10"/>
  <c r="S11" i="10"/>
  <c r="S27" i="10"/>
  <c r="S43" i="10"/>
  <c r="S59" i="10"/>
  <c r="S75" i="10"/>
  <c r="S12" i="10"/>
  <c r="S28" i="10"/>
  <c r="S44" i="10"/>
  <c r="S60" i="10"/>
  <c r="S76" i="10"/>
  <c r="S13" i="10"/>
  <c r="S29" i="10"/>
  <c r="S45" i="10"/>
  <c r="S61" i="10"/>
  <c r="S77" i="10"/>
  <c r="M86" i="10"/>
  <c r="S83" i="10"/>
  <c r="S67" i="10"/>
  <c r="S51" i="10"/>
  <c r="S35" i="10"/>
  <c r="S19" i="10"/>
  <c r="S6" i="10"/>
  <c r="S14" i="10"/>
  <c r="S22" i="10"/>
  <c r="S30" i="10"/>
  <c r="S38" i="10"/>
  <c r="S46" i="10"/>
  <c r="S54" i="10"/>
  <c r="S62" i="10"/>
  <c r="S70" i="10"/>
  <c r="S78" i="10"/>
  <c r="S86" i="10"/>
  <c r="S94" i="10"/>
  <c r="S102" i="10"/>
  <c r="S110" i="10"/>
  <c r="S118" i="10"/>
  <c r="J23" i="10"/>
  <c r="K23" i="10" s="1"/>
  <c r="S98" i="10"/>
  <c r="S114" i="10"/>
  <c r="S109" i="10"/>
  <c r="S7" i="10"/>
  <c r="S15" i="10"/>
  <c r="S23" i="10"/>
  <c r="S31" i="10"/>
  <c r="S39" i="10"/>
  <c r="S47" i="10"/>
  <c r="S55" i="10"/>
  <c r="S63" i="10"/>
  <c r="S71" i="10"/>
  <c r="S79" i="10"/>
  <c r="S87" i="10"/>
  <c r="S95" i="10"/>
  <c r="S103" i="10"/>
  <c r="S111" i="10"/>
  <c r="S119" i="10"/>
  <c r="S107" i="10"/>
  <c r="S123" i="10"/>
  <c r="S92" i="10"/>
  <c r="S100" i="10"/>
  <c r="S116" i="10"/>
  <c r="S8" i="10"/>
  <c r="S16" i="10"/>
  <c r="S24" i="10"/>
  <c r="S32" i="10"/>
  <c r="S40" i="10"/>
  <c r="S48" i="10"/>
  <c r="S56" i="10"/>
  <c r="S64" i="10"/>
  <c r="S72" i="10"/>
  <c r="S80" i="10"/>
  <c r="S88" i="10"/>
  <c r="S96" i="10"/>
  <c r="S104" i="10"/>
  <c r="S112" i="10"/>
  <c r="S120" i="10"/>
  <c r="S117" i="10"/>
  <c r="S101" i="10"/>
  <c r="S93" i="10"/>
  <c r="S108" i="10"/>
  <c r="S122" i="10"/>
  <c r="S106" i="10"/>
  <c r="S90" i="10"/>
  <c r="M57" i="10"/>
  <c r="S121" i="10"/>
  <c r="S113" i="10"/>
  <c r="S105" i="10"/>
  <c r="S97" i="10"/>
  <c r="S89" i="10"/>
  <c r="S81" i="10"/>
  <c r="S73" i="10"/>
  <c r="S65" i="10"/>
  <c r="S57" i="10"/>
  <c r="S49" i="10"/>
  <c r="S41" i="10"/>
  <c r="S33" i="10"/>
  <c r="S25" i="10"/>
  <c r="S17" i="10"/>
  <c r="S9" i="10"/>
  <c r="S115" i="10"/>
  <c r="S99" i="10"/>
  <c r="S91" i="10"/>
  <c r="M54" i="10"/>
  <c r="J32" i="10"/>
  <c r="K32" i="10" s="1"/>
  <c r="M37" i="10"/>
  <c r="M77" i="10"/>
  <c r="J80" i="10"/>
  <c r="K80" i="10" s="1"/>
  <c r="M90" i="10"/>
  <c r="M36" i="10"/>
  <c r="M89" i="10"/>
  <c r="M35" i="10"/>
  <c r="L85" i="10"/>
  <c r="M68" i="10"/>
  <c r="M26" i="10"/>
  <c r="L78" i="10"/>
  <c r="M59" i="10"/>
  <c r="M25" i="10"/>
  <c r="I4" i="10"/>
  <c r="J64" i="10"/>
  <c r="K64" i="10" s="1"/>
  <c r="L53" i="10"/>
  <c r="M76" i="10"/>
  <c r="M50" i="10"/>
  <c r="M22" i="10"/>
  <c r="J40" i="10"/>
  <c r="K40" i="10" s="1"/>
  <c r="L46" i="10"/>
  <c r="M70" i="10"/>
  <c r="M44" i="10"/>
  <c r="M18" i="10"/>
  <c r="J39" i="10"/>
  <c r="K39" i="10" s="1"/>
  <c r="L13" i="10"/>
  <c r="M69" i="10"/>
  <c r="M38" i="10"/>
  <c r="M17" i="10"/>
  <c r="J79" i="10"/>
  <c r="K79" i="10" s="1"/>
  <c r="J16" i="10"/>
  <c r="K16" i="10" s="1"/>
  <c r="L37" i="10"/>
  <c r="M82" i="10"/>
  <c r="M67" i="10"/>
  <c r="M49" i="10"/>
  <c r="M34" i="10"/>
  <c r="M14" i="10"/>
  <c r="J72" i="10"/>
  <c r="K72" i="10" s="1"/>
  <c r="L6" i="10"/>
  <c r="L36" i="10"/>
  <c r="M81" i="10"/>
  <c r="M66" i="10"/>
  <c r="M46" i="10"/>
  <c r="M28" i="10"/>
  <c r="M13" i="10"/>
  <c r="J71" i="10"/>
  <c r="K71" i="10" s="1"/>
  <c r="L86" i="10"/>
  <c r="L30" i="10"/>
  <c r="M78" i="10"/>
  <c r="M60" i="10"/>
  <c r="M45" i="10"/>
  <c r="M27" i="10"/>
  <c r="M12" i="10"/>
  <c r="J55" i="10"/>
  <c r="K55" i="10" s="1"/>
  <c r="J15" i="10"/>
  <c r="K15" i="10" s="1"/>
  <c r="L62" i="10"/>
  <c r="L29" i="10"/>
  <c r="M85" i="10"/>
  <c r="M75" i="10"/>
  <c r="M65" i="10"/>
  <c r="M53" i="10"/>
  <c r="M43" i="10"/>
  <c r="M33" i="10"/>
  <c r="M21" i="10"/>
  <c r="M11" i="10"/>
  <c r="J48" i="10"/>
  <c r="K48" i="10" s="1"/>
  <c r="J8" i="10"/>
  <c r="K8" i="10" s="1"/>
  <c r="L61" i="10"/>
  <c r="L28" i="10"/>
  <c r="M84" i="10"/>
  <c r="M74" i="10"/>
  <c r="M62" i="10"/>
  <c r="M52" i="10"/>
  <c r="M42" i="10"/>
  <c r="M30" i="10"/>
  <c r="M20" i="10"/>
  <c r="M10" i="10"/>
  <c r="J87" i="10"/>
  <c r="K87" i="10" s="1"/>
  <c r="J47" i="10"/>
  <c r="K47" i="10" s="1"/>
  <c r="J7" i="10"/>
  <c r="K7" i="10" s="1"/>
  <c r="L54" i="10"/>
  <c r="L22" i="10"/>
  <c r="M83" i="10"/>
  <c r="M73" i="10"/>
  <c r="M61" i="10"/>
  <c r="M51" i="10"/>
  <c r="M41" i="10"/>
  <c r="M29" i="10"/>
  <c r="M19" i="10"/>
  <c r="M9" i="10"/>
  <c r="J111" i="10"/>
  <c r="K111" i="10" s="1"/>
  <c r="M117" i="10"/>
  <c r="M101" i="10"/>
  <c r="L93" i="10"/>
  <c r="M116" i="10"/>
  <c r="M100" i="10"/>
  <c r="J103" i="10"/>
  <c r="K103" i="10" s="1"/>
  <c r="M123" i="10"/>
  <c r="M107" i="10"/>
  <c r="M91" i="10"/>
  <c r="J124" i="10"/>
  <c r="K124" i="10" s="1"/>
  <c r="M106" i="10"/>
  <c r="M121" i="10"/>
  <c r="M105" i="10"/>
  <c r="J119" i="10"/>
  <c r="K119" i="10" s="1"/>
  <c r="J95" i="10"/>
  <c r="K95" i="10" s="1"/>
  <c r="J63" i="10"/>
  <c r="K63" i="10" s="1"/>
  <c r="J31" i="10"/>
  <c r="K31" i="10" s="1"/>
  <c r="L109" i="10"/>
  <c r="L77" i="10"/>
  <c r="L45" i="10"/>
  <c r="L21" i="10"/>
  <c r="M120" i="10"/>
  <c r="M112" i="10"/>
  <c r="M104" i="10"/>
  <c r="M96" i="10"/>
  <c r="M88" i="10"/>
  <c r="M80" i="10"/>
  <c r="M72" i="10"/>
  <c r="M64" i="10"/>
  <c r="M56" i="10"/>
  <c r="M48" i="10"/>
  <c r="M40" i="10"/>
  <c r="M32" i="10"/>
  <c r="M24" i="10"/>
  <c r="M16" i="10"/>
  <c r="M8" i="10"/>
  <c r="L94" i="10"/>
  <c r="M109" i="10"/>
  <c r="M93" i="10"/>
  <c r="J104" i="10"/>
  <c r="K104" i="10" s="1"/>
  <c r="L124" i="10"/>
  <c r="M124" i="10"/>
  <c r="M108" i="10"/>
  <c r="M92" i="10"/>
  <c r="M115" i="10"/>
  <c r="M99" i="10"/>
  <c r="L117" i="10"/>
  <c r="M114" i="10"/>
  <c r="M98" i="10"/>
  <c r="L110" i="10"/>
  <c r="M113" i="10"/>
  <c r="M97" i="10"/>
  <c r="J118" i="10"/>
  <c r="K118" i="10" s="1"/>
  <c r="J88" i="10"/>
  <c r="K88" i="10" s="1"/>
  <c r="J56" i="10"/>
  <c r="K56" i="10" s="1"/>
  <c r="J24" i="10"/>
  <c r="K24" i="10" s="1"/>
  <c r="L102" i="10"/>
  <c r="L70" i="10"/>
  <c r="L38" i="10"/>
  <c r="L14" i="10"/>
  <c r="M119" i="10"/>
  <c r="M111" i="10"/>
  <c r="M103" i="10"/>
  <c r="M95" i="10"/>
  <c r="M87" i="10"/>
  <c r="M79" i="10"/>
  <c r="M71" i="10"/>
  <c r="M63" i="10"/>
  <c r="M55" i="10"/>
  <c r="M47" i="10"/>
  <c r="M39" i="10"/>
  <c r="M31" i="10"/>
  <c r="M23" i="10"/>
  <c r="M15" i="10"/>
  <c r="M7" i="10"/>
  <c r="L118" i="10"/>
  <c r="J102" i="10"/>
  <c r="K102" i="10" s="1"/>
  <c r="M122" i="10"/>
  <c r="J120" i="10"/>
  <c r="K120" i="10" s="1"/>
  <c r="J96" i="10"/>
  <c r="K96" i="10" s="1"/>
  <c r="J112" i="10"/>
  <c r="K112" i="10" s="1"/>
  <c r="L101" i="10"/>
  <c r="M118" i="10"/>
  <c r="M110" i="10"/>
  <c r="M102" i="10"/>
  <c r="M94" i="10"/>
  <c r="L7" i="10"/>
  <c r="L15" i="10"/>
  <c r="L23" i="10"/>
  <c r="L31" i="10"/>
  <c r="L39" i="10"/>
  <c r="L47" i="10"/>
  <c r="L55" i="10"/>
  <c r="L63" i="10"/>
  <c r="L71" i="10"/>
  <c r="L79" i="10"/>
  <c r="L87" i="10"/>
  <c r="L95" i="10"/>
  <c r="L103" i="10"/>
  <c r="L111" i="10"/>
  <c r="L119" i="10"/>
  <c r="J9" i="10"/>
  <c r="K9" i="10" s="1"/>
  <c r="J17" i="10"/>
  <c r="K17" i="10" s="1"/>
  <c r="J25" i="10"/>
  <c r="K25" i="10" s="1"/>
  <c r="J33" i="10"/>
  <c r="K33" i="10" s="1"/>
  <c r="J41" i="10"/>
  <c r="K41" i="10" s="1"/>
  <c r="J49" i="10"/>
  <c r="K49" i="10" s="1"/>
  <c r="J57" i="10"/>
  <c r="K57" i="10" s="1"/>
  <c r="J65" i="10"/>
  <c r="K65" i="10" s="1"/>
  <c r="J73" i="10"/>
  <c r="K73" i="10" s="1"/>
  <c r="J81" i="10"/>
  <c r="K81" i="10" s="1"/>
  <c r="J89" i="10"/>
  <c r="K89" i="10" s="1"/>
  <c r="J97" i="10"/>
  <c r="K97" i="10" s="1"/>
  <c r="J105" i="10"/>
  <c r="K105" i="10" s="1"/>
  <c r="J113" i="10"/>
  <c r="K113" i="10" s="1"/>
  <c r="J121" i="10"/>
  <c r="K121" i="10" s="1"/>
  <c r="L27" i="10"/>
  <c r="L8" i="10"/>
  <c r="L16" i="10"/>
  <c r="L24" i="10"/>
  <c r="L32" i="10"/>
  <c r="L40" i="10"/>
  <c r="L48" i="10"/>
  <c r="L56" i="10"/>
  <c r="L64" i="10"/>
  <c r="L72" i="10"/>
  <c r="L80" i="10"/>
  <c r="L88" i="10"/>
  <c r="L96" i="10"/>
  <c r="L104" i="10"/>
  <c r="L112" i="10"/>
  <c r="L120" i="10"/>
  <c r="J10" i="10"/>
  <c r="K10" i="10" s="1"/>
  <c r="J18" i="10"/>
  <c r="K18" i="10" s="1"/>
  <c r="J26" i="10"/>
  <c r="K26" i="10" s="1"/>
  <c r="J34" i="10"/>
  <c r="K34" i="10" s="1"/>
  <c r="J42" i="10"/>
  <c r="K42" i="10" s="1"/>
  <c r="J50" i="10"/>
  <c r="K50" i="10" s="1"/>
  <c r="J58" i="10"/>
  <c r="K58" i="10" s="1"/>
  <c r="J66" i="10"/>
  <c r="K66" i="10" s="1"/>
  <c r="J74" i="10"/>
  <c r="K74" i="10" s="1"/>
  <c r="J82" i="10"/>
  <c r="K82" i="10" s="1"/>
  <c r="J90" i="10"/>
  <c r="K90" i="10" s="1"/>
  <c r="J98" i="10"/>
  <c r="K98" i="10" s="1"/>
  <c r="J106" i="10"/>
  <c r="K106" i="10" s="1"/>
  <c r="J114" i="10"/>
  <c r="K114" i="10" s="1"/>
  <c r="J122" i="10"/>
  <c r="K122" i="10" s="1"/>
  <c r="L19" i="10"/>
  <c r="L43" i="10"/>
  <c r="L59" i="10"/>
  <c r="L83" i="10"/>
  <c r="L99" i="10"/>
  <c r="L115" i="10"/>
  <c r="J13" i="10"/>
  <c r="K13" i="10" s="1"/>
  <c r="J29" i="10"/>
  <c r="K29" i="10" s="1"/>
  <c r="J45" i="10"/>
  <c r="K45" i="10" s="1"/>
  <c r="J61" i="10"/>
  <c r="K61" i="10" s="1"/>
  <c r="J77" i="10"/>
  <c r="K77" i="10" s="1"/>
  <c r="J93" i="10"/>
  <c r="K93" i="10" s="1"/>
  <c r="J109" i="10"/>
  <c r="K109" i="10" s="1"/>
  <c r="J6" i="10"/>
  <c r="K6" i="10" s="1"/>
  <c r="L20" i="10"/>
  <c r="L44" i="10"/>
  <c r="L60" i="10"/>
  <c r="L76" i="10"/>
  <c r="L92" i="10"/>
  <c r="L108" i="10"/>
  <c r="J22" i="10"/>
  <c r="K22" i="10" s="1"/>
  <c r="J38" i="10"/>
  <c r="K38" i="10" s="1"/>
  <c r="J54" i="10"/>
  <c r="K54" i="10" s="1"/>
  <c r="J70" i="10"/>
  <c r="K70" i="10" s="1"/>
  <c r="J86" i="10"/>
  <c r="K86" i="10" s="1"/>
  <c r="L9" i="10"/>
  <c r="L17" i="10"/>
  <c r="L25" i="10"/>
  <c r="L33" i="10"/>
  <c r="L41" i="10"/>
  <c r="L49" i="10"/>
  <c r="L57" i="10"/>
  <c r="L65" i="10"/>
  <c r="L73" i="10"/>
  <c r="L81" i="10"/>
  <c r="L89" i="10"/>
  <c r="L97" i="10"/>
  <c r="L105" i="10"/>
  <c r="L113" i="10"/>
  <c r="L121" i="10"/>
  <c r="J11" i="10"/>
  <c r="K11" i="10" s="1"/>
  <c r="J19" i="10"/>
  <c r="K19" i="10" s="1"/>
  <c r="J27" i="10"/>
  <c r="K27" i="10" s="1"/>
  <c r="J35" i="10"/>
  <c r="K35" i="10" s="1"/>
  <c r="J43" i="10"/>
  <c r="K43" i="10" s="1"/>
  <c r="J51" i="10"/>
  <c r="K51" i="10" s="1"/>
  <c r="J59" i="10"/>
  <c r="K59" i="10" s="1"/>
  <c r="J67" i="10"/>
  <c r="K67" i="10" s="1"/>
  <c r="J75" i="10"/>
  <c r="K75" i="10" s="1"/>
  <c r="J83" i="10"/>
  <c r="K83" i="10" s="1"/>
  <c r="J91" i="10"/>
  <c r="K91" i="10" s="1"/>
  <c r="J99" i="10"/>
  <c r="K99" i="10" s="1"/>
  <c r="J107" i="10"/>
  <c r="K107" i="10" s="1"/>
  <c r="J115" i="10"/>
  <c r="K115" i="10" s="1"/>
  <c r="J123" i="10"/>
  <c r="K123" i="10" s="1"/>
  <c r="J110" i="10"/>
  <c r="K110" i="10" s="1"/>
  <c r="J94" i="10"/>
  <c r="K94" i="10" s="1"/>
  <c r="J78" i="10"/>
  <c r="K78" i="10" s="1"/>
  <c r="J62" i="10"/>
  <c r="K62" i="10" s="1"/>
  <c r="J46" i="10"/>
  <c r="K46" i="10" s="1"/>
  <c r="J30" i="10"/>
  <c r="K30" i="10" s="1"/>
  <c r="J14" i="10"/>
  <c r="K14" i="10" s="1"/>
  <c r="L116" i="10"/>
  <c r="L100" i="10"/>
  <c r="L84" i="10"/>
  <c r="L68" i="10"/>
  <c r="L52" i="10"/>
  <c r="L12" i="10"/>
  <c r="J117" i="10"/>
  <c r="K117" i="10" s="1"/>
  <c r="J101" i="10"/>
  <c r="K101" i="10" s="1"/>
  <c r="J85" i="10"/>
  <c r="K85" i="10" s="1"/>
  <c r="J69" i="10"/>
  <c r="K69" i="10" s="1"/>
  <c r="J53" i="10"/>
  <c r="K53" i="10" s="1"/>
  <c r="J37" i="10"/>
  <c r="K37" i="10" s="1"/>
  <c r="J21" i="10"/>
  <c r="K21" i="10" s="1"/>
  <c r="L123" i="10"/>
  <c r="L107" i="10"/>
  <c r="L91" i="10"/>
  <c r="L75" i="10"/>
  <c r="L67" i="10"/>
  <c r="L51" i="10"/>
  <c r="L11" i="10"/>
  <c r="J116" i="10"/>
  <c r="K116" i="10" s="1"/>
  <c r="J108" i="10"/>
  <c r="K108" i="10" s="1"/>
  <c r="J100" i="10"/>
  <c r="K100" i="10" s="1"/>
  <c r="J92" i="10"/>
  <c r="K92" i="10" s="1"/>
  <c r="J84" i="10"/>
  <c r="K84" i="10" s="1"/>
  <c r="J76" i="10"/>
  <c r="K76" i="10" s="1"/>
  <c r="J68" i="10"/>
  <c r="K68" i="10" s="1"/>
  <c r="J60" i="10"/>
  <c r="K60" i="10" s="1"/>
  <c r="J52" i="10"/>
  <c r="K52" i="10" s="1"/>
  <c r="J44" i="10"/>
  <c r="K44" i="10" s="1"/>
  <c r="J36" i="10"/>
  <c r="K36" i="10" s="1"/>
  <c r="J28" i="10"/>
  <c r="K28" i="10" s="1"/>
  <c r="J20" i="10"/>
  <c r="K20" i="10" s="1"/>
  <c r="J12" i="10"/>
  <c r="K12" i="10" s="1"/>
  <c r="L122" i="10"/>
  <c r="L114" i="10"/>
  <c r="L106" i="10"/>
  <c r="L98" i="10"/>
  <c r="L90" i="10"/>
  <c r="L82" i="10"/>
  <c r="L74" i="10"/>
  <c r="L66" i="10"/>
  <c r="L58" i="10"/>
  <c r="L50" i="10"/>
  <c r="L42" i="10"/>
  <c r="L34" i="10"/>
  <c r="L26" i="10"/>
  <c r="L18" i="10"/>
  <c r="L10" i="10"/>
  <c r="L35" i="10"/>
  <c r="AK63" i="26" l="1"/>
  <c r="AC63" i="26"/>
  <c r="AA64" i="26" s="1"/>
  <c r="U64" i="26"/>
  <c r="V64" i="26" s="1"/>
  <c r="AH64" i="26" s="1"/>
  <c r="AE63" i="26"/>
  <c r="AL63" i="26" s="1"/>
  <c r="AG63" i="26"/>
  <c r="AN63" i="26"/>
  <c r="AE62" i="25"/>
  <c r="AL62" i="25" s="1"/>
  <c r="U63" i="25"/>
  <c r="V63" i="25" s="1"/>
  <c r="AH63" i="25" s="1"/>
  <c r="AG62" i="25"/>
  <c r="AC62" i="25"/>
  <c r="AN62" i="25" s="1"/>
  <c r="AK62" i="25"/>
  <c r="X63" i="24"/>
  <c r="AB63" i="24" s="1"/>
  <c r="AI63" i="24"/>
  <c r="AO62" i="24"/>
  <c r="U6" i="18"/>
  <c r="V6" i="18" s="1"/>
  <c r="AH6" i="18" s="1"/>
  <c r="AE5" i="18"/>
  <c r="V64" i="23"/>
  <c r="AH64" i="23" s="1"/>
  <c r="AA64" i="23"/>
  <c r="AN63" i="23"/>
  <c r="AL63" i="23"/>
  <c r="AJ63" i="23"/>
  <c r="Z64" i="23"/>
  <c r="AK63" i="23"/>
  <c r="E6" i="16"/>
  <c r="AN5" i="19"/>
  <c r="V6" i="20"/>
  <c r="AH6" i="20" s="1"/>
  <c r="AU8" i="20"/>
  <c r="AN5" i="20"/>
  <c r="AU7" i="19"/>
  <c r="V6" i="19"/>
  <c r="AH6" i="19" s="1"/>
  <c r="AG5" i="18"/>
  <c r="AC5" i="18"/>
  <c r="AA6" i="18" s="1"/>
  <c r="AV5" i="16"/>
  <c r="AU6" i="16" s="1"/>
  <c r="X4" i="16"/>
  <c r="U5" i="16" s="1"/>
  <c r="X4" i="11"/>
  <c r="U5" i="11" s="1"/>
  <c r="X4" i="10"/>
  <c r="U5" i="10" s="1"/>
  <c r="S5" i="10"/>
  <c r="AV5" i="10" s="1"/>
  <c r="W64" i="26" l="1"/>
  <c r="X64" i="26" s="1"/>
  <c r="AA63" i="25"/>
  <c r="AJ62" i="25"/>
  <c r="AM62" i="25" s="1"/>
  <c r="AC63" i="24"/>
  <c r="AA64" i="24" s="1"/>
  <c r="U64" i="24"/>
  <c r="V64" i="24" s="1"/>
  <c r="AH64" i="24" s="1"/>
  <c r="AG63" i="24"/>
  <c r="AE63" i="24"/>
  <c r="AL63" i="24" s="1"/>
  <c r="AJ63" i="26"/>
  <c r="AM63" i="26" s="1"/>
  <c r="AO63" i="26" s="1"/>
  <c r="AI64" i="26"/>
  <c r="W63" i="25"/>
  <c r="Z64" i="24"/>
  <c r="AK63" i="24"/>
  <c r="W64" i="23"/>
  <c r="AI64" i="23" s="1"/>
  <c r="AM63" i="23"/>
  <c r="W6" i="20"/>
  <c r="X6" i="20" s="1"/>
  <c r="AV8" i="20"/>
  <c r="AV7" i="19"/>
  <c r="W6" i="19"/>
  <c r="X6" i="19" s="1"/>
  <c r="AN5" i="18"/>
  <c r="AU9" i="18"/>
  <c r="W6" i="18"/>
  <c r="X6" i="18" s="1"/>
  <c r="AG4" i="16"/>
  <c r="AV6" i="16"/>
  <c r="AU7" i="16" s="1"/>
  <c r="AE4" i="16"/>
  <c r="AC4" i="16"/>
  <c r="V5" i="16"/>
  <c r="AH5" i="16" s="1"/>
  <c r="AF4" i="16"/>
  <c r="AG4" i="11"/>
  <c r="AC4" i="11"/>
  <c r="AE4" i="11"/>
  <c r="AV5" i="11"/>
  <c r="V5" i="11"/>
  <c r="AH5" i="11" s="1"/>
  <c r="AF4" i="11"/>
  <c r="V5" i="10"/>
  <c r="AH5" i="10" s="1"/>
  <c r="AE4" i="10"/>
  <c r="AF4" i="10"/>
  <c r="AC4" i="10"/>
  <c r="AG4" i="10"/>
  <c r="AU6" i="10"/>
  <c r="AV6" i="10" s="1"/>
  <c r="AJ63" i="24" l="1"/>
  <c r="AM63" i="24" s="1"/>
  <c r="AN63" i="24"/>
  <c r="AB64" i="26"/>
  <c r="AC64" i="26"/>
  <c r="U65" i="26"/>
  <c r="AG64" i="26"/>
  <c r="AE64" i="26"/>
  <c r="X63" i="25"/>
  <c r="AB63" i="25" s="1"/>
  <c r="AI63" i="25"/>
  <c r="AO62" i="25"/>
  <c r="W64" i="24"/>
  <c r="X64" i="23"/>
  <c r="AE64" i="23" s="1"/>
  <c r="AO63" i="23"/>
  <c r="AG6" i="20"/>
  <c r="AE6" i="20"/>
  <c r="AC6" i="20"/>
  <c r="U7" i="20"/>
  <c r="AU9" i="20"/>
  <c r="AE6" i="19"/>
  <c r="AC6" i="19"/>
  <c r="U7" i="19"/>
  <c r="AG6" i="19"/>
  <c r="AU8" i="19"/>
  <c r="AE6" i="18"/>
  <c r="AG6" i="18"/>
  <c r="AC6" i="18"/>
  <c r="U7" i="18"/>
  <c r="AV9" i="18"/>
  <c r="AU10" i="18" s="1"/>
  <c r="AJ4" i="16"/>
  <c r="AF133" i="16"/>
  <c r="AF129" i="16"/>
  <c r="AF131" i="16"/>
  <c r="AA5" i="16"/>
  <c r="AN4" i="16"/>
  <c r="W5" i="16"/>
  <c r="X5" i="16" s="1"/>
  <c r="AV7" i="16"/>
  <c r="W5" i="10"/>
  <c r="X5" i="10" s="1"/>
  <c r="AC5" i="10" s="1"/>
  <c r="AA6" i="10" s="1"/>
  <c r="W5" i="11"/>
  <c r="X5" i="11" s="1"/>
  <c r="AG5" i="11" s="1"/>
  <c r="AJ4" i="11"/>
  <c r="AU6" i="11"/>
  <c r="AA5" i="11"/>
  <c r="AN4" i="11"/>
  <c r="AJ4" i="10"/>
  <c r="AA5" i="10"/>
  <c r="AN4" i="10"/>
  <c r="AU7" i="10"/>
  <c r="AV7" i="10" s="1"/>
  <c r="AJ64" i="26" l="1"/>
  <c r="AL64" i="26"/>
  <c r="V65" i="26"/>
  <c r="AH65" i="26" s="1"/>
  <c r="AA65" i="26"/>
  <c r="AN64" i="26"/>
  <c r="Z65" i="26"/>
  <c r="AK64" i="26"/>
  <c r="AC63" i="25"/>
  <c r="AA64" i="25" s="1"/>
  <c r="AG63" i="25"/>
  <c r="U64" i="25"/>
  <c r="V64" i="25" s="1"/>
  <c r="AH64" i="25" s="1"/>
  <c r="AE63" i="25"/>
  <c r="AL63" i="25" s="1"/>
  <c r="Z64" i="25"/>
  <c r="AK63" i="25"/>
  <c r="X64" i="24"/>
  <c r="AB64" i="24" s="1"/>
  <c r="AI64" i="24"/>
  <c r="AO63" i="24"/>
  <c r="U65" i="23"/>
  <c r="V65" i="23" s="1"/>
  <c r="AH65" i="23" s="1"/>
  <c r="AG64" i="23"/>
  <c r="AJ64" i="23" s="1"/>
  <c r="AB64" i="23"/>
  <c r="AK64" i="23" s="1"/>
  <c r="AC64" i="23"/>
  <c r="AA65" i="23" s="1"/>
  <c r="AL64" i="23"/>
  <c r="AV9" i="20"/>
  <c r="V7" i="20"/>
  <c r="AH7" i="20" s="1"/>
  <c r="AA7" i="20"/>
  <c r="AN6" i="20"/>
  <c r="AV8" i="19"/>
  <c r="AU9" i="19" s="1"/>
  <c r="V7" i="19"/>
  <c r="AH7" i="19" s="1"/>
  <c r="AA7" i="19"/>
  <c r="AN6" i="19"/>
  <c r="AV10" i="18"/>
  <c r="AU11" i="18" s="1"/>
  <c r="AA7" i="18"/>
  <c r="AN6" i="18"/>
  <c r="V7" i="18"/>
  <c r="AH7" i="18" s="1"/>
  <c r="U6" i="16"/>
  <c r="AC5" i="16"/>
  <c r="AA6" i="16" s="1"/>
  <c r="AG5" i="16"/>
  <c r="AE5" i="16"/>
  <c r="AU8" i="16"/>
  <c r="AG5" i="10"/>
  <c r="AE5" i="10"/>
  <c r="AF5" i="10"/>
  <c r="AN5" i="10"/>
  <c r="AC5" i="11"/>
  <c r="AA6" i="11" s="1"/>
  <c r="U6" i="11"/>
  <c r="V6" i="11" s="1"/>
  <c r="AH6" i="11" s="1"/>
  <c r="AE5" i="11"/>
  <c r="AV6" i="11"/>
  <c r="AU7" i="11" s="1"/>
  <c r="U6" i="10"/>
  <c r="AU8" i="10"/>
  <c r="AV8" i="10" s="1"/>
  <c r="AJ63" i="25" l="1"/>
  <c r="AN63" i="25"/>
  <c r="W65" i="26"/>
  <c r="AM64" i="26"/>
  <c r="AO64" i="26" s="1"/>
  <c r="AM63" i="25"/>
  <c r="W64" i="25"/>
  <c r="AC64" i="24"/>
  <c r="AA65" i="24" s="1"/>
  <c r="U65" i="24"/>
  <c r="V65" i="24" s="1"/>
  <c r="AH65" i="24" s="1"/>
  <c r="AG64" i="24"/>
  <c r="AE64" i="24"/>
  <c r="AL64" i="24" s="1"/>
  <c r="Z65" i="24"/>
  <c r="AK64" i="24"/>
  <c r="AN64" i="23"/>
  <c r="Z65" i="23"/>
  <c r="W65" i="23"/>
  <c r="X65" i="23" s="1"/>
  <c r="AM64" i="23"/>
  <c r="W7" i="20"/>
  <c r="X7" i="20" s="1"/>
  <c r="AU10" i="20"/>
  <c r="W7" i="19"/>
  <c r="X7" i="19" s="1"/>
  <c r="AG7" i="19" s="1"/>
  <c r="AV9" i="19"/>
  <c r="AU10" i="19" s="1"/>
  <c r="W7" i="18"/>
  <c r="X7" i="18" s="1"/>
  <c r="U8" i="18" s="1"/>
  <c r="AV11" i="18"/>
  <c r="AU12" i="18" s="1"/>
  <c r="AN5" i="16"/>
  <c r="AV8" i="16"/>
  <c r="V6" i="16"/>
  <c r="AH6" i="16" s="1"/>
  <c r="AN5" i="11"/>
  <c r="AV7" i="11"/>
  <c r="W6" i="11"/>
  <c r="X6" i="11" s="1"/>
  <c r="V6" i="10"/>
  <c r="AH6" i="10" s="1"/>
  <c r="AU9" i="10"/>
  <c r="AV9" i="10" s="1"/>
  <c r="AN64" i="24" l="1"/>
  <c r="X65" i="26"/>
  <c r="AI65" i="26"/>
  <c r="X64" i="25"/>
  <c r="AB64" i="25" s="1"/>
  <c r="AI64" i="25"/>
  <c r="AO63" i="25"/>
  <c r="AJ64" i="24"/>
  <c r="AM64" i="24" s="1"/>
  <c r="W65" i="24"/>
  <c r="AI65" i="23"/>
  <c r="AO64" i="23"/>
  <c r="U66" i="23"/>
  <c r="AE65" i="23"/>
  <c r="AC65" i="23"/>
  <c r="AG65" i="23"/>
  <c r="AB65" i="23"/>
  <c r="U8" i="19"/>
  <c r="V8" i="19" s="1"/>
  <c r="AH8" i="19" s="1"/>
  <c r="AE7" i="19"/>
  <c r="AE7" i="20"/>
  <c r="U8" i="20"/>
  <c r="AG7" i="20"/>
  <c r="AC7" i="20"/>
  <c r="AV10" i="20"/>
  <c r="AU11" i="20" s="1"/>
  <c r="AC7" i="19"/>
  <c r="AV10" i="19"/>
  <c r="AU11" i="19" s="1"/>
  <c r="AE7" i="18"/>
  <c r="AC7" i="18"/>
  <c r="AG7" i="18"/>
  <c r="AV12" i="18"/>
  <c r="AU13" i="18" s="1"/>
  <c r="V8" i="18"/>
  <c r="AH8" i="18" s="1"/>
  <c r="AU9" i="16"/>
  <c r="W6" i="16"/>
  <c r="X6" i="16" s="1"/>
  <c r="AG6" i="16" s="1"/>
  <c r="W6" i="10"/>
  <c r="X6" i="10" s="1"/>
  <c r="U7" i="11"/>
  <c r="AG6" i="11"/>
  <c r="AC6" i="11"/>
  <c r="AE6" i="11"/>
  <c r="AU8" i="11"/>
  <c r="AU10" i="10"/>
  <c r="AV10" i="10" s="1"/>
  <c r="AO64" i="24" l="1"/>
  <c r="AB65" i="26"/>
  <c r="AG65" i="26"/>
  <c r="U66" i="26"/>
  <c r="AE65" i="26"/>
  <c r="AC65" i="26"/>
  <c r="U65" i="25"/>
  <c r="V65" i="25" s="1"/>
  <c r="AH65" i="25" s="1"/>
  <c r="AC64" i="25"/>
  <c r="AA65" i="25" s="1"/>
  <c r="AG64" i="25"/>
  <c r="AE64" i="25"/>
  <c r="AL64" i="25" s="1"/>
  <c r="Z65" i="25"/>
  <c r="AK64" i="25"/>
  <c r="X65" i="24"/>
  <c r="AB65" i="24" s="1"/>
  <c r="AI65" i="24"/>
  <c r="V66" i="23"/>
  <c r="AH66" i="23" s="1"/>
  <c r="AL65" i="23"/>
  <c r="AJ65" i="23"/>
  <c r="AA66" i="23"/>
  <c r="AN65" i="23"/>
  <c r="Z66" i="23"/>
  <c r="AK65" i="23"/>
  <c r="AV11" i="20"/>
  <c r="AU12" i="20" s="1"/>
  <c r="AA8" i="20"/>
  <c r="AN7" i="20"/>
  <c r="V8" i="20"/>
  <c r="AH8" i="20" s="1"/>
  <c r="W8" i="19"/>
  <c r="X8" i="19" s="1"/>
  <c r="AA8" i="19"/>
  <c r="AN7" i="19"/>
  <c r="AV11" i="19"/>
  <c r="AU12" i="19" s="1"/>
  <c r="AA8" i="18"/>
  <c r="AN7" i="18"/>
  <c r="AV13" i="18"/>
  <c r="AU14" i="18" s="1"/>
  <c r="W8" i="18"/>
  <c r="X8" i="18" s="1"/>
  <c r="AV9" i="16"/>
  <c r="AU10" i="16" s="1"/>
  <c r="AE6" i="16"/>
  <c r="AC6" i="16"/>
  <c r="U7" i="16"/>
  <c r="AA7" i="11"/>
  <c r="AN6" i="11"/>
  <c r="AV8" i="11"/>
  <c r="V7" i="11"/>
  <c r="AH7" i="11" s="1"/>
  <c r="AE6" i="10"/>
  <c r="AG6" i="10"/>
  <c r="AF6" i="10"/>
  <c r="AC6" i="10"/>
  <c r="U7" i="10"/>
  <c r="V7" i="10" s="1"/>
  <c r="AH7" i="10" s="1"/>
  <c r="AU11" i="10"/>
  <c r="AV11" i="10" s="1"/>
  <c r="AN64" i="25" l="1"/>
  <c r="AC65" i="24"/>
  <c r="AN65" i="24" s="1"/>
  <c r="AE65" i="24"/>
  <c r="AL65" i="24" s="1"/>
  <c r="U66" i="24"/>
  <c r="V66" i="24" s="1"/>
  <c r="AH66" i="24" s="1"/>
  <c r="AA66" i="26"/>
  <c r="AN65" i="26"/>
  <c r="V66" i="26"/>
  <c r="AH66" i="26" s="1"/>
  <c r="AJ65" i="26"/>
  <c r="AL65" i="26"/>
  <c r="Z66" i="26"/>
  <c r="AK65" i="26"/>
  <c r="AJ64" i="25"/>
  <c r="AM64" i="25" s="1"/>
  <c r="W65" i="25"/>
  <c r="AG65" i="24"/>
  <c r="Z66" i="24"/>
  <c r="AK65" i="24"/>
  <c r="W66" i="23"/>
  <c r="X66" i="23" s="1"/>
  <c r="AM65" i="23"/>
  <c r="AV12" i="20"/>
  <c r="AU13" i="20" s="1"/>
  <c r="W8" i="20"/>
  <c r="X8" i="20" s="1"/>
  <c r="AV12" i="19"/>
  <c r="AU13" i="19" s="1"/>
  <c r="AG8" i="19"/>
  <c r="U9" i="19"/>
  <c r="AE8" i="19"/>
  <c r="AC8" i="19"/>
  <c r="AG8" i="18"/>
  <c r="AE8" i="18"/>
  <c r="U9" i="18"/>
  <c r="AC8" i="18"/>
  <c r="AV14" i="18"/>
  <c r="AU15" i="18" s="1"/>
  <c r="AV10" i="16"/>
  <c r="AU11" i="16" s="1"/>
  <c r="V7" i="16"/>
  <c r="AH7" i="16" s="1"/>
  <c r="AA7" i="16"/>
  <c r="AN6" i="16"/>
  <c r="W7" i="11"/>
  <c r="X7" i="11" s="1"/>
  <c r="AU9" i="11"/>
  <c r="AA7" i="10"/>
  <c r="AN6" i="10"/>
  <c r="W7" i="10"/>
  <c r="AU12" i="10"/>
  <c r="AV12" i="10" s="1"/>
  <c r="AA66" i="24" l="1"/>
  <c r="AJ65" i="24"/>
  <c r="AM65" i="24" s="1"/>
  <c r="AO65" i="24" s="1"/>
  <c r="W66" i="26"/>
  <c r="AI66" i="26" s="1"/>
  <c r="AM65" i="26"/>
  <c r="X65" i="25"/>
  <c r="AB65" i="25" s="1"/>
  <c r="AI65" i="25"/>
  <c r="AO64" i="25"/>
  <c r="W66" i="24"/>
  <c r="AI66" i="23"/>
  <c r="AO65" i="23"/>
  <c r="U67" i="23"/>
  <c r="AG66" i="23"/>
  <c r="AE66" i="23"/>
  <c r="AC66" i="23"/>
  <c r="AB66" i="23"/>
  <c r="AV13" i="20"/>
  <c r="AU14" i="20" s="1"/>
  <c r="U9" i="20"/>
  <c r="AG8" i="20"/>
  <c r="AE8" i="20"/>
  <c r="AC8" i="20"/>
  <c r="AV13" i="19"/>
  <c r="AU14" i="19" s="1"/>
  <c r="AA9" i="19"/>
  <c r="AN8" i="19"/>
  <c r="V9" i="19"/>
  <c r="AH9" i="19" s="1"/>
  <c r="AV15" i="18"/>
  <c r="AU16" i="18" s="1"/>
  <c r="AA9" i="18"/>
  <c r="AN8" i="18"/>
  <c r="V9" i="18"/>
  <c r="AH9" i="18" s="1"/>
  <c r="W7" i="16"/>
  <c r="X7" i="16" s="1"/>
  <c r="AV11" i="16"/>
  <c r="AU12" i="16" s="1"/>
  <c r="U8" i="11"/>
  <c r="AG7" i="11"/>
  <c r="AE7" i="11"/>
  <c r="AC7" i="11"/>
  <c r="AV9" i="11"/>
  <c r="X7" i="10"/>
  <c r="AU13" i="10"/>
  <c r="AV13" i="10" s="1"/>
  <c r="U66" i="25" l="1"/>
  <c r="AC65" i="25"/>
  <c r="AA66" i="25" s="1"/>
  <c r="AG65" i="25"/>
  <c r="X66" i="26"/>
  <c r="AG66" i="26" s="1"/>
  <c r="AO65" i="26"/>
  <c r="AE65" i="25"/>
  <c r="AJ65" i="25" s="1"/>
  <c r="Z66" i="25"/>
  <c r="AK65" i="25"/>
  <c r="V66" i="25"/>
  <c r="AH66" i="25" s="1"/>
  <c r="X66" i="24"/>
  <c r="AB66" i="24" s="1"/>
  <c r="AI66" i="24"/>
  <c r="AL66" i="23"/>
  <c r="AJ66" i="23"/>
  <c r="V67" i="23"/>
  <c r="AH67" i="23" s="1"/>
  <c r="Z67" i="23"/>
  <c r="AK66" i="23"/>
  <c r="AA67" i="23"/>
  <c r="AN66" i="23"/>
  <c r="AV14" i="20"/>
  <c r="AU15" i="20" s="1"/>
  <c r="AA9" i="20"/>
  <c r="AN8" i="20"/>
  <c r="V9" i="20"/>
  <c r="AH9" i="20" s="1"/>
  <c r="AV14" i="19"/>
  <c r="AU15" i="19" s="1"/>
  <c r="W9" i="19"/>
  <c r="X9" i="19" s="1"/>
  <c r="W9" i="18"/>
  <c r="X9" i="18" s="1"/>
  <c r="AV16" i="18"/>
  <c r="AU17" i="18" s="1"/>
  <c r="AE7" i="16"/>
  <c r="AG7" i="16"/>
  <c r="AC7" i="16"/>
  <c r="U8" i="16"/>
  <c r="AV12" i="16"/>
  <c r="AU13" i="16" s="1"/>
  <c r="AA8" i="11"/>
  <c r="AN7" i="11"/>
  <c r="AU10" i="11"/>
  <c r="V8" i="11"/>
  <c r="AH8" i="11" s="1"/>
  <c r="U8" i="10"/>
  <c r="AG7" i="10"/>
  <c r="AC7" i="10"/>
  <c r="AF7" i="10"/>
  <c r="AE7" i="10"/>
  <c r="AU14" i="10"/>
  <c r="AV14" i="10" s="1"/>
  <c r="AN65" i="25" l="1"/>
  <c r="AC66" i="24"/>
  <c r="AA67" i="24" s="1"/>
  <c r="U67" i="24"/>
  <c r="V67" i="24" s="1"/>
  <c r="AH67" i="24" s="1"/>
  <c r="AE66" i="24"/>
  <c r="AL66" i="24" s="1"/>
  <c r="AG66" i="24"/>
  <c r="AB66" i="26"/>
  <c r="Z67" i="26" s="1"/>
  <c r="AE66" i="26"/>
  <c r="AJ66" i="26" s="1"/>
  <c r="AC66" i="26"/>
  <c r="AA67" i="26" s="1"/>
  <c r="U67" i="26"/>
  <c r="V67" i="26" s="1"/>
  <c r="AH67" i="26" s="1"/>
  <c r="AL65" i="25"/>
  <c r="AM65" i="25" s="1"/>
  <c r="AO65" i="25" s="1"/>
  <c r="W66" i="25"/>
  <c r="AI66" i="25" s="1"/>
  <c r="Z67" i="24"/>
  <c r="AK66" i="24"/>
  <c r="W67" i="23"/>
  <c r="X67" i="23" s="1"/>
  <c r="AM66" i="23"/>
  <c r="AV15" i="20"/>
  <c r="AU16" i="20" s="1"/>
  <c r="W9" i="20"/>
  <c r="X9" i="20" s="1"/>
  <c r="U10" i="19"/>
  <c r="AC9" i="19"/>
  <c r="AG9" i="19"/>
  <c r="AE9" i="19"/>
  <c r="AV15" i="19"/>
  <c r="AU16" i="19" s="1"/>
  <c r="AV17" i="18"/>
  <c r="AU18" i="18" s="1"/>
  <c r="U10" i="18"/>
  <c r="AE9" i="18"/>
  <c r="AC9" i="18"/>
  <c r="AG9" i="18"/>
  <c r="AV13" i="16"/>
  <c r="AU14" i="16" s="1"/>
  <c r="V8" i="16"/>
  <c r="AH8" i="16" s="1"/>
  <c r="AA8" i="16"/>
  <c r="AN7" i="16"/>
  <c r="V8" i="10"/>
  <c r="AH8" i="10" s="1"/>
  <c r="AV10" i="11"/>
  <c r="AU11" i="11" s="1"/>
  <c r="W8" i="11"/>
  <c r="X8" i="11" s="1"/>
  <c r="AA8" i="10"/>
  <c r="AN7" i="10"/>
  <c r="AU15" i="10"/>
  <c r="AV15" i="10" s="1"/>
  <c r="AN66" i="26" l="1"/>
  <c r="AN66" i="24"/>
  <c r="AJ66" i="24"/>
  <c r="AM66" i="24" s="1"/>
  <c r="AK66" i="26"/>
  <c r="AL66" i="26"/>
  <c r="W67" i="26"/>
  <c r="X66" i="25"/>
  <c r="AB66" i="25" s="1"/>
  <c r="W67" i="24"/>
  <c r="AI67" i="24" s="1"/>
  <c r="AI67" i="23"/>
  <c r="U68" i="23"/>
  <c r="AG67" i="23"/>
  <c r="AC67" i="23"/>
  <c r="AE67" i="23"/>
  <c r="AB67" i="23"/>
  <c r="AO66" i="23"/>
  <c r="AG9" i="20"/>
  <c r="AE9" i="20"/>
  <c r="U10" i="20"/>
  <c r="AC9" i="20"/>
  <c r="AV16" i="20"/>
  <c r="AU17" i="20" s="1"/>
  <c r="AV16" i="19"/>
  <c r="AU17" i="19" s="1"/>
  <c r="V10" i="19"/>
  <c r="AH10" i="19" s="1"/>
  <c r="AA10" i="19"/>
  <c r="AN9" i="19"/>
  <c r="AV18" i="18"/>
  <c r="AU19" i="18" s="1"/>
  <c r="AA10" i="18"/>
  <c r="AN9" i="18"/>
  <c r="V10" i="18"/>
  <c r="AH10" i="18" s="1"/>
  <c r="AV14" i="16"/>
  <c r="AU15" i="16" s="1"/>
  <c r="W8" i="16"/>
  <c r="X8" i="16" s="1"/>
  <c r="W8" i="10"/>
  <c r="X8" i="10" s="1"/>
  <c r="AC8" i="10" s="1"/>
  <c r="AA9" i="10" s="1"/>
  <c r="AE8" i="11"/>
  <c r="AC8" i="11"/>
  <c r="U9" i="11"/>
  <c r="AG8" i="11"/>
  <c r="AV11" i="11"/>
  <c r="AU12" i="11" s="1"/>
  <c r="AU16" i="10"/>
  <c r="AV16" i="10" s="1"/>
  <c r="AO66" i="24" l="1"/>
  <c r="AM66" i="26"/>
  <c r="AO66" i="26" s="1"/>
  <c r="X67" i="26"/>
  <c r="AI67" i="26"/>
  <c r="AC66" i="25"/>
  <c r="AN66" i="25" s="1"/>
  <c r="AE66" i="25"/>
  <c r="AL66" i="25" s="1"/>
  <c r="U67" i="25"/>
  <c r="V67" i="25" s="1"/>
  <c r="AH67" i="25" s="1"/>
  <c r="AG66" i="25"/>
  <c r="AJ66" i="25" s="1"/>
  <c r="Z67" i="25"/>
  <c r="AK66" i="25"/>
  <c r="X67" i="24"/>
  <c r="AB67" i="24" s="1"/>
  <c r="Z68" i="24" s="1"/>
  <c r="AA68" i="23"/>
  <c r="AN67" i="23"/>
  <c r="Z68" i="23"/>
  <c r="AK67" i="23"/>
  <c r="V68" i="23"/>
  <c r="AH68" i="23" s="1"/>
  <c r="AL67" i="23"/>
  <c r="AJ67" i="23"/>
  <c r="AA10" i="20"/>
  <c r="AN9" i="20"/>
  <c r="V10" i="20"/>
  <c r="AH10" i="20" s="1"/>
  <c r="AV17" i="20"/>
  <c r="AU18" i="20" s="1"/>
  <c r="AV17" i="19"/>
  <c r="AU18" i="19" s="1"/>
  <c r="W10" i="19"/>
  <c r="X10" i="19" s="1"/>
  <c r="AV19" i="18"/>
  <c r="AU20" i="18" s="1"/>
  <c r="W10" i="18"/>
  <c r="X10" i="18" s="1"/>
  <c r="U9" i="16"/>
  <c r="AG8" i="16"/>
  <c r="AE8" i="16"/>
  <c r="AC8" i="16"/>
  <c r="AV15" i="16"/>
  <c r="AU16" i="16" s="1"/>
  <c r="AG8" i="10"/>
  <c r="AF8" i="10"/>
  <c r="AE8" i="10"/>
  <c r="U9" i="10"/>
  <c r="V9" i="10" s="1"/>
  <c r="AH9" i="10" s="1"/>
  <c r="AV12" i="11"/>
  <c r="AU13" i="11" s="1"/>
  <c r="V9" i="11"/>
  <c r="AH9" i="11" s="1"/>
  <c r="AA9" i="11"/>
  <c r="AN8" i="11"/>
  <c r="AN8" i="10"/>
  <c r="AU17" i="10"/>
  <c r="AV17" i="10" s="1"/>
  <c r="AA67" i="25" l="1"/>
  <c r="U68" i="26"/>
  <c r="AC67" i="26"/>
  <c r="AE67" i="26"/>
  <c r="AG67" i="26"/>
  <c r="AB67" i="26"/>
  <c r="W67" i="25"/>
  <c r="AI67" i="25" s="1"/>
  <c r="AM66" i="25"/>
  <c r="AO66" i="25" s="1"/>
  <c r="AC67" i="24"/>
  <c r="AN67" i="24" s="1"/>
  <c r="AE67" i="24"/>
  <c r="AG67" i="24"/>
  <c r="U68" i="24"/>
  <c r="AK67" i="24"/>
  <c r="AL67" i="24"/>
  <c r="V68" i="24"/>
  <c r="AH68" i="24" s="1"/>
  <c r="W68" i="23"/>
  <c r="AI68" i="23" s="1"/>
  <c r="AM67" i="23"/>
  <c r="AV18" i="20"/>
  <c r="AU19" i="20" s="1"/>
  <c r="W10" i="20"/>
  <c r="X10" i="20" s="1"/>
  <c r="AV18" i="19"/>
  <c r="AU19" i="19" s="1"/>
  <c r="U11" i="19"/>
  <c r="AE10" i="19"/>
  <c r="AG10" i="19"/>
  <c r="AC10" i="19"/>
  <c r="U11" i="18"/>
  <c r="AG10" i="18"/>
  <c r="AE10" i="18"/>
  <c r="AC10" i="18"/>
  <c r="AV20" i="18"/>
  <c r="AU21" i="18" s="1"/>
  <c r="AV16" i="16"/>
  <c r="AU17" i="16" s="1"/>
  <c r="AA9" i="16"/>
  <c r="AN8" i="16"/>
  <c r="V9" i="16"/>
  <c r="AH9" i="16" s="1"/>
  <c r="W9" i="10"/>
  <c r="X9" i="10" s="1"/>
  <c r="AG9" i="10" s="1"/>
  <c r="AV13" i="11"/>
  <c r="AU14" i="11" s="1"/>
  <c r="W9" i="11"/>
  <c r="X9" i="11" s="1"/>
  <c r="AU18" i="10"/>
  <c r="AV18" i="10" s="1"/>
  <c r="AJ67" i="24" l="1"/>
  <c r="AM67" i="24" s="1"/>
  <c r="AO67" i="24" s="1"/>
  <c r="AA68" i="24"/>
  <c r="Z68" i="26"/>
  <c r="AK67" i="26"/>
  <c r="AL67" i="26"/>
  <c r="AA68" i="26"/>
  <c r="AN67" i="26"/>
  <c r="V68" i="26"/>
  <c r="AH68" i="26" s="1"/>
  <c r="AJ67" i="26"/>
  <c r="X67" i="25"/>
  <c r="AB67" i="25" s="1"/>
  <c r="Z68" i="25" s="1"/>
  <c r="W68" i="24"/>
  <c r="X68" i="23"/>
  <c r="AC68" i="23" s="1"/>
  <c r="AO67" i="23"/>
  <c r="AE10" i="20"/>
  <c r="AG10" i="20"/>
  <c r="U11" i="20"/>
  <c r="AC10" i="20"/>
  <c r="AV19" i="20"/>
  <c r="AU20" i="20" s="1"/>
  <c r="AV19" i="19"/>
  <c r="AU20" i="19" s="1"/>
  <c r="AA11" i="19"/>
  <c r="AN10" i="19"/>
  <c r="V11" i="19"/>
  <c r="AH11" i="19" s="1"/>
  <c r="AV21" i="18"/>
  <c r="AU22" i="18" s="1"/>
  <c r="AA11" i="18"/>
  <c r="AN10" i="18"/>
  <c r="V11" i="18"/>
  <c r="AH11" i="18" s="1"/>
  <c r="W9" i="16"/>
  <c r="X9" i="16" s="1"/>
  <c r="AV17" i="16"/>
  <c r="AU18" i="16" s="1"/>
  <c r="AC9" i="10"/>
  <c r="AA10" i="10" s="1"/>
  <c r="U10" i="10"/>
  <c r="V10" i="10" s="1"/>
  <c r="AF9" i="10"/>
  <c r="AE9" i="10"/>
  <c r="AG9" i="11"/>
  <c r="U10" i="11"/>
  <c r="AE9" i="11"/>
  <c r="AC9" i="11"/>
  <c r="AV14" i="11"/>
  <c r="AU15" i="11" s="1"/>
  <c r="AU19" i="10"/>
  <c r="AV19" i="10" s="1"/>
  <c r="AE67" i="25" l="1"/>
  <c r="U68" i="25"/>
  <c r="V68" i="25" s="1"/>
  <c r="AH68" i="25" s="1"/>
  <c r="AG67" i="25"/>
  <c r="AC67" i="25"/>
  <c r="AN67" i="25" s="1"/>
  <c r="W68" i="26"/>
  <c r="X68" i="26" s="1"/>
  <c r="AM67" i="26"/>
  <c r="AK67" i="25"/>
  <c r="AJ67" i="25"/>
  <c r="AL67" i="25"/>
  <c r="X68" i="24"/>
  <c r="AI68" i="24"/>
  <c r="AB68" i="23"/>
  <c r="AK68" i="23" s="1"/>
  <c r="U69" i="23"/>
  <c r="V69" i="23" s="1"/>
  <c r="AH69" i="23" s="1"/>
  <c r="AG68" i="23"/>
  <c r="AE68" i="23"/>
  <c r="AL68" i="23" s="1"/>
  <c r="AA69" i="23"/>
  <c r="AN68" i="23"/>
  <c r="AV20" i="20"/>
  <c r="AU21" i="20" s="1"/>
  <c r="AA11" i="20"/>
  <c r="AN10" i="20"/>
  <c r="V11" i="20"/>
  <c r="AH11" i="20" s="1"/>
  <c r="W11" i="19"/>
  <c r="X11" i="19" s="1"/>
  <c r="AV20" i="19"/>
  <c r="AU21" i="19" s="1"/>
  <c r="AV22" i="18"/>
  <c r="AU23" i="18" s="1"/>
  <c r="W11" i="18"/>
  <c r="X11" i="18" s="1"/>
  <c r="AG9" i="16"/>
  <c r="U10" i="16"/>
  <c r="AE9" i="16"/>
  <c r="AC9" i="16"/>
  <c r="AV18" i="16"/>
  <c r="AU19" i="16" s="1"/>
  <c r="AH10" i="10"/>
  <c r="W10" i="10"/>
  <c r="X10" i="10" s="1"/>
  <c r="AN9" i="10"/>
  <c r="AV15" i="11"/>
  <c r="AU16" i="11" s="1"/>
  <c r="AA10" i="11"/>
  <c r="AN9" i="11"/>
  <c r="V10" i="11"/>
  <c r="AH10" i="11" s="1"/>
  <c r="AU20" i="10"/>
  <c r="AV20" i="10" s="1"/>
  <c r="AA68" i="25" l="1"/>
  <c r="AI68" i="26"/>
  <c r="AE68" i="26"/>
  <c r="U69" i="26"/>
  <c r="AC68" i="26"/>
  <c r="AG68" i="26"/>
  <c r="AB68" i="26"/>
  <c r="AO67" i="26"/>
  <c r="AM67" i="25"/>
  <c r="AO67" i="25" s="1"/>
  <c r="W68" i="25"/>
  <c r="AI68" i="25" s="1"/>
  <c r="U69" i="24"/>
  <c r="V69" i="24" s="1"/>
  <c r="AH69" i="24" s="1"/>
  <c r="AC68" i="24"/>
  <c r="AB68" i="24"/>
  <c r="AE68" i="24"/>
  <c r="AG68" i="24"/>
  <c r="Z69" i="23"/>
  <c r="AJ68" i="23"/>
  <c r="AM68" i="23" s="1"/>
  <c r="AO68" i="23" s="1"/>
  <c r="W69" i="23"/>
  <c r="X69" i="23" s="1"/>
  <c r="AV21" i="20"/>
  <c r="AU22" i="20" s="1"/>
  <c r="W11" i="20"/>
  <c r="X11" i="20" s="1"/>
  <c r="AG11" i="19"/>
  <c r="AC11" i="19"/>
  <c r="U12" i="19"/>
  <c r="AE11" i="19"/>
  <c r="AV21" i="19"/>
  <c r="AU22" i="19" s="1"/>
  <c r="AG11" i="18"/>
  <c r="U12" i="18"/>
  <c r="AE11" i="18"/>
  <c r="AC11" i="18"/>
  <c r="AV23" i="18"/>
  <c r="AU24" i="18" s="1"/>
  <c r="AV19" i="16"/>
  <c r="AU20" i="16" s="1"/>
  <c r="AA10" i="16"/>
  <c r="AN9" i="16"/>
  <c r="V10" i="16"/>
  <c r="AH10" i="16" s="1"/>
  <c r="AV16" i="11"/>
  <c r="AU17" i="11" s="1"/>
  <c r="W10" i="11"/>
  <c r="X10" i="11" s="1"/>
  <c r="U11" i="10"/>
  <c r="V11" i="10" s="1"/>
  <c r="AE10" i="10"/>
  <c r="AG10" i="10"/>
  <c r="AF10" i="10"/>
  <c r="AC10" i="10"/>
  <c r="AU21" i="10"/>
  <c r="AV21" i="10" s="1"/>
  <c r="AA69" i="26" l="1"/>
  <c r="AN68" i="26"/>
  <c r="Z69" i="26"/>
  <c r="AK68" i="26"/>
  <c r="AJ68" i="26"/>
  <c r="V69" i="26"/>
  <c r="AH69" i="26" s="1"/>
  <c r="AL68" i="26"/>
  <c r="X68" i="25"/>
  <c r="AB68" i="25" s="1"/>
  <c r="Z69" i="25" s="1"/>
  <c r="W69" i="24"/>
  <c r="AI69" i="24" s="1"/>
  <c r="AK68" i="24"/>
  <c r="Z69" i="24"/>
  <c r="AA69" i="24"/>
  <c r="AN68" i="24"/>
  <c r="AL68" i="24"/>
  <c r="AJ68" i="24"/>
  <c r="AI69" i="23"/>
  <c r="AC69" i="23"/>
  <c r="AE69" i="23"/>
  <c r="AL69" i="23" s="1"/>
  <c r="U70" i="23"/>
  <c r="AG69" i="23"/>
  <c r="AB69" i="23"/>
  <c r="AG11" i="20"/>
  <c r="U12" i="20"/>
  <c r="AE11" i="20"/>
  <c r="AC11" i="20"/>
  <c r="AV22" i="20"/>
  <c r="AU23" i="20" s="1"/>
  <c r="AV22" i="19"/>
  <c r="AU23" i="19" s="1"/>
  <c r="AA12" i="19"/>
  <c r="AN11" i="19"/>
  <c r="V12" i="19"/>
  <c r="AH12" i="19" s="1"/>
  <c r="AV24" i="18"/>
  <c r="AU25" i="18" s="1"/>
  <c r="AA12" i="18"/>
  <c r="AN11" i="18"/>
  <c r="V12" i="18"/>
  <c r="AH12" i="18" s="1"/>
  <c r="AV20" i="16"/>
  <c r="AU21" i="16" s="1"/>
  <c r="W10" i="16"/>
  <c r="X10" i="16" s="1"/>
  <c r="U11" i="11"/>
  <c r="AE10" i="11"/>
  <c r="AG10" i="11"/>
  <c r="AC10" i="11"/>
  <c r="AV17" i="11"/>
  <c r="AU18" i="11" s="1"/>
  <c r="AA11" i="10"/>
  <c r="AN10" i="10"/>
  <c r="W11" i="10"/>
  <c r="X11" i="10" s="1"/>
  <c r="U12" i="10" s="1"/>
  <c r="AH11" i="10"/>
  <c r="AU22" i="10"/>
  <c r="AV22" i="10" s="1"/>
  <c r="AC68" i="25" l="1"/>
  <c r="AN68" i="25" s="1"/>
  <c r="AG68" i="25"/>
  <c r="X69" i="24"/>
  <c r="U70" i="24" s="1"/>
  <c r="W69" i="26"/>
  <c r="X69" i="26" s="1"/>
  <c r="AM68" i="26"/>
  <c r="U69" i="25"/>
  <c r="V69" i="25" s="1"/>
  <c r="AH69" i="25" s="1"/>
  <c r="AE68" i="25"/>
  <c r="AJ68" i="25" s="1"/>
  <c r="AK68" i="25"/>
  <c r="AA69" i="25"/>
  <c r="AM68" i="24"/>
  <c r="AO68" i="24" s="1"/>
  <c r="V70" i="23"/>
  <c r="AH70" i="23" s="1"/>
  <c r="Z70" i="23"/>
  <c r="AK69" i="23"/>
  <c r="AA70" i="23"/>
  <c r="AN69" i="23"/>
  <c r="AJ69" i="23"/>
  <c r="AV23" i="20"/>
  <c r="AU24" i="20" s="1"/>
  <c r="AA12" i="20"/>
  <c r="AN11" i="20"/>
  <c r="V12" i="20"/>
  <c r="AH12" i="20" s="1"/>
  <c r="AV23" i="19"/>
  <c r="AU24" i="19" s="1"/>
  <c r="W12" i="19"/>
  <c r="X12" i="19" s="1"/>
  <c r="AV25" i="18"/>
  <c r="AU26" i="18" s="1"/>
  <c r="W12" i="18"/>
  <c r="X12" i="18" s="1"/>
  <c r="U11" i="16"/>
  <c r="AE10" i="16"/>
  <c r="AG10" i="16"/>
  <c r="AC10" i="16"/>
  <c r="AV21" i="16"/>
  <c r="AU22" i="16" s="1"/>
  <c r="AV18" i="11"/>
  <c r="AU19" i="11" s="1"/>
  <c r="AA11" i="11"/>
  <c r="AN10" i="11"/>
  <c r="V11" i="11"/>
  <c r="AH11" i="11" s="1"/>
  <c r="AG11" i="10"/>
  <c r="AE11" i="10"/>
  <c r="AF11" i="10"/>
  <c r="AC11" i="10"/>
  <c r="AA12" i="10" s="1"/>
  <c r="V12" i="10"/>
  <c r="AU23" i="10"/>
  <c r="AV23" i="10" s="1"/>
  <c r="AL68" i="25" l="1"/>
  <c r="AM68" i="25" s="1"/>
  <c r="AO68" i="25" s="1"/>
  <c r="AE69" i="24"/>
  <c r="AL69" i="24" s="1"/>
  <c r="AB69" i="24"/>
  <c r="AG69" i="24"/>
  <c r="AC69" i="24"/>
  <c r="AA70" i="24" s="1"/>
  <c r="AI69" i="26"/>
  <c r="AO68" i="26"/>
  <c r="AC69" i="26"/>
  <c r="AE69" i="26"/>
  <c r="AL69" i="26" s="1"/>
  <c r="U70" i="26"/>
  <c r="AG69" i="26"/>
  <c r="AB69" i="26"/>
  <c r="W69" i="25"/>
  <c r="AI69" i="25" s="1"/>
  <c r="Z70" i="24"/>
  <c r="AK69" i="24"/>
  <c r="V70" i="24"/>
  <c r="AH70" i="24" s="1"/>
  <c r="AM69" i="23"/>
  <c r="AO69" i="23" s="1"/>
  <c r="W70" i="23"/>
  <c r="AV24" i="20"/>
  <c r="AU25" i="20" s="1"/>
  <c r="W12" i="20"/>
  <c r="X12" i="20" s="1"/>
  <c r="AV24" i="19"/>
  <c r="AU25" i="19" s="1"/>
  <c r="U13" i="19"/>
  <c r="AE12" i="19"/>
  <c r="AG12" i="19"/>
  <c r="AC12" i="19"/>
  <c r="AE12" i="18"/>
  <c r="AG12" i="18"/>
  <c r="U13" i="18"/>
  <c r="AC12" i="18"/>
  <c r="AV26" i="18"/>
  <c r="AU27" i="18" s="1"/>
  <c r="AV22" i="16"/>
  <c r="AU23" i="16" s="1"/>
  <c r="AA11" i="16"/>
  <c r="AN10" i="16"/>
  <c r="V11" i="16"/>
  <c r="AH11" i="16" s="1"/>
  <c r="AN11" i="10"/>
  <c r="W11" i="11"/>
  <c r="X11" i="11" s="1"/>
  <c r="AV19" i="11"/>
  <c r="AU20" i="11" s="1"/>
  <c r="W12" i="10"/>
  <c r="X12" i="10" s="1"/>
  <c r="AH12" i="10"/>
  <c r="AU24" i="10"/>
  <c r="AV24" i="10" s="1"/>
  <c r="AJ69" i="24" l="1"/>
  <c r="AM69" i="24" s="1"/>
  <c r="AN69" i="24"/>
  <c r="V70" i="26"/>
  <c r="AH70" i="26" s="1"/>
  <c r="AA70" i="26"/>
  <c r="AN69" i="26"/>
  <c r="AJ69" i="26"/>
  <c r="Z70" i="26"/>
  <c r="AK69" i="26"/>
  <c r="X69" i="25"/>
  <c r="AB69" i="25" s="1"/>
  <c r="Z70" i="25" s="1"/>
  <c r="W70" i="24"/>
  <c r="AI70" i="24" s="1"/>
  <c r="X70" i="23"/>
  <c r="AI70" i="23"/>
  <c r="AV25" i="20"/>
  <c r="AU26" i="20" s="1"/>
  <c r="AE12" i="20"/>
  <c r="U13" i="20"/>
  <c r="AC12" i="20"/>
  <c r="AG12" i="20"/>
  <c r="V13" i="19"/>
  <c r="AH13" i="19" s="1"/>
  <c r="AA13" i="19"/>
  <c r="AN12" i="19"/>
  <c r="AV25" i="19"/>
  <c r="AU26" i="19" s="1"/>
  <c r="AV27" i="18"/>
  <c r="AU28" i="18" s="1"/>
  <c r="AA13" i="18"/>
  <c r="AN12" i="18"/>
  <c r="V13" i="18"/>
  <c r="AH13" i="18" s="1"/>
  <c r="W11" i="16"/>
  <c r="X11" i="16" s="1"/>
  <c r="AV23" i="16"/>
  <c r="AU24" i="16" s="1"/>
  <c r="AV20" i="11"/>
  <c r="AU21" i="11" s="1"/>
  <c r="U12" i="11"/>
  <c r="AG11" i="11"/>
  <c r="AE11" i="11"/>
  <c r="AC11" i="11"/>
  <c r="AG12" i="10"/>
  <c r="AE12" i="10"/>
  <c r="AF12" i="10"/>
  <c r="AC12" i="10"/>
  <c r="AU25" i="10"/>
  <c r="AV25" i="10" s="1"/>
  <c r="U13" i="10"/>
  <c r="AO69" i="24" l="1"/>
  <c r="AC69" i="25"/>
  <c r="AA70" i="25" s="1"/>
  <c r="U70" i="25"/>
  <c r="V70" i="25" s="1"/>
  <c r="AH70" i="25" s="1"/>
  <c r="AE69" i="25"/>
  <c r="AL69" i="25" s="1"/>
  <c r="AM69" i="26"/>
  <c r="W70" i="26"/>
  <c r="AI70" i="26" s="1"/>
  <c r="AG69" i="25"/>
  <c r="AK69" i="25"/>
  <c r="X70" i="24"/>
  <c r="U71" i="23"/>
  <c r="AE70" i="23"/>
  <c r="AL70" i="23" s="1"/>
  <c r="AC70" i="23"/>
  <c r="AG70" i="23"/>
  <c r="AB70" i="23"/>
  <c r="AV26" i="20"/>
  <c r="AU27" i="20" s="1"/>
  <c r="AA13" i="20"/>
  <c r="AN12" i="20"/>
  <c r="V13" i="20"/>
  <c r="AH13" i="20" s="1"/>
  <c r="W13" i="19"/>
  <c r="X13" i="19" s="1"/>
  <c r="AG13" i="19" s="1"/>
  <c r="AV26" i="19"/>
  <c r="AU27" i="19" s="1"/>
  <c r="W13" i="18"/>
  <c r="X13" i="18" s="1"/>
  <c r="AG13" i="18" s="1"/>
  <c r="AV28" i="18"/>
  <c r="AU29" i="18" s="1"/>
  <c r="AV24" i="16"/>
  <c r="AU25" i="16" s="1"/>
  <c r="AG11" i="16"/>
  <c r="U12" i="16"/>
  <c r="AE11" i="16"/>
  <c r="AC11" i="16"/>
  <c r="AV21" i="11"/>
  <c r="AU22" i="11" s="1"/>
  <c r="AA12" i="11"/>
  <c r="AN11" i="11"/>
  <c r="V12" i="11"/>
  <c r="AH12" i="11" s="1"/>
  <c r="AA13" i="10"/>
  <c r="AN12" i="10"/>
  <c r="V13" i="10"/>
  <c r="W13" i="10" s="1"/>
  <c r="AU26" i="10"/>
  <c r="AV26" i="10" s="1"/>
  <c r="AJ69" i="25" l="1"/>
  <c r="AM69" i="25" s="1"/>
  <c r="AN69" i="25"/>
  <c r="X70" i="26"/>
  <c r="AO69" i="26"/>
  <c r="W70" i="25"/>
  <c r="AC70" i="24"/>
  <c r="U71" i="24"/>
  <c r="AG70" i="24"/>
  <c r="AE70" i="24"/>
  <c r="AB70" i="24"/>
  <c r="AA71" i="23"/>
  <c r="AN70" i="23"/>
  <c r="V71" i="23"/>
  <c r="AH71" i="23" s="1"/>
  <c r="Z71" i="23"/>
  <c r="AK70" i="23"/>
  <c r="AJ70" i="23"/>
  <c r="U14" i="19"/>
  <c r="V14" i="19" s="1"/>
  <c r="AH14" i="19" s="1"/>
  <c r="AE13" i="19"/>
  <c r="AC13" i="19"/>
  <c r="AA14" i="19" s="1"/>
  <c r="AV27" i="20"/>
  <c r="AU28" i="20" s="1"/>
  <c r="W13" i="20"/>
  <c r="X13" i="20" s="1"/>
  <c r="AV27" i="19"/>
  <c r="AU28" i="19" s="1"/>
  <c r="AC13" i="18"/>
  <c r="AE13" i="18"/>
  <c r="U14" i="18"/>
  <c r="V14" i="18" s="1"/>
  <c r="AH14" i="18" s="1"/>
  <c r="AV29" i="18"/>
  <c r="AU30" i="18" s="1"/>
  <c r="AV25" i="16"/>
  <c r="AU26" i="16" s="1"/>
  <c r="AA12" i="16"/>
  <c r="AN11" i="16"/>
  <c r="V12" i="16"/>
  <c r="AH12" i="16" s="1"/>
  <c r="AV22" i="11"/>
  <c r="AU23" i="11" s="1"/>
  <c r="W12" i="11"/>
  <c r="X12" i="11" s="1"/>
  <c r="X13" i="10"/>
  <c r="AH13" i="10"/>
  <c r="AU27" i="10"/>
  <c r="AV27" i="10" s="1"/>
  <c r="AO69" i="25" l="1"/>
  <c r="U71" i="26"/>
  <c r="AG70" i="26"/>
  <c r="AE70" i="26"/>
  <c r="AC70" i="26"/>
  <c r="AB70" i="26"/>
  <c r="X70" i="25"/>
  <c r="AB70" i="25" s="1"/>
  <c r="AI70" i="25"/>
  <c r="AJ70" i="24"/>
  <c r="AL70" i="24"/>
  <c r="V71" i="24"/>
  <c r="AH71" i="24" s="1"/>
  <c r="Z71" i="24"/>
  <c r="AK70" i="24"/>
  <c r="AA71" i="24"/>
  <c r="AN70" i="24"/>
  <c r="AM70" i="23"/>
  <c r="AO70" i="23" s="1"/>
  <c r="W71" i="23"/>
  <c r="X71" i="23" s="1"/>
  <c r="W14" i="19"/>
  <c r="X14" i="19" s="1"/>
  <c r="AN13" i="19"/>
  <c r="AV28" i="20"/>
  <c r="AU29" i="20" s="1"/>
  <c r="U14" i="20"/>
  <c r="AC13" i="20"/>
  <c r="AG13" i="20"/>
  <c r="AE13" i="20"/>
  <c r="AV28" i="19"/>
  <c r="AU29" i="19" s="1"/>
  <c r="AA14" i="18"/>
  <c r="AN13" i="18"/>
  <c r="AV30" i="18"/>
  <c r="AU31" i="18" s="1"/>
  <c r="W14" i="18"/>
  <c r="X14" i="18" s="1"/>
  <c r="AV26" i="16"/>
  <c r="AU27" i="16" s="1"/>
  <c r="W12" i="16"/>
  <c r="X12" i="16" s="1"/>
  <c r="AV23" i="11"/>
  <c r="AU24" i="11" s="1"/>
  <c r="U13" i="11"/>
  <c r="AE12" i="11"/>
  <c r="AG12" i="11"/>
  <c r="AC12" i="11"/>
  <c r="AF13" i="10"/>
  <c r="AE13" i="10"/>
  <c r="AG13" i="10"/>
  <c r="AC13" i="10"/>
  <c r="U14" i="10"/>
  <c r="AU28" i="10"/>
  <c r="AV28" i="10" s="1"/>
  <c r="U71" i="25" l="1"/>
  <c r="AG70" i="25"/>
  <c r="W71" i="24"/>
  <c r="AI71" i="24" s="1"/>
  <c r="Z71" i="26"/>
  <c r="AK70" i="26"/>
  <c r="AL70" i="26"/>
  <c r="AJ70" i="26"/>
  <c r="AA71" i="26"/>
  <c r="AN70" i="26"/>
  <c r="V71" i="26"/>
  <c r="AH71" i="26" s="1"/>
  <c r="AE70" i="25"/>
  <c r="AL70" i="25" s="1"/>
  <c r="AC70" i="25"/>
  <c r="AA71" i="25" s="1"/>
  <c r="Z71" i="25"/>
  <c r="AK70" i="25"/>
  <c r="V71" i="25"/>
  <c r="AH71" i="25" s="1"/>
  <c r="AJ70" i="25"/>
  <c r="AM70" i="24"/>
  <c r="AO70" i="24" s="1"/>
  <c r="AI71" i="23"/>
  <c r="AC71" i="23"/>
  <c r="AE71" i="23"/>
  <c r="AL71" i="23" s="1"/>
  <c r="U72" i="23"/>
  <c r="AG71" i="23"/>
  <c r="AB71" i="23"/>
  <c r="AV29" i="20"/>
  <c r="AU30" i="20" s="1"/>
  <c r="AA14" i="20"/>
  <c r="AN13" i="20"/>
  <c r="V14" i="20"/>
  <c r="AH14" i="20" s="1"/>
  <c r="AV29" i="19"/>
  <c r="AU30" i="19" s="1"/>
  <c r="U15" i="19"/>
  <c r="AG14" i="19"/>
  <c r="AE14" i="19"/>
  <c r="AC14" i="19"/>
  <c r="AV31" i="18"/>
  <c r="AU32" i="18" s="1"/>
  <c r="AE14" i="18"/>
  <c r="AG14" i="18"/>
  <c r="U15" i="18"/>
  <c r="AC14" i="18"/>
  <c r="AC12" i="16"/>
  <c r="AE12" i="16"/>
  <c r="U13" i="16"/>
  <c r="AG12" i="16"/>
  <c r="AV27" i="16"/>
  <c r="AU28" i="16" s="1"/>
  <c r="AV24" i="11"/>
  <c r="AU25" i="11" s="1"/>
  <c r="AA13" i="11"/>
  <c r="AN12" i="11"/>
  <c r="V13" i="11"/>
  <c r="AH13" i="11" s="1"/>
  <c r="AA14" i="10"/>
  <c r="AN13" i="10"/>
  <c r="V14" i="10"/>
  <c r="W14" i="10" s="1"/>
  <c r="AU29" i="10"/>
  <c r="AV29" i="10" s="1"/>
  <c r="X71" i="24" l="1"/>
  <c r="U72" i="24" s="1"/>
  <c r="W71" i="26"/>
  <c r="X71" i="26" s="1"/>
  <c r="AM70" i="26"/>
  <c r="AO70" i="26" s="1"/>
  <c r="AN70" i="25"/>
  <c r="W71" i="25"/>
  <c r="X71" i="25" s="1"/>
  <c r="AM70" i="25"/>
  <c r="AE71" i="24"/>
  <c r="AG71" i="24"/>
  <c r="AC71" i="24"/>
  <c r="V72" i="23"/>
  <c r="AH72" i="23" s="1"/>
  <c r="Z72" i="23"/>
  <c r="AK71" i="23"/>
  <c r="AA72" i="23"/>
  <c r="AN71" i="23"/>
  <c r="AJ71" i="23"/>
  <c r="W14" i="20"/>
  <c r="X14" i="20" s="1"/>
  <c r="AV30" i="20"/>
  <c r="AU31" i="20" s="1"/>
  <c r="AV30" i="19"/>
  <c r="AU31" i="19" s="1"/>
  <c r="V15" i="19"/>
  <c r="AH15" i="19" s="1"/>
  <c r="AA15" i="19"/>
  <c r="AN14" i="19"/>
  <c r="V15" i="18"/>
  <c r="AH15" i="18" s="1"/>
  <c r="AA15" i="18"/>
  <c r="AN14" i="18"/>
  <c r="AV32" i="18"/>
  <c r="AU33" i="18" s="1"/>
  <c r="V13" i="16"/>
  <c r="AH13" i="16" s="1"/>
  <c r="AV28" i="16"/>
  <c r="AU29" i="16" s="1"/>
  <c r="AA13" i="16"/>
  <c r="AN12" i="16"/>
  <c r="W13" i="11"/>
  <c r="X13" i="11" s="1"/>
  <c r="AV25" i="11"/>
  <c r="AU26" i="11" s="1"/>
  <c r="X14" i="10"/>
  <c r="AH14" i="10"/>
  <c r="AU30" i="10"/>
  <c r="AV30" i="10" s="1"/>
  <c r="AB71" i="24" l="1"/>
  <c r="AI71" i="26"/>
  <c r="AG71" i="26"/>
  <c r="U72" i="26"/>
  <c r="AE71" i="26"/>
  <c r="AL71" i="26" s="1"/>
  <c r="AC71" i="26"/>
  <c r="AB71" i="26"/>
  <c r="AO70" i="25"/>
  <c r="AB71" i="25"/>
  <c r="AG71" i="25"/>
  <c r="AC71" i="25"/>
  <c r="AA72" i="25" s="1"/>
  <c r="AE71" i="25"/>
  <c r="AL71" i="25" s="1"/>
  <c r="U72" i="25"/>
  <c r="V72" i="25" s="1"/>
  <c r="AH72" i="25" s="1"/>
  <c r="AI71" i="25"/>
  <c r="V72" i="24"/>
  <c r="AH72" i="24" s="1"/>
  <c r="Z72" i="24"/>
  <c r="AK71" i="24"/>
  <c r="AA72" i="24"/>
  <c r="AN71" i="24"/>
  <c r="AJ71" i="24"/>
  <c r="AL71" i="24"/>
  <c r="AM71" i="23"/>
  <c r="AO71" i="23" s="1"/>
  <c r="W72" i="23"/>
  <c r="AV31" i="20"/>
  <c r="AU32" i="20" s="1"/>
  <c r="AE14" i="20"/>
  <c r="U15" i="20"/>
  <c r="AG14" i="20"/>
  <c r="AC14" i="20"/>
  <c r="W15" i="19"/>
  <c r="X15" i="19" s="1"/>
  <c r="AV31" i="19"/>
  <c r="AU32" i="19" s="1"/>
  <c r="AV33" i="18"/>
  <c r="AU34" i="18" s="1"/>
  <c r="W15" i="18"/>
  <c r="X15" i="18" s="1"/>
  <c r="AV29" i="16"/>
  <c r="AU30" i="16" s="1"/>
  <c r="W13" i="16"/>
  <c r="X13" i="16" s="1"/>
  <c r="AV26" i="11"/>
  <c r="AU27" i="11" s="1"/>
  <c r="AE13" i="11"/>
  <c r="AG13" i="11"/>
  <c r="U14" i="11"/>
  <c r="AC13" i="11"/>
  <c r="AF14" i="10"/>
  <c r="AG14" i="10"/>
  <c r="AE14" i="10"/>
  <c r="AC14" i="10"/>
  <c r="AU31" i="10"/>
  <c r="AV31" i="10" s="1"/>
  <c r="U15" i="10"/>
  <c r="Z72" i="26" l="1"/>
  <c r="AK71" i="26"/>
  <c r="V72" i="26"/>
  <c r="AH72" i="26" s="1"/>
  <c r="AA72" i="26"/>
  <c r="AN71" i="26"/>
  <c r="AJ71" i="26"/>
  <c r="W72" i="25"/>
  <c r="AI72" i="25" s="1"/>
  <c r="AN71" i="25"/>
  <c r="AJ71" i="25"/>
  <c r="Z72" i="25"/>
  <c r="AK71" i="25"/>
  <c r="W72" i="24"/>
  <c r="AI72" i="24" s="1"/>
  <c r="AM71" i="24"/>
  <c r="AO71" i="24" s="1"/>
  <c r="X72" i="23"/>
  <c r="AI72" i="23"/>
  <c r="AV32" i="20"/>
  <c r="AU33" i="20" s="1"/>
  <c r="V15" i="20"/>
  <c r="AH15" i="20" s="1"/>
  <c r="AA15" i="20"/>
  <c r="AN14" i="20"/>
  <c r="U16" i="19"/>
  <c r="AE15" i="19"/>
  <c r="AG15" i="19"/>
  <c r="AC15" i="19"/>
  <c r="AV32" i="19"/>
  <c r="AU33" i="19" s="1"/>
  <c r="AG15" i="18"/>
  <c r="AC15" i="18"/>
  <c r="U16" i="18"/>
  <c r="AE15" i="18"/>
  <c r="AV34" i="18"/>
  <c r="AU35" i="18" s="1"/>
  <c r="U14" i="16"/>
  <c r="AC13" i="16"/>
  <c r="AE13" i="16"/>
  <c r="AG13" i="16"/>
  <c r="AV30" i="16"/>
  <c r="AU31" i="16" s="1"/>
  <c r="AV27" i="11"/>
  <c r="AU28" i="11" s="1"/>
  <c r="AA14" i="11"/>
  <c r="AN13" i="11"/>
  <c r="V14" i="11"/>
  <c r="AH14" i="11" s="1"/>
  <c r="AA15" i="10"/>
  <c r="AN14" i="10"/>
  <c r="V15" i="10"/>
  <c r="AU32" i="10"/>
  <c r="AV32" i="10" s="1"/>
  <c r="AM71" i="26" l="1"/>
  <c r="AO71" i="26" s="1"/>
  <c r="X72" i="25"/>
  <c r="AB72" i="25" s="1"/>
  <c r="W72" i="26"/>
  <c r="AI72" i="26" s="1"/>
  <c r="AM71" i="25"/>
  <c r="AO71" i="25" s="1"/>
  <c r="AG72" i="25"/>
  <c r="AC72" i="25"/>
  <c r="AE72" i="25"/>
  <c r="U73" i="25"/>
  <c r="X72" i="24"/>
  <c r="U73" i="24" s="1"/>
  <c r="U73" i="23"/>
  <c r="AE72" i="23"/>
  <c r="AL72" i="23" s="1"/>
  <c r="AC72" i="23"/>
  <c r="AG72" i="23"/>
  <c r="AB72" i="23"/>
  <c r="W15" i="20"/>
  <c r="X15" i="20" s="1"/>
  <c r="AV33" i="20"/>
  <c r="AU34" i="20" s="1"/>
  <c r="AV33" i="19"/>
  <c r="AU34" i="19" s="1"/>
  <c r="V16" i="19"/>
  <c r="AH16" i="19" s="1"/>
  <c r="AA16" i="19"/>
  <c r="AN15" i="19"/>
  <c r="AV35" i="18"/>
  <c r="AU36" i="18" s="1"/>
  <c r="V16" i="18"/>
  <c r="AH16" i="18" s="1"/>
  <c r="AA16" i="18"/>
  <c r="AN15" i="18"/>
  <c r="AV31" i="16"/>
  <c r="AU32" i="16" s="1"/>
  <c r="AA14" i="16"/>
  <c r="AN13" i="16"/>
  <c r="V14" i="16"/>
  <c r="AH14" i="16" s="1"/>
  <c r="AV28" i="11"/>
  <c r="AU29" i="11" s="1"/>
  <c r="W14" i="11"/>
  <c r="X14" i="11" s="1"/>
  <c r="W15" i="10"/>
  <c r="X15" i="10" s="1"/>
  <c r="AH15" i="10"/>
  <c r="AU33" i="10"/>
  <c r="AV33" i="10" s="1"/>
  <c r="X72" i="26" l="1"/>
  <c r="AC72" i="26" s="1"/>
  <c r="AL72" i="25"/>
  <c r="AJ72" i="25"/>
  <c r="Z73" i="25"/>
  <c r="AK72" i="25"/>
  <c r="AA73" i="25"/>
  <c r="AN72" i="25"/>
  <c r="V73" i="25"/>
  <c r="AH73" i="25" s="1"/>
  <c r="AB72" i="24"/>
  <c r="Z73" i="24" s="1"/>
  <c r="AC72" i="24"/>
  <c r="AE72" i="24"/>
  <c r="AG72" i="24"/>
  <c r="AA73" i="24"/>
  <c r="AN72" i="24"/>
  <c r="V73" i="24"/>
  <c r="AH73" i="24" s="1"/>
  <c r="V73" i="23"/>
  <c r="AH73" i="23" s="1"/>
  <c r="Z73" i="23"/>
  <c r="AK72" i="23"/>
  <c r="AA73" i="23"/>
  <c r="AN72" i="23"/>
  <c r="AJ72" i="23"/>
  <c r="AG15" i="20"/>
  <c r="AE15" i="20"/>
  <c r="AC15" i="20"/>
  <c r="AA16" i="20" s="1"/>
  <c r="U16" i="20"/>
  <c r="V16" i="20" s="1"/>
  <c r="AH16" i="20" s="1"/>
  <c r="AV34" i="20"/>
  <c r="AU35" i="20" s="1"/>
  <c r="AV34" i="19"/>
  <c r="AU35" i="19" s="1"/>
  <c r="W16" i="19"/>
  <c r="X16" i="19" s="1"/>
  <c r="AV36" i="18"/>
  <c r="AU37" i="18" s="1"/>
  <c r="W16" i="18"/>
  <c r="X16" i="18" s="1"/>
  <c r="W14" i="16"/>
  <c r="X14" i="16" s="1"/>
  <c r="AV32" i="16"/>
  <c r="AU33" i="16" s="1"/>
  <c r="AV29" i="11"/>
  <c r="AU30" i="11" s="1"/>
  <c r="AG14" i="11"/>
  <c r="U15" i="11"/>
  <c r="AE14" i="11"/>
  <c r="AC14" i="11"/>
  <c r="AF15" i="10"/>
  <c r="AG15" i="10"/>
  <c r="AE15" i="10"/>
  <c r="AC15" i="10"/>
  <c r="AU34" i="10"/>
  <c r="AV34" i="10" s="1"/>
  <c r="AK72" i="24" l="1"/>
  <c r="AJ72" i="24"/>
  <c r="AL72" i="24"/>
  <c r="AM72" i="24" s="1"/>
  <c r="AO72" i="24" s="1"/>
  <c r="AB72" i="26"/>
  <c r="Z73" i="26" s="1"/>
  <c r="AG72" i="26"/>
  <c r="AE72" i="26"/>
  <c r="AJ72" i="26" s="1"/>
  <c r="U73" i="26"/>
  <c r="V73" i="26" s="1"/>
  <c r="AH73" i="26" s="1"/>
  <c r="AA73" i="26"/>
  <c r="AN72" i="26"/>
  <c r="AM72" i="25"/>
  <c r="AO72" i="25" s="1"/>
  <c r="W73" i="25"/>
  <c r="X73" i="25" s="1"/>
  <c r="W73" i="24"/>
  <c r="AI73" i="24" s="1"/>
  <c r="W73" i="23"/>
  <c r="X73" i="23" s="1"/>
  <c r="AM72" i="23"/>
  <c r="AO72" i="23" s="1"/>
  <c r="AN15" i="20"/>
  <c r="AV35" i="20"/>
  <c r="AU36" i="20" s="1"/>
  <c r="W16" i="20"/>
  <c r="X16" i="20" s="1"/>
  <c r="AV35" i="19"/>
  <c r="AU36" i="19" s="1"/>
  <c r="U17" i="19"/>
  <c r="AG16" i="19"/>
  <c r="AE16" i="19"/>
  <c r="AC16" i="19"/>
  <c r="AE16" i="18"/>
  <c r="U17" i="18"/>
  <c r="AC16" i="18"/>
  <c r="AG16" i="18"/>
  <c r="AV37" i="18"/>
  <c r="AU38" i="18" s="1"/>
  <c r="AE14" i="16"/>
  <c r="U15" i="16"/>
  <c r="AG14" i="16"/>
  <c r="AC14" i="16"/>
  <c r="AV33" i="16"/>
  <c r="AU34" i="16" s="1"/>
  <c r="AV30" i="11"/>
  <c r="AU31" i="11" s="1"/>
  <c r="AA15" i="11"/>
  <c r="AN14" i="11"/>
  <c r="V15" i="11"/>
  <c r="AH15" i="11" s="1"/>
  <c r="AA16" i="10"/>
  <c r="AN15" i="10"/>
  <c r="U16" i="10"/>
  <c r="AU35" i="10"/>
  <c r="AV35" i="10" s="1"/>
  <c r="AL72" i="26" l="1"/>
  <c r="AK72" i="26"/>
  <c r="X73" i="24"/>
  <c r="AG73" i="24" s="1"/>
  <c r="W73" i="26"/>
  <c r="AI73" i="25"/>
  <c r="AG73" i="25"/>
  <c r="U74" i="25"/>
  <c r="AC73" i="25"/>
  <c r="AE73" i="25"/>
  <c r="AL73" i="25" s="1"/>
  <c r="AB73" i="25"/>
  <c r="AI73" i="23"/>
  <c r="AC73" i="23"/>
  <c r="AG73" i="23"/>
  <c r="AE73" i="23"/>
  <c r="AL73" i="23" s="1"/>
  <c r="U74" i="23"/>
  <c r="AB73" i="23"/>
  <c r="AV36" i="20"/>
  <c r="AU37" i="20" s="1"/>
  <c r="AG16" i="20"/>
  <c r="AE16" i="20"/>
  <c r="U17" i="20"/>
  <c r="AC16" i="20"/>
  <c r="AV36" i="19"/>
  <c r="AU37" i="19" s="1"/>
  <c r="AA17" i="19"/>
  <c r="AN16" i="19"/>
  <c r="V17" i="19"/>
  <c r="AH17" i="19" s="1"/>
  <c r="AV38" i="18"/>
  <c r="AU39" i="18" s="1"/>
  <c r="AA17" i="18"/>
  <c r="AN16" i="18"/>
  <c r="V17" i="18"/>
  <c r="AH17" i="18" s="1"/>
  <c r="AV34" i="16"/>
  <c r="AU35" i="16" s="1"/>
  <c r="AA15" i="16"/>
  <c r="AN14" i="16"/>
  <c r="V15" i="16"/>
  <c r="AH15" i="16" s="1"/>
  <c r="AV31" i="11"/>
  <c r="AU32" i="11" s="1"/>
  <c r="W15" i="11"/>
  <c r="X15" i="11" s="1"/>
  <c r="V16" i="10"/>
  <c r="AH16" i="10" s="1"/>
  <c r="AU36" i="10"/>
  <c r="AV36" i="10" s="1"/>
  <c r="AM72" i="26" l="1"/>
  <c r="AO72" i="26" s="1"/>
  <c r="AB73" i="24"/>
  <c r="Z74" i="24" s="1"/>
  <c r="AC73" i="24"/>
  <c r="AN73" i="24" s="1"/>
  <c r="AE73" i="24"/>
  <c r="AJ73" i="24" s="1"/>
  <c r="U74" i="24"/>
  <c r="V74" i="24" s="1"/>
  <c r="AH74" i="24" s="1"/>
  <c r="X73" i="26"/>
  <c r="AI73" i="26"/>
  <c r="AA74" i="25"/>
  <c r="AN73" i="25"/>
  <c r="V74" i="25"/>
  <c r="AH74" i="25" s="1"/>
  <c r="Z74" i="25"/>
  <c r="AK73" i="25"/>
  <c r="AJ73" i="25"/>
  <c r="AL73" i="24"/>
  <c r="AJ73" i="23"/>
  <c r="V74" i="23"/>
  <c r="AH74" i="23" s="1"/>
  <c r="Z74" i="23"/>
  <c r="AK73" i="23"/>
  <c r="AA74" i="23"/>
  <c r="AN73" i="23"/>
  <c r="AV37" i="20"/>
  <c r="AU38" i="20" s="1"/>
  <c r="AA17" i="20"/>
  <c r="AN16" i="20"/>
  <c r="V17" i="20"/>
  <c r="AH17" i="20" s="1"/>
  <c r="AV37" i="19"/>
  <c r="AU38" i="19" s="1"/>
  <c r="W17" i="19"/>
  <c r="X17" i="19" s="1"/>
  <c r="W17" i="18"/>
  <c r="X17" i="18" s="1"/>
  <c r="AV39" i="18"/>
  <c r="AU40" i="18" s="1"/>
  <c r="AV35" i="16"/>
  <c r="AU36" i="16" s="1"/>
  <c r="W15" i="16"/>
  <c r="X15" i="16" s="1"/>
  <c r="AV32" i="11"/>
  <c r="AU33" i="11" s="1"/>
  <c r="AE15" i="11"/>
  <c r="U16" i="11"/>
  <c r="AG15" i="11"/>
  <c r="AC15" i="11"/>
  <c r="W16" i="10"/>
  <c r="AU37" i="10"/>
  <c r="AV37" i="10" s="1"/>
  <c r="AK73" i="24" l="1"/>
  <c r="AA74" i="24"/>
  <c r="AG73" i="26"/>
  <c r="U74" i="26"/>
  <c r="AC73" i="26"/>
  <c r="AE73" i="26"/>
  <c r="AL73" i="26" s="1"/>
  <c r="AB73" i="26"/>
  <c r="W74" i="25"/>
  <c r="AM73" i="25"/>
  <c r="W74" i="24"/>
  <c r="AI74" i="24" s="1"/>
  <c r="AM73" i="24"/>
  <c r="AO73" i="24" s="1"/>
  <c r="AM73" i="23"/>
  <c r="AO73" i="23" s="1"/>
  <c r="W74" i="23"/>
  <c r="X74" i="23" s="1"/>
  <c r="AV38" i="20"/>
  <c r="AU39" i="20" s="1"/>
  <c r="W17" i="20"/>
  <c r="X17" i="20" s="1"/>
  <c r="AG17" i="19"/>
  <c r="U18" i="19"/>
  <c r="AE17" i="19"/>
  <c r="AC17" i="19"/>
  <c r="AV38" i="19"/>
  <c r="AU39" i="19" s="1"/>
  <c r="AV40" i="18"/>
  <c r="AU41" i="18" s="1"/>
  <c r="AG17" i="18"/>
  <c r="AE17" i="18"/>
  <c r="U18" i="18"/>
  <c r="AC17" i="18"/>
  <c r="U16" i="16"/>
  <c r="AE15" i="16"/>
  <c r="AC15" i="16"/>
  <c r="AG15" i="16"/>
  <c r="AV36" i="16"/>
  <c r="AU37" i="16" s="1"/>
  <c r="AV33" i="11"/>
  <c r="AU34" i="11" s="1"/>
  <c r="V16" i="11"/>
  <c r="AH16" i="11" s="1"/>
  <c r="AA16" i="11"/>
  <c r="AN15" i="11"/>
  <c r="X16" i="10"/>
  <c r="AU38" i="10"/>
  <c r="AV38" i="10" s="1"/>
  <c r="V74" i="26" l="1"/>
  <c r="AH74" i="26" s="1"/>
  <c r="Z74" i="26"/>
  <c r="AK73" i="26"/>
  <c r="AA74" i="26"/>
  <c r="AN73" i="26"/>
  <c r="AJ73" i="26"/>
  <c r="X74" i="25"/>
  <c r="AI74" i="25"/>
  <c r="AO73" i="25"/>
  <c r="X74" i="24"/>
  <c r="AG74" i="24" s="1"/>
  <c r="AI74" i="23"/>
  <c r="AC74" i="23"/>
  <c r="U75" i="23"/>
  <c r="AG74" i="23"/>
  <c r="AE74" i="23"/>
  <c r="AL74" i="23" s="1"/>
  <c r="AB74" i="23"/>
  <c r="AG17" i="20"/>
  <c r="AE17" i="20"/>
  <c r="U18" i="20"/>
  <c r="AC17" i="20"/>
  <c r="AV39" i="20"/>
  <c r="AU40" i="20" s="1"/>
  <c r="AV39" i="19"/>
  <c r="AU40" i="19" s="1"/>
  <c r="AA18" i="19"/>
  <c r="AN17" i="19"/>
  <c r="V18" i="19"/>
  <c r="AH18" i="19" s="1"/>
  <c r="AV41" i="18"/>
  <c r="AU42" i="18" s="1"/>
  <c r="AA18" i="18"/>
  <c r="AN17" i="18"/>
  <c r="V18" i="18"/>
  <c r="AH18" i="18" s="1"/>
  <c r="AV37" i="16"/>
  <c r="AU38" i="16" s="1"/>
  <c r="AA16" i="16"/>
  <c r="AN15" i="16"/>
  <c r="V16" i="16"/>
  <c r="AH16" i="16" s="1"/>
  <c r="AV34" i="11"/>
  <c r="AU35" i="11" s="1"/>
  <c r="W16" i="11"/>
  <c r="X16" i="11" s="1"/>
  <c r="AF16" i="10"/>
  <c r="AE16" i="10"/>
  <c r="AG16" i="10"/>
  <c r="AC16" i="10"/>
  <c r="U17" i="10"/>
  <c r="AU39" i="10"/>
  <c r="AV39" i="10" s="1"/>
  <c r="W74" i="26" l="1"/>
  <c r="X74" i="26" s="1"/>
  <c r="AM73" i="26"/>
  <c r="AO73" i="26" s="1"/>
  <c r="AG74" i="25"/>
  <c r="U75" i="25"/>
  <c r="AE74" i="25"/>
  <c r="AL74" i="25" s="1"/>
  <c r="AC74" i="25"/>
  <c r="AB74" i="25"/>
  <c r="AB74" i="24"/>
  <c r="AK74" i="24" s="1"/>
  <c r="U75" i="24"/>
  <c r="AC74" i="24"/>
  <c r="AN74" i="24" s="1"/>
  <c r="AE74" i="24"/>
  <c r="AJ74" i="24" s="1"/>
  <c r="V75" i="24"/>
  <c r="AH75" i="24" s="1"/>
  <c r="AA75" i="24"/>
  <c r="V75" i="23"/>
  <c r="AH75" i="23" s="1"/>
  <c r="AA75" i="23"/>
  <c r="AN74" i="23"/>
  <c r="Z75" i="23"/>
  <c r="AK74" i="23"/>
  <c r="AJ74" i="23"/>
  <c r="AV40" i="20"/>
  <c r="AU41" i="20" s="1"/>
  <c r="AA18" i="20"/>
  <c r="AN17" i="20"/>
  <c r="V18" i="20"/>
  <c r="AH18" i="20" s="1"/>
  <c r="W18" i="19"/>
  <c r="X18" i="19" s="1"/>
  <c r="AV40" i="19"/>
  <c r="AU41" i="19" s="1"/>
  <c r="AV42" i="18"/>
  <c r="AU43" i="18" s="1"/>
  <c r="W18" i="18"/>
  <c r="X18" i="18" s="1"/>
  <c r="AV38" i="16"/>
  <c r="AU39" i="16" s="1"/>
  <c r="W16" i="16"/>
  <c r="X16" i="16" s="1"/>
  <c r="AV35" i="11"/>
  <c r="AU36" i="11" s="1"/>
  <c r="AG16" i="11"/>
  <c r="U17" i="11"/>
  <c r="AC16" i="11"/>
  <c r="AE16" i="11"/>
  <c r="AA17" i="10"/>
  <c r="AN16" i="10"/>
  <c r="V17" i="10"/>
  <c r="AH17" i="10" s="1"/>
  <c r="AU40" i="10"/>
  <c r="AV40" i="10" s="1"/>
  <c r="Z75" i="24" l="1"/>
  <c r="AI74" i="26"/>
  <c r="U75" i="26"/>
  <c r="AG74" i="26"/>
  <c r="AC74" i="26"/>
  <c r="AE74" i="26"/>
  <c r="AL74" i="26" s="1"/>
  <c r="AB74" i="26"/>
  <c r="V75" i="25"/>
  <c r="AH75" i="25" s="1"/>
  <c r="AJ74" i="25"/>
  <c r="AA75" i="25"/>
  <c r="AN74" i="25"/>
  <c r="Z75" i="25"/>
  <c r="AK74" i="25"/>
  <c r="AL74" i="24"/>
  <c r="AM74" i="24" s="1"/>
  <c r="AO74" i="24" s="1"/>
  <c r="W75" i="24"/>
  <c r="AI75" i="24" s="1"/>
  <c r="W75" i="23"/>
  <c r="X75" i="23" s="1"/>
  <c r="AM74" i="23"/>
  <c r="AO74" i="23" s="1"/>
  <c r="AV41" i="20"/>
  <c r="AU42" i="20" s="1"/>
  <c r="W18" i="20"/>
  <c r="X18" i="20" s="1"/>
  <c r="AV41" i="19"/>
  <c r="AU42" i="19" s="1"/>
  <c r="AG18" i="19"/>
  <c r="AE18" i="19"/>
  <c r="U19" i="19"/>
  <c r="AC18" i="19"/>
  <c r="AE18" i="18"/>
  <c r="AG18" i="18"/>
  <c r="U19" i="18"/>
  <c r="AC18" i="18"/>
  <c r="AV43" i="18"/>
  <c r="AU44" i="18" s="1"/>
  <c r="AV39" i="16"/>
  <c r="AU40" i="16" s="1"/>
  <c r="U17" i="16"/>
  <c r="AE16" i="16"/>
  <c r="AC16" i="16"/>
  <c r="AG16" i="16"/>
  <c r="AV36" i="11"/>
  <c r="AU37" i="11" s="1"/>
  <c r="AA17" i="11"/>
  <c r="AN16" i="11"/>
  <c r="V17" i="11"/>
  <c r="AH17" i="11" s="1"/>
  <c r="W17" i="10"/>
  <c r="X17" i="10" s="1"/>
  <c r="AU41" i="10"/>
  <c r="AV41" i="10" s="1"/>
  <c r="AM74" i="25" l="1"/>
  <c r="W75" i="25"/>
  <c r="X75" i="25" s="1"/>
  <c r="AJ74" i="26"/>
  <c r="AA75" i="26"/>
  <c r="AN74" i="26"/>
  <c r="Z75" i="26"/>
  <c r="AK74" i="26"/>
  <c r="V75" i="26"/>
  <c r="AH75" i="26" s="1"/>
  <c r="AO74" i="25"/>
  <c r="X75" i="24"/>
  <c r="AG75" i="24" s="1"/>
  <c r="AI75" i="23"/>
  <c r="AE75" i="23"/>
  <c r="AL75" i="23" s="1"/>
  <c r="AC75" i="23"/>
  <c r="AG75" i="23"/>
  <c r="U76" i="23"/>
  <c r="AB75" i="23"/>
  <c r="AE18" i="20"/>
  <c r="U19" i="20"/>
  <c r="AG18" i="20"/>
  <c r="AC18" i="20"/>
  <c r="AV42" i="20"/>
  <c r="AU43" i="20" s="1"/>
  <c r="AV42" i="19"/>
  <c r="AU43" i="19" s="1"/>
  <c r="AA19" i="19"/>
  <c r="AN18" i="19"/>
  <c r="V19" i="19"/>
  <c r="AH19" i="19" s="1"/>
  <c r="AV44" i="18"/>
  <c r="AU45" i="18" s="1"/>
  <c r="V19" i="18"/>
  <c r="AH19" i="18" s="1"/>
  <c r="AA19" i="18"/>
  <c r="AN18" i="18"/>
  <c r="AV40" i="16"/>
  <c r="AU41" i="16" s="1"/>
  <c r="AA17" i="16"/>
  <c r="AN16" i="16"/>
  <c r="V17" i="16"/>
  <c r="AH17" i="16" s="1"/>
  <c r="W17" i="11"/>
  <c r="X17" i="11" s="1"/>
  <c r="AE17" i="11" s="1"/>
  <c r="AV37" i="11"/>
  <c r="AU38" i="11" s="1"/>
  <c r="AG17" i="10"/>
  <c r="AF17" i="10"/>
  <c r="AE17" i="10"/>
  <c r="AC17" i="10"/>
  <c r="U18" i="10"/>
  <c r="AU42" i="10"/>
  <c r="AV42" i="10" s="1"/>
  <c r="AI75" i="25" l="1"/>
  <c r="AB75" i="24"/>
  <c r="AK75" i="24" s="1"/>
  <c r="AC75" i="24"/>
  <c r="U76" i="24"/>
  <c r="V76" i="24" s="1"/>
  <c r="AH76" i="24" s="1"/>
  <c r="AE75" i="24"/>
  <c r="AL75" i="24" s="1"/>
  <c r="AM74" i="26"/>
  <c r="AO74" i="26" s="1"/>
  <c r="W75" i="26"/>
  <c r="AI75" i="26" s="1"/>
  <c r="AG75" i="25"/>
  <c r="AE75" i="25"/>
  <c r="AL75" i="25" s="1"/>
  <c r="AC75" i="25"/>
  <c r="U76" i="25"/>
  <c r="AB75" i="25"/>
  <c r="AA76" i="24"/>
  <c r="AN75" i="24"/>
  <c r="Z76" i="24"/>
  <c r="Z76" i="23"/>
  <c r="AK75" i="23"/>
  <c r="V76" i="23"/>
  <c r="AH76" i="23" s="1"/>
  <c r="AA76" i="23"/>
  <c r="AN75" i="23"/>
  <c r="AJ75" i="23"/>
  <c r="AV43" i="20"/>
  <c r="AU44" i="20" s="1"/>
  <c r="V19" i="20"/>
  <c r="AH19" i="20" s="1"/>
  <c r="AA19" i="20"/>
  <c r="AN18" i="20"/>
  <c r="W19" i="19"/>
  <c r="X19" i="19" s="1"/>
  <c r="AE19" i="19" s="1"/>
  <c r="AV43" i="19"/>
  <c r="AU44" i="19" s="1"/>
  <c r="AV45" i="18"/>
  <c r="AU46" i="18" s="1"/>
  <c r="W19" i="18"/>
  <c r="X19" i="18" s="1"/>
  <c r="AV41" i="16"/>
  <c r="AU42" i="16" s="1"/>
  <c r="W17" i="16"/>
  <c r="X17" i="16" s="1"/>
  <c r="AC17" i="11"/>
  <c r="U18" i="11"/>
  <c r="V18" i="11" s="1"/>
  <c r="AH18" i="11" s="1"/>
  <c r="AG17" i="11"/>
  <c r="AV38" i="11"/>
  <c r="AU39" i="11" s="1"/>
  <c r="AA18" i="10"/>
  <c r="AN17" i="10"/>
  <c r="V18" i="10"/>
  <c r="AH18" i="10" s="1"/>
  <c r="AU43" i="10"/>
  <c r="AV43" i="10" s="1"/>
  <c r="AJ75" i="24" l="1"/>
  <c r="AM75" i="24" s="1"/>
  <c r="AO75" i="24" s="1"/>
  <c r="X75" i="26"/>
  <c r="AE75" i="26" s="1"/>
  <c r="AL75" i="26" s="1"/>
  <c r="V76" i="25"/>
  <c r="AH76" i="25" s="1"/>
  <c r="AJ75" i="25"/>
  <c r="AA76" i="25"/>
  <c r="AN75" i="25"/>
  <c r="Z76" i="25"/>
  <c r="AK75" i="25"/>
  <c r="W76" i="24"/>
  <c r="AI76" i="24" s="1"/>
  <c r="AM75" i="23"/>
  <c r="AO75" i="23" s="1"/>
  <c r="W76" i="23"/>
  <c r="AI76" i="23" s="1"/>
  <c r="AV44" i="20"/>
  <c r="AU45" i="20" s="1"/>
  <c r="W19" i="20"/>
  <c r="X19" i="20" s="1"/>
  <c r="U20" i="19"/>
  <c r="V20" i="19" s="1"/>
  <c r="AH20" i="19" s="1"/>
  <c r="AC19" i="19"/>
  <c r="AG19" i="19"/>
  <c r="AV44" i="19"/>
  <c r="AU45" i="19" s="1"/>
  <c r="U20" i="18"/>
  <c r="AG19" i="18"/>
  <c r="AC19" i="18"/>
  <c r="AE19" i="18"/>
  <c r="AV46" i="18"/>
  <c r="AU47" i="18" s="1"/>
  <c r="AV42" i="16"/>
  <c r="AU43" i="16" s="1"/>
  <c r="AE17" i="16"/>
  <c r="AG17" i="16"/>
  <c r="U18" i="16"/>
  <c r="AC17" i="16"/>
  <c r="AA18" i="11"/>
  <c r="AN17" i="11"/>
  <c r="AV39" i="11"/>
  <c r="AU40" i="11" s="1"/>
  <c r="W18" i="11"/>
  <c r="X18" i="11" s="1"/>
  <c r="W18" i="10"/>
  <c r="X18" i="10" s="1"/>
  <c r="AU44" i="10"/>
  <c r="AV44" i="10" s="1"/>
  <c r="AC75" i="26" l="1"/>
  <c r="AA76" i="26" s="1"/>
  <c r="AG75" i="26"/>
  <c r="AJ75" i="26" s="1"/>
  <c r="AB75" i="26"/>
  <c r="Z76" i="26" s="1"/>
  <c r="U76" i="26"/>
  <c r="V76" i="26" s="1"/>
  <c r="AH76" i="26" s="1"/>
  <c r="AM75" i="25"/>
  <c r="AO75" i="25" s="1"/>
  <c r="AK75" i="26"/>
  <c r="AN75" i="26"/>
  <c r="W76" i="25"/>
  <c r="AI76" i="25" s="1"/>
  <c r="X76" i="24"/>
  <c r="AG76" i="24" s="1"/>
  <c r="X76" i="23"/>
  <c r="U77" i="23" s="1"/>
  <c r="AV45" i="20"/>
  <c r="AU46" i="20" s="1"/>
  <c r="U20" i="20"/>
  <c r="AC19" i="20"/>
  <c r="AE19" i="20"/>
  <c r="AG19" i="20"/>
  <c r="AA20" i="19"/>
  <c r="AN19" i="19"/>
  <c r="AV45" i="19"/>
  <c r="AU46" i="19" s="1"/>
  <c r="W20" i="19"/>
  <c r="X20" i="19" s="1"/>
  <c r="AV47" i="18"/>
  <c r="AU48" i="18" s="1"/>
  <c r="AA20" i="18"/>
  <c r="AN19" i="18"/>
  <c r="V20" i="18"/>
  <c r="AH20" i="18" s="1"/>
  <c r="AV43" i="16"/>
  <c r="AU44" i="16" s="1"/>
  <c r="AA18" i="16"/>
  <c r="AN17" i="16"/>
  <c r="V18" i="16"/>
  <c r="AH18" i="16" s="1"/>
  <c r="AV40" i="11"/>
  <c r="AU41" i="11" s="1"/>
  <c r="AG18" i="11"/>
  <c r="U19" i="11"/>
  <c r="AE18" i="11"/>
  <c r="AC18" i="11"/>
  <c r="AG18" i="10"/>
  <c r="AF18" i="10"/>
  <c r="AE18" i="10"/>
  <c r="AC18" i="10"/>
  <c r="U19" i="10"/>
  <c r="AU45" i="10"/>
  <c r="AV45" i="10" s="1"/>
  <c r="AM75" i="26" l="1"/>
  <c r="AO75" i="26" s="1"/>
  <c r="W76" i="26"/>
  <c r="AI76" i="26" s="1"/>
  <c r="X76" i="25"/>
  <c r="AB76" i="24"/>
  <c r="Z77" i="24" s="1"/>
  <c r="AC76" i="24"/>
  <c r="AN76" i="24" s="1"/>
  <c r="U77" i="24"/>
  <c r="V77" i="24" s="1"/>
  <c r="AH77" i="24" s="1"/>
  <c r="AE76" i="24"/>
  <c r="AJ76" i="24" s="1"/>
  <c r="AA77" i="24"/>
  <c r="AB76" i="23"/>
  <c r="Z77" i="23" s="1"/>
  <c r="AG76" i="23"/>
  <c r="AC76" i="23"/>
  <c r="AN76" i="23" s="1"/>
  <c r="AE76" i="23"/>
  <c r="AL76" i="23" s="1"/>
  <c r="V77" i="23"/>
  <c r="AH77" i="23" s="1"/>
  <c r="AV46" i="20"/>
  <c r="AU47" i="20" s="1"/>
  <c r="AA20" i="20"/>
  <c r="AN19" i="20"/>
  <c r="V20" i="20"/>
  <c r="AH20" i="20" s="1"/>
  <c r="AV46" i="19"/>
  <c r="AU47" i="19" s="1"/>
  <c r="U21" i="19"/>
  <c r="AG20" i="19"/>
  <c r="AE20" i="19"/>
  <c r="AC20" i="19"/>
  <c r="AV48" i="18"/>
  <c r="AU49" i="18" s="1"/>
  <c r="W20" i="18"/>
  <c r="X20" i="18" s="1"/>
  <c r="AV44" i="16"/>
  <c r="AU45" i="16" s="1"/>
  <c r="W18" i="16"/>
  <c r="X18" i="16" s="1"/>
  <c r="AV41" i="11"/>
  <c r="AU42" i="11" s="1"/>
  <c r="AA19" i="11"/>
  <c r="AN18" i="11"/>
  <c r="V19" i="11"/>
  <c r="AH19" i="11" s="1"/>
  <c r="AA19" i="10"/>
  <c r="AN18" i="10"/>
  <c r="V19" i="10"/>
  <c r="AH19" i="10" s="1"/>
  <c r="AU46" i="10"/>
  <c r="AV46" i="10" s="1"/>
  <c r="X76" i="26" l="1"/>
  <c r="AG76" i="26" s="1"/>
  <c r="AK76" i="24"/>
  <c r="AL76" i="24"/>
  <c r="AG76" i="25"/>
  <c r="AE76" i="25"/>
  <c r="AC76" i="25"/>
  <c r="U77" i="25"/>
  <c r="V77" i="25" s="1"/>
  <c r="AH77" i="25" s="1"/>
  <c r="AB76" i="25"/>
  <c r="AA77" i="23"/>
  <c r="AK76" i="23"/>
  <c r="W77" i="24"/>
  <c r="AI77" i="24" s="1"/>
  <c r="AJ76" i="23"/>
  <c r="W77" i="23"/>
  <c r="X77" i="23" s="1"/>
  <c r="AV47" i="20"/>
  <c r="AU48" i="20" s="1"/>
  <c r="W20" i="20"/>
  <c r="X20" i="20" s="1"/>
  <c r="AV47" i="19"/>
  <c r="AU48" i="19" s="1"/>
  <c r="AA21" i="19"/>
  <c r="AN20" i="19"/>
  <c r="V21" i="19"/>
  <c r="AH21" i="19" s="1"/>
  <c r="AV49" i="18"/>
  <c r="AU50" i="18" s="1"/>
  <c r="AG20" i="18"/>
  <c r="U21" i="18"/>
  <c r="AE20" i="18"/>
  <c r="AC20" i="18"/>
  <c r="AV45" i="16"/>
  <c r="AU46" i="16" s="1"/>
  <c r="U19" i="16"/>
  <c r="AC18" i="16"/>
  <c r="AG18" i="16"/>
  <c r="AE18" i="16"/>
  <c r="AV42" i="11"/>
  <c r="AU43" i="11" s="1"/>
  <c r="W19" i="11"/>
  <c r="X19" i="11" s="1"/>
  <c r="W19" i="10"/>
  <c r="X19" i="10" s="1"/>
  <c r="AU47" i="10"/>
  <c r="AV47" i="10" s="1"/>
  <c r="AB76" i="26" l="1"/>
  <c r="AE76" i="26"/>
  <c r="AJ76" i="26" s="1"/>
  <c r="AC76" i="26"/>
  <c r="AN76" i="26" s="1"/>
  <c r="U77" i="26"/>
  <c r="V77" i="26" s="1"/>
  <c r="AH77" i="26" s="1"/>
  <c r="AA77" i="26"/>
  <c r="W77" i="25"/>
  <c r="X77" i="25" s="1"/>
  <c r="AM76" i="24"/>
  <c r="AO76" i="24" s="1"/>
  <c r="AM76" i="23"/>
  <c r="AO76" i="23" s="1"/>
  <c r="AA77" i="25"/>
  <c r="AN76" i="25"/>
  <c r="Z77" i="25"/>
  <c r="AK76" i="25"/>
  <c r="AL76" i="25"/>
  <c r="AJ76" i="25"/>
  <c r="X77" i="24"/>
  <c r="AG77" i="24" s="1"/>
  <c r="AI77" i="23"/>
  <c r="U78" i="23"/>
  <c r="AG77" i="23"/>
  <c r="AE77" i="23"/>
  <c r="AL77" i="23" s="1"/>
  <c r="AC77" i="23"/>
  <c r="AB77" i="23"/>
  <c r="AV48" i="20"/>
  <c r="AU49" i="20" s="1"/>
  <c r="AC20" i="20"/>
  <c r="AG20" i="20"/>
  <c r="AE20" i="20"/>
  <c r="U21" i="20"/>
  <c r="AV48" i="19"/>
  <c r="AU49" i="19" s="1"/>
  <c r="W21" i="19"/>
  <c r="X21" i="19" s="1"/>
  <c r="AV50" i="18"/>
  <c r="AU51" i="18" s="1"/>
  <c r="AA21" i="18"/>
  <c r="AN20" i="18"/>
  <c r="V21" i="18"/>
  <c r="AH21" i="18" s="1"/>
  <c r="AV46" i="16"/>
  <c r="AU47" i="16" s="1"/>
  <c r="AA19" i="16"/>
  <c r="AN18" i="16"/>
  <c r="V19" i="16"/>
  <c r="AH19" i="16" s="1"/>
  <c r="AE19" i="11"/>
  <c r="U20" i="11"/>
  <c r="AC19" i="11"/>
  <c r="AG19" i="11"/>
  <c r="AV43" i="11"/>
  <c r="AU44" i="11" s="1"/>
  <c r="AG19" i="10"/>
  <c r="AE19" i="10"/>
  <c r="AF19" i="10"/>
  <c r="AC19" i="10"/>
  <c r="U20" i="10"/>
  <c r="AU48" i="10"/>
  <c r="AV48" i="10" s="1"/>
  <c r="AI77" i="25" l="1"/>
  <c r="W77" i="26"/>
  <c r="X77" i="26" s="1"/>
  <c r="AC77" i="26" s="1"/>
  <c r="AL76" i="26"/>
  <c r="AK76" i="26"/>
  <c r="Z77" i="26"/>
  <c r="AI77" i="26"/>
  <c r="AE77" i="26"/>
  <c r="AG77" i="26"/>
  <c r="AM76" i="25"/>
  <c r="AO76" i="25" s="1"/>
  <c r="AC77" i="25"/>
  <c r="U78" i="25"/>
  <c r="AG77" i="25"/>
  <c r="AE77" i="25"/>
  <c r="AB77" i="25"/>
  <c r="AB77" i="24"/>
  <c r="Z78" i="24" s="1"/>
  <c r="AE77" i="24"/>
  <c r="AJ77" i="24" s="1"/>
  <c r="U78" i="24"/>
  <c r="V78" i="24" s="1"/>
  <c r="AH78" i="24" s="1"/>
  <c r="AC77" i="24"/>
  <c r="AN77" i="24" s="1"/>
  <c r="AA78" i="23"/>
  <c r="AN77" i="23"/>
  <c r="Z78" i="23"/>
  <c r="AK77" i="23"/>
  <c r="V78" i="23"/>
  <c r="AH78" i="23" s="1"/>
  <c r="AJ77" i="23"/>
  <c r="AV49" i="20"/>
  <c r="AU50" i="20" s="1"/>
  <c r="V21" i="20"/>
  <c r="AH21" i="20" s="1"/>
  <c r="AA21" i="20"/>
  <c r="AN20" i="20"/>
  <c r="U22" i="19"/>
  <c r="AC21" i="19"/>
  <c r="AG21" i="19"/>
  <c r="AE21" i="19"/>
  <c r="AV49" i="19"/>
  <c r="AU50" i="19" s="1"/>
  <c r="AV51" i="18"/>
  <c r="AU52" i="18" s="1"/>
  <c r="W21" i="18"/>
  <c r="X21" i="18" s="1"/>
  <c r="W19" i="16"/>
  <c r="X19" i="16" s="1"/>
  <c r="AV47" i="16"/>
  <c r="AU48" i="16" s="1"/>
  <c r="AV44" i="11"/>
  <c r="AU45" i="11" s="1"/>
  <c r="AA20" i="11"/>
  <c r="AN19" i="11"/>
  <c r="V20" i="11"/>
  <c r="AH20" i="11" s="1"/>
  <c r="AA20" i="10"/>
  <c r="AN19" i="10"/>
  <c r="V20" i="10"/>
  <c r="AH20" i="10" s="1"/>
  <c r="AU49" i="10"/>
  <c r="AV49" i="10" s="1"/>
  <c r="AB77" i="26" l="1"/>
  <c r="U78" i="26"/>
  <c r="AL77" i="26"/>
  <c r="AM76" i="26"/>
  <c r="AO76" i="26" s="1"/>
  <c r="AA78" i="24"/>
  <c r="AK77" i="24"/>
  <c r="AA78" i="26"/>
  <c r="AN77" i="26"/>
  <c r="Z78" i="26"/>
  <c r="AK77" i="26"/>
  <c r="V78" i="26"/>
  <c r="AH78" i="26" s="1"/>
  <c r="AJ77" i="26"/>
  <c r="Z78" i="25"/>
  <c r="AK77" i="25"/>
  <c r="V78" i="25"/>
  <c r="AL77" i="25"/>
  <c r="AJ77" i="25"/>
  <c r="AN77" i="25"/>
  <c r="AA78" i="25"/>
  <c r="AL77" i="24"/>
  <c r="W78" i="24"/>
  <c r="AI78" i="24" s="1"/>
  <c r="AM77" i="23"/>
  <c r="AO77" i="23" s="1"/>
  <c r="W78" i="23"/>
  <c r="AI78" i="23" s="1"/>
  <c r="W21" i="20"/>
  <c r="X21" i="20" s="1"/>
  <c r="AV50" i="20"/>
  <c r="AU51" i="20" s="1"/>
  <c r="AV50" i="19"/>
  <c r="AU51" i="19" s="1"/>
  <c r="AA22" i="19"/>
  <c r="AN21" i="19"/>
  <c r="V22" i="19"/>
  <c r="AH22" i="19" s="1"/>
  <c r="U22" i="18"/>
  <c r="AE21" i="18"/>
  <c r="AG21" i="18"/>
  <c r="AC21" i="18"/>
  <c r="AV52" i="18"/>
  <c r="AU53" i="18" s="1"/>
  <c r="AV48" i="16"/>
  <c r="AU49" i="16" s="1"/>
  <c r="AC19" i="16"/>
  <c r="AE19" i="16"/>
  <c r="AG19" i="16"/>
  <c r="U20" i="16"/>
  <c r="W20" i="10"/>
  <c r="X20" i="10" s="1"/>
  <c r="AV45" i="11"/>
  <c r="AU46" i="11" s="1"/>
  <c r="W20" i="11"/>
  <c r="X20" i="11" s="1"/>
  <c r="AU50" i="10"/>
  <c r="AV50" i="10" s="1"/>
  <c r="AM77" i="24" l="1"/>
  <c r="AO77" i="24" s="1"/>
  <c r="W78" i="26"/>
  <c r="X78" i="26" s="1"/>
  <c r="AM77" i="26"/>
  <c r="AO77" i="26" s="1"/>
  <c r="AM77" i="25"/>
  <c r="AO77" i="25" s="1"/>
  <c r="AH78" i="25"/>
  <c r="W78" i="25"/>
  <c r="AI78" i="25" s="1"/>
  <c r="X78" i="24"/>
  <c r="AE78" i="24" s="1"/>
  <c r="X78" i="23"/>
  <c r="AE78" i="23" s="1"/>
  <c r="AV51" i="20"/>
  <c r="AU52" i="20" s="1"/>
  <c r="AE21" i="20"/>
  <c r="AG21" i="20"/>
  <c r="AC21" i="20"/>
  <c r="U22" i="20"/>
  <c r="AV51" i="19"/>
  <c r="AU52" i="19" s="1"/>
  <c r="W22" i="19"/>
  <c r="X22" i="19" s="1"/>
  <c r="AV53" i="18"/>
  <c r="AU54" i="18" s="1"/>
  <c r="AA22" i="18"/>
  <c r="AN21" i="18"/>
  <c r="V22" i="18"/>
  <c r="AH22" i="18" s="1"/>
  <c r="AV49" i="16"/>
  <c r="AU50" i="16" s="1"/>
  <c r="V20" i="16"/>
  <c r="AH20" i="16" s="1"/>
  <c r="AA20" i="16"/>
  <c r="AN19" i="16"/>
  <c r="AV46" i="11"/>
  <c r="AU47" i="11" s="1"/>
  <c r="U21" i="11"/>
  <c r="AG20" i="11"/>
  <c r="AE20" i="11"/>
  <c r="AC20" i="11"/>
  <c r="AF20" i="10"/>
  <c r="AG20" i="10"/>
  <c r="AE20" i="10"/>
  <c r="AC20" i="10"/>
  <c r="U21" i="10"/>
  <c r="AU51" i="10"/>
  <c r="AV51" i="10" s="1"/>
  <c r="AB78" i="24" l="1"/>
  <c r="Z79" i="24" s="1"/>
  <c r="AI78" i="26"/>
  <c r="AC78" i="26"/>
  <c r="AG78" i="26"/>
  <c r="U79" i="26"/>
  <c r="AE78" i="26"/>
  <c r="AL78" i="26" s="1"/>
  <c r="AB78" i="26"/>
  <c r="X78" i="25"/>
  <c r="AG78" i="24"/>
  <c r="AJ78" i="24" s="1"/>
  <c r="AC78" i="24"/>
  <c r="AA79" i="24" s="1"/>
  <c r="U79" i="24"/>
  <c r="V79" i="24" s="1"/>
  <c r="AH79" i="24" s="1"/>
  <c r="AK78" i="24"/>
  <c r="AL78" i="24"/>
  <c r="AB78" i="23"/>
  <c r="AK78" i="23" s="1"/>
  <c r="AG78" i="23"/>
  <c r="AJ78" i="23" s="1"/>
  <c r="AC78" i="23"/>
  <c r="AN78" i="23" s="1"/>
  <c r="U79" i="23"/>
  <c r="V79" i="23" s="1"/>
  <c r="AH79" i="23" s="1"/>
  <c r="AL78" i="23"/>
  <c r="AV52" i="20"/>
  <c r="AU53" i="20" s="1"/>
  <c r="V22" i="20"/>
  <c r="AH22" i="20" s="1"/>
  <c r="AA22" i="20"/>
  <c r="AN21" i="20"/>
  <c r="AC22" i="19"/>
  <c r="AE22" i="19"/>
  <c r="AG22" i="19"/>
  <c r="U23" i="19"/>
  <c r="AV52" i="19"/>
  <c r="AU53" i="19" s="1"/>
  <c r="AV54" i="18"/>
  <c r="AU55" i="18" s="1"/>
  <c r="W22" i="18"/>
  <c r="X22" i="18" s="1"/>
  <c r="AV50" i="16"/>
  <c r="AU51" i="16" s="1"/>
  <c r="W20" i="16"/>
  <c r="X20" i="16" s="1"/>
  <c r="AA21" i="11"/>
  <c r="AN20" i="11"/>
  <c r="V21" i="11"/>
  <c r="AH21" i="11" s="1"/>
  <c r="AV47" i="11"/>
  <c r="AU48" i="11" s="1"/>
  <c r="AA21" i="10"/>
  <c r="AN20" i="10"/>
  <c r="V21" i="10"/>
  <c r="AH21" i="10" s="1"/>
  <c r="AU52" i="10"/>
  <c r="AV52" i="10" s="1"/>
  <c r="Z79" i="23" l="1"/>
  <c r="AN78" i="24"/>
  <c r="AJ78" i="26"/>
  <c r="V79" i="26"/>
  <c r="AH79" i="26" s="1"/>
  <c r="Z79" i="26"/>
  <c r="AK78" i="26"/>
  <c r="AA79" i="26"/>
  <c r="AN78" i="26"/>
  <c r="AG78" i="25"/>
  <c r="U79" i="25"/>
  <c r="AC78" i="25"/>
  <c r="AE78" i="25"/>
  <c r="AB78" i="25"/>
  <c r="AA79" i="23"/>
  <c r="W79" i="24"/>
  <c r="AI79" i="24" s="1"/>
  <c r="AM78" i="24"/>
  <c r="AO78" i="24" s="1"/>
  <c r="W79" i="23"/>
  <c r="X79" i="23" s="1"/>
  <c r="AM78" i="23"/>
  <c r="AO78" i="23" s="1"/>
  <c r="AV53" i="20"/>
  <c r="AU54" i="20" s="1"/>
  <c r="W22" i="20"/>
  <c r="X22" i="20" s="1"/>
  <c r="AA23" i="19"/>
  <c r="AN22" i="19"/>
  <c r="AV53" i="19"/>
  <c r="AU54" i="19" s="1"/>
  <c r="V23" i="19"/>
  <c r="AH23" i="19" s="1"/>
  <c r="AV55" i="18"/>
  <c r="AU56" i="18" s="1"/>
  <c r="AE22" i="18"/>
  <c r="AG22" i="18"/>
  <c r="U23" i="18"/>
  <c r="AC22" i="18"/>
  <c r="AV51" i="16"/>
  <c r="AU52" i="16" s="1"/>
  <c r="AG20" i="16"/>
  <c r="AC20" i="16"/>
  <c r="AE20" i="16"/>
  <c r="U21" i="16"/>
  <c r="W21" i="11"/>
  <c r="X21" i="11" s="1"/>
  <c r="AE21" i="11" s="1"/>
  <c r="AV48" i="11"/>
  <c r="AU49" i="11" s="1"/>
  <c r="W21" i="10"/>
  <c r="X21" i="10" s="1"/>
  <c r="AU53" i="10"/>
  <c r="AV53" i="10" s="1"/>
  <c r="W79" i="26" l="1"/>
  <c r="AI79" i="26" s="1"/>
  <c r="AM78" i="26"/>
  <c r="AO78" i="26" s="1"/>
  <c r="AL78" i="25"/>
  <c r="AJ78" i="25"/>
  <c r="V79" i="25"/>
  <c r="AH79" i="25" s="1"/>
  <c r="Z79" i="25"/>
  <c r="AK78" i="25"/>
  <c r="AA79" i="25"/>
  <c r="AN78" i="25"/>
  <c r="X79" i="24"/>
  <c r="AE79" i="24" s="1"/>
  <c r="AI79" i="23"/>
  <c r="AC79" i="23"/>
  <c r="AE79" i="23"/>
  <c r="AL79" i="23" s="1"/>
  <c r="AG79" i="23"/>
  <c r="U80" i="23"/>
  <c r="AB79" i="23"/>
  <c r="AV54" i="20"/>
  <c r="AU55" i="20" s="1"/>
  <c r="AG22" i="20"/>
  <c r="U23" i="20"/>
  <c r="AE22" i="20"/>
  <c r="AC22" i="20"/>
  <c r="W23" i="19"/>
  <c r="X23" i="19" s="1"/>
  <c r="AV54" i="19"/>
  <c r="AU55" i="19" s="1"/>
  <c r="AV56" i="18"/>
  <c r="AU57" i="18" s="1"/>
  <c r="AA23" i="18"/>
  <c r="AN22" i="18"/>
  <c r="V23" i="18"/>
  <c r="AH23" i="18" s="1"/>
  <c r="AV52" i="16"/>
  <c r="AU53" i="16" s="1"/>
  <c r="V21" i="16"/>
  <c r="AH21" i="16" s="1"/>
  <c r="AA21" i="16"/>
  <c r="AN20" i="16"/>
  <c r="AG21" i="11"/>
  <c r="U22" i="11"/>
  <c r="V22" i="11" s="1"/>
  <c r="AH22" i="11" s="1"/>
  <c r="AC21" i="11"/>
  <c r="AA22" i="11" s="1"/>
  <c r="AV49" i="11"/>
  <c r="AU50" i="11" s="1"/>
  <c r="AE21" i="10"/>
  <c r="AF21" i="10"/>
  <c r="AG21" i="10"/>
  <c r="AC21" i="10"/>
  <c r="U22" i="10"/>
  <c r="AU54" i="10"/>
  <c r="AV54" i="10" s="1"/>
  <c r="AB79" i="24" l="1"/>
  <c r="Z80" i="24" s="1"/>
  <c r="U80" i="24"/>
  <c r="X79" i="26"/>
  <c r="AC79" i="26" s="1"/>
  <c r="W79" i="25"/>
  <c r="AI79" i="25" s="1"/>
  <c r="AM78" i="25"/>
  <c r="AO78" i="25" s="1"/>
  <c r="AC79" i="24"/>
  <c r="AA80" i="24" s="1"/>
  <c r="AG79" i="24"/>
  <c r="AJ79" i="24" s="1"/>
  <c r="V80" i="24"/>
  <c r="AH80" i="24" s="1"/>
  <c r="AK79" i="24"/>
  <c r="AL79" i="24"/>
  <c r="V80" i="23"/>
  <c r="AH80" i="23" s="1"/>
  <c r="Z80" i="23"/>
  <c r="AK79" i="23"/>
  <c r="AA80" i="23"/>
  <c r="AN79" i="23"/>
  <c r="AJ79" i="23"/>
  <c r="AV55" i="20"/>
  <c r="AU56" i="20" s="1"/>
  <c r="AA23" i="20"/>
  <c r="AN22" i="20"/>
  <c r="V23" i="20"/>
  <c r="AH23" i="20" s="1"/>
  <c r="AV55" i="19"/>
  <c r="AU56" i="19" s="1"/>
  <c r="U24" i="19"/>
  <c r="AE23" i="19"/>
  <c r="AC23" i="19"/>
  <c r="AG23" i="19"/>
  <c r="W23" i="18"/>
  <c r="X23" i="18" s="1"/>
  <c r="AV57" i="18"/>
  <c r="AU58" i="18" s="1"/>
  <c r="AV53" i="16"/>
  <c r="AU54" i="16" s="1"/>
  <c r="W21" i="16"/>
  <c r="X21" i="16" s="1"/>
  <c r="AN21" i="11"/>
  <c r="AV50" i="11"/>
  <c r="AU51" i="11" s="1"/>
  <c r="W22" i="11"/>
  <c r="X22" i="11" s="1"/>
  <c r="AA22" i="10"/>
  <c r="AN21" i="10"/>
  <c r="V22" i="10"/>
  <c r="AH22" i="10" s="1"/>
  <c r="AU55" i="10"/>
  <c r="AV55" i="10" s="1"/>
  <c r="AB79" i="26" l="1"/>
  <c r="U80" i="26"/>
  <c r="AN79" i="24"/>
  <c r="AE79" i="26"/>
  <c r="AG79" i="26"/>
  <c r="V80" i="26"/>
  <c r="AH80" i="26" s="1"/>
  <c r="Z80" i="26"/>
  <c r="AK79" i="26"/>
  <c r="AA80" i="26"/>
  <c r="AN79" i="26"/>
  <c r="X79" i="25"/>
  <c r="AM79" i="24"/>
  <c r="W80" i="24"/>
  <c r="AI80" i="24" s="1"/>
  <c r="AM79" i="23"/>
  <c r="AO79" i="23" s="1"/>
  <c r="W80" i="23"/>
  <c r="AI80" i="23" s="1"/>
  <c r="AV56" i="20"/>
  <c r="AU57" i="20" s="1"/>
  <c r="W23" i="20"/>
  <c r="X23" i="20" s="1"/>
  <c r="AV56" i="19"/>
  <c r="AU57" i="19" s="1"/>
  <c r="AA24" i="19"/>
  <c r="AN23" i="19"/>
  <c r="V24" i="19"/>
  <c r="AH24" i="19" s="1"/>
  <c r="AE23" i="18"/>
  <c r="U24" i="18"/>
  <c r="AG23" i="18"/>
  <c r="AC23" i="18"/>
  <c r="AV58" i="18"/>
  <c r="AU59" i="18" s="1"/>
  <c r="AG21" i="16"/>
  <c r="AE21" i="16"/>
  <c r="U22" i="16"/>
  <c r="AC21" i="16"/>
  <c r="AV54" i="16"/>
  <c r="AU55" i="16" s="1"/>
  <c r="AV51" i="11"/>
  <c r="AU52" i="11" s="1"/>
  <c r="AG22" i="11"/>
  <c r="U23" i="11"/>
  <c r="AE22" i="11"/>
  <c r="AC22" i="11"/>
  <c r="W22" i="10"/>
  <c r="X22" i="10" s="1"/>
  <c r="AU56" i="10"/>
  <c r="AV56" i="10" s="1"/>
  <c r="AJ79" i="26" l="1"/>
  <c r="AL79" i="26"/>
  <c r="AO79" i="24"/>
  <c r="W80" i="26"/>
  <c r="X80" i="26" s="1"/>
  <c r="AM79" i="26"/>
  <c r="AO79" i="26" s="1"/>
  <c r="AI80" i="26"/>
  <c r="AG79" i="25"/>
  <c r="AB79" i="25"/>
  <c r="AC79" i="25"/>
  <c r="AE79" i="25"/>
  <c r="U80" i="25"/>
  <c r="X80" i="24"/>
  <c r="AE80" i="24" s="1"/>
  <c r="X80" i="23"/>
  <c r="AE80" i="23" s="1"/>
  <c r="AV57" i="20"/>
  <c r="AU58" i="20" s="1"/>
  <c r="AG23" i="20"/>
  <c r="U24" i="20"/>
  <c r="AE23" i="20"/>
  <c r="AC23" i="20"/>
  <c r="W24" i="19"/>
  <c r="X24" i="19" s="1"/>
  <c r="AV57" i="19"/>
  <c r="AU58" i="19" s="1"/>
  <c r="AV59" i="18"/>
  <c r="AU60" i="18" s="1"/>
  <c r="AA24" i="18"/>
  <c r="AN23" i="18"/>
  <c r="V24" i="18"/>
  <c r="AH24" i="18" s="1"/>
  <c r="AV55" i="16"/>
  <c r="AU56" i="16" s="1"/>
  <c r="AA22" i="16"/>
  <c r="AN21" i="16"/>
  <c r="V22" i="16"/>
  <c r="AH22" i="16" s="1"/>
  <c r="AV52" i="11"/>
  <c r="AU53" i="11" s="1"/>
  <c r="AA23" i="11"/>
  <c r="AN22" i="11"/>
  <c r="V23" i="11"/>
  <c r="AH23" i="11" s="1"/>
  <c r="AG22" i="10"/>
  <c r="AE22" i="10"/>
  <c r="AF22" i="10"/>
  <c r="AC22" i="10"/>
  <c r="U23" i="10"/>
  <c r="AU57" i="10"/>
  <c r="AV57" i="10" s="1"/>
  <c r="AB80" i="24" l="1"/>
  <c r="AK80" i="24" s="1"/>
  <c r="U81" i="26"/>
  <c r="AC80" i="26"/>
  <c r="AE80" i="26"/>
  <c r="AL80" i="26" s="1"/>
  <c r="AG80" i="26"/>
  <c r="AB80" i="26"/>
  <c r="V80" i="25"/>
  <c r="AH80" i="25" s="1"/>
  <c r="AL79" i="25"/>
  <c r="AJ79" i="25"/>
  <c r="AA80" i="25"/>
  <c r="AN79" i="25"/>
  <c r="Z80" i="25"/>
  <c r="AK79" i="25"/>
  <c r="AG80" i="24"/>
  <c r="AJ80" i="24" s="1"/>
  <c r="AC80" i="24"/>
  <c r="AA81" i="24" s="1"/>
  <c r="U81" i="24"/>
  <c r="V81" i="24" s="1"/>
  <c r="AH81" i="24" s="1"/>
  <c r="Z81" i="24"/>
  <c r="AL80" i="24"/>
  <c r="AB80" i="23"/>
  <c r="AK80" i="23" s="1"/>
  <c r="AG80" i="23"/>
  <c r="AJ80" i="23" s="1"/>
  <c r="AC80" i="23"/>
  <c r="AN80" i="23" s="1"/>
  <c r="U81" i="23"/>
  <c r="V81" i="23" s="1"/>
  <c r="AH81" i="23" s="1"/>
  <c r="AL80" i="23"/>
  <c r="AV58" i="20"/>
  <c r="AU59" i="20" s="1"/>
  <c r="V24" i="20"/>
  <c r="AH24" i="20" s="1"/>
  <c r="AA24" i="20"/>
  <c r="AN23" i="20"/>
  <c r="AV58" i="19"/>
  <c r="AU59" i="19" s="1"/>
  <c r="U25" i="19"/>
  <c r="AE24" i="19"/>
  <c r="AG24" i="19"/>
  <c r="AC24" i="19"/>
  <c r="AV60" i="18"/>
  <c r="AU61" i="18" s="1"/>
  <c r="W24" i="18"/>
  <c r="X24" i="18" s="1"/>
  <c r="AV56" i="16"/>
  <c r="AU57" i="16" s="1"/>
  <c r="W22" i="16"/>
  <c r="X22" i="16" s="1"/>
  <c r="AV53" i="11"/>
  <c r="AU54" i="11" s="1"/>
  <c r="W23" i="11"/>
  <c r="X23" i="11" s="1"/>
  <c r="AA23" i="10"/>
  <c r="AN22" i="10"/>
  <c r="V23" i="10"/>
  <c r="AH23" i="10" s="1"/>
  <c r="AU58" i="10"/>
  <c r="AV58" i="10" s="1"/>
  <c r="AN80" i="24" l="1"/>
  <c r="Z81" i="23"/>
  <c r="Z81" i="26"/>
  <c r="AK80" i="26"/>
  <c r="AA81" i="26"/>
  <c r="AN80" i="26"/>
  <c r="V81" i="26"/>
  <c r="AH81" i="26" s="1"/>
  <c r="AJ80" i="26"/>
  <c r="W80" i="25"/>
  <c r="AI80" i="25" s="1"/>
  <c r="AM79" i="25"/>
  <c r="AO79" i="25" s="1"/>
  <c r="AA81" i="23"/>
  <c r="W81" i="24"/>
  <c r="AI81" i="24" s="1"/>
  <c r="AM80" i="24"/>
  <c r="W81" i="23"/>
  <c r="X81" i="23" s="1"/>
  <c r="AM80" i="23"/>
  <c r="AO80" i="23" s="1"/>
  <c r="AV59" i="20"/>
  <c r="AU60" i="20" s="1"/>
  <c r="W24" i="20"/>
  <c r="X24" i="20" s="1"/>
  <c r="AV59" i="19"/>
  <c r="AU60" i="19" s="1"/>
  <c r="V25" i="19"/>
  <c r="AH25" i="19" s="1"/>
  <c r="AA25" i="19"/>
  <c r="AN24" i="19"/>
  <c r="AV61" i="18"/>
  <c r="U25" i="18"/>
  <c r="AG24" i="18"/>
  <c r="AE24" i="18"/>
  <c r="AC24" i="18"/>
  <c r="AV57" i="16"/>
  <c r="AU58" i="16" s="1"/>
  <c r="AE22" i="16"/>
  <c r="U23" i="16"/>
  <c r="AG22" i="16"/>
  <c r="AC22" i="16"/>
  <c r="AG23" i="11"/>
  <c r="AE23" i="11"/>
  <c r="U24" i="11"/>
  <c r="AC23" i="11"/>
  <c r="AV54" i="11"/>
  <c r="AU55" i="11" s="1"/>
  <c r="W23" i="10"/>
  <c r="X23" i="10" s="1"/>
  <c r="AU59" i="10"/>
  <c r="AV59" i="10" s="1"/>
  <c r="X81" i="24" l="1"/>
  <c r="AB81" i="24" s="1"/>
  <c r="AO80" i="24"/>
  <c r="AM80" i="26"/>
  <c r="AO80" i="26" s="1"/>
  <c r="W81" i="26"/>
  <c r="X81" i="26" s="1"/>
  <c r="X80" i="25"/>
  <c r="AC80" i="25" s="1"/>
  <c r="AA81" i="25" s="1"/>
  <c r="U82" i="24"/>
  <c r="AC81" i="24"/>
  <c r="AE81" i="24"/>
  <c r="AG81" i="24"/>
  <c r="AI81" i="23"/>
  <c r="AC81" i="23"/>
  <c r="AG81" i="23"/>
  <c r="U82" i="23"/>
  <c r="AE81" i="23"/>
  <c r="AL81" i="23" s="1"/>
  <c r="AB81" i="23"/>
  <c r="AV60" i="19"/>
  <c r="AU61" i="19" s="1"/>
  <c r="AV60" i="20"/>
  <c r="AU61" i="20" s="1"/>
  <c r="AC24" i="20"/>
  <c r="U25" i="20"/>
  <c r="AE24" i="20"/>
  <c r="AG24" i="20"/>
  <c r="W25" i="19"/>
  <c r="X25" i="19" s="1"/>
  <c r="AU62" i="18"/>
  <c r="AA25" i="18"/>
  <c r="AN24" i="18"/>
  <c r="V25" i="18"/>
  <c r="AH25" i="18" s="1"/>
  <c r="AV58" i="16"/>
  <c r="AU59" i="16" s="1"/>
  <c r="AA23" i="16"/>
  <c r="AN22" i="16"/>
  <c r="V23" i="16"/>
  <c r="AH23" i="16" s="1"/>
  <c r="AV55" i="11"/>
  <c r="AU56" i="11" s="1"/>
  <c r="V24" i="11"/>
  <c r="AH24" i="11" s="1"/>
  <c r="AA24" i="11"/>
  <c r="AN23" i="11"/>
  <c r="AG23" i="10"/>
  <c r="AE23" i="10"/>
  <c r="AF23" i="10"/>
  <c r="AC23" i="10"/>
  <c r="U24" i="10"/>
  <c r="AU60" i="10"/>
  <c r="AV60" i="10" s="1"/>
  <c r="AB80" i="25" l="1"/>
  <c r="Z81" i="25" s="1"/>
  <c r="AG80" i="25"/>
  <c r="U81" i="25"/>
  <c r="V81" i="25" s="1"/>
  <c r="AH81" i="25" s="1"/>
  <c r="AN80" i="25"/>
  <c r="AI81" i="26"/>
  <c r="AE81" i="26"/>
  <c r="AL81" i="26" s="1"/>
  <c r="U82" i="26"/>
  <c r="AG81" i="26"/>
  <c r="AC81" i="26"/>
  <c r="AB81" i="26"/>
  <c r="AE80" i="25"/>
  <c r="AK80" i="25"/>
  <c r="AA82" i="24"/>
  <c r="AN81" i="24"/>
  <c r="Z82" i="24"/>
  <c r="AK81" i="24"/>
  <c r="AJ81" i="24"/>
  <c r="AL81" i="24"/>
  <c r="V82" i="24"/>
  <c r="AH82" i="24" s="1"/>
  <c r="Z82" i="23"/>
  <c r="AK81" i="23"/>
  <c r="V82" i="23"/>
  <c r="AH82" i="23" s="1"/>
  <c r="AA82" i="23"/>
  <c r="AN81" i="23"/>
  <c r="AJ81" i="23"/>
  <c r="AV61" i="19"/>
  <c r="AV61" i="20"/>
  <c r="AU62" i="20" s="1"/>
  <c r="V25" i="20"/>
  <c r="AH25" i="20" s="1"/>
  <c r="AA25" i="20"/>
  <c r="AN24" i="20"/>
  <c r="AG25" i="19"/>
  <c r="AC25" i="19"/>
  <c r="U26" i="19"/>
  <c r="AE25" i="19"/>
  <c r="AV62" i="18"/>
  <c r="AU63" i="18" s="1"/>
  <c r="W25" i="18"/>
  <c r="X25" i="18" s="1"/>
  <c r="AV59" i="16"/>
  <c r="AU60" i="16" s="1"/>
  <c r="W23" i="16"/>
  <c r="X23" i="16" s="1"/>
  <c r="AV56" i="11"/>
  <c r="AU57" i="11" s="1"/>
  <c r="W24" i="11"/>
  <c r="X24" i="11" s="1"/>
  <c r="AA24" i="10"/>
  <c r="AN23" i="10"/>
  <c r="V24" i="10"/>
  <c r="AH24" i="10" s="1"/>
  <c r="AU61" i="10"/>
  <c r="AV61" i="10" s="1"/>
  <c r="W81" i="25" l="1"/>
  <c r="Z82" i="26"/>
  <c r="AK81" i="26"/>
  <c r="V82" i="26"/>
  <c r="AH82" i="26" s="1"/>
  <c r="AA82" i="26"/>
  <c r="AN81" i="26"/>
  <c r="AJ81" i="26"/>
  <c r="AL80" i="25"/>
  <c r="AJ80" i="25"/>
  <c r="W82" i="24"/>
  <c r="AI82" i="24" s="1"/>
  <c r="AM81" i="24"/>
  <c r="AO81" i="24" s="1"/>
  <c r="W82" i="23"/>
  <c r="AI82" i="23" s="1"/>
  <c r="AM81" i="23"/>
  <c r="AO81" i="23" s="1"/>
  <c r="AU62" i="19"/>
  <c r="AV62" i="20"/>
  <c r="W25" i="20"/>
  <c r="V26" i="19"/>
  <c r="AH26" i="19" s="1"/>
  <c r="AA26" i="19"/>
  <c r="AN25" i="19"/>
  <c r="AV63" i="18"/>
  <c r="AE25" i="18"/>
  <c r="U26" i="18"/>
  <c r="AG25" i="18"/>
  <c r="AC25" i="18"/>
  <c r="AC23" i="16"/>
  <c r="AE23" i="16"/>
  <c r="AG23" i="16"/>
  <c r="U24" i="16"/>
  <c r="AV60" i="16"/>
  <c r="AU61" i="16" s="1"/>
  <c r="AV57" i="11"/>
  <c r="AU58" i="11" s="1"/>
  <c r="AE24" i="11"/>
  <c r="U25" i="11"/>
  <c r="AC24" i="11"/>
  <c r="AG24" i="11"/>
  <c r="W24" i="10"/>
  <c r="X24" i="10" s="1"/>
  <c r="AU62" i="10"/>
  <c r="AV62" i="10" s="1"/>
  <c r="AI81" i="25" l="1"/>
  <c r="X81" i="25"/>
  <c r="W82" i="26"/>
  <c r="AM81" i="26"/>
  <c r="AO81" i="26" s="1"/>
  <c r="AM80" i="25"/>
  <c r="AO80" i="25" s="1"/>
  <c r="X82" i="24"/>
  <c r="X82" i="23"/>
  <c r="AG82" i="23" s="1"/>
  <c r="AV62" i="19"/>
  <c r="AU63" i="20"/>
  <c r="X25" i="20"/>
  <c r="U26" i="20" s="1"/>
  <c r="W26" i="19"/>
  <c r="AU64" i="18"/>
  <c r="V26" i="18"/>
  <c r="AH26" i="18" s="1"/>
  <c r="AA26" i="18"/>
  <c r="AN25" i="18"/>
  <c r="V24" i="16"/>
  <c r="AH24" i="16" s="1"/>
  <c r="AV61" i="16"/>
  <c r="AU62" i="16" s="1"/>
  <c r="AA24" i="16"/>
  <c r="AN23" i="16"/>
  <c r="AV58" i="11"/>
  <c r="AU59" i="11" s="1"/>
  <c r="AA25" i="11"/>
  <c r="AN24" i="11"/>
  <c r="V25" i="11"/>
  <c r="AH25" i="11" s="1"/>
  <c r="AG24" i="10"/>
  <c r="AE24" i="10"/>
  <c r="AF24" i="10"/>
  <c r="AC24" i="10"/>
  <c r="U25" i="10"/>
  <c r="AU63" i="10"/>
  <c r="AV63" i="10" s="1"/>
  <c r="AE81" i="25" l="1"/>
  <c r="AL81" i="25" s="1"/>
  <c r="AB81" i="25"/>
  <c r="U82" i="25"/>
  <c r="AG81" i="25"/>
  <c r="AJ81" i="25" s="1"/>
  <c r="AC81" i="25"/>
  <c r="AI82" i="26"/>
  <c r="X82" i="26"/>
  <c r="AC82" i="24"/>
  <c r="U83" i="24"/>
  <c r="AG82" i="24"/>
  <c r="AE82" i="24"/>
  <c r="AB82" i="24"/>
  <c r="AB82" i="23"/>
  <c r="Z83" i="23" s="1"/>
  <c r="U83" i="23"/>
  <c r="V83" i="23" s="1"/>
  <c r="AH83" i="23" s="1"/>
  <c r="AE82" i="23"/>
  <c r="AJ82" i="23" s="1"/>
  <c r="AC82" i="23"/>
  <c r="AA83" i="23" s="1"/>
  <c r="AU63" i="19"/>
  <c r="AG25" i="20"/>
  <c r="AC25" i="20"/>
  <c r="AA26" i="20" s="1"/>
  <c r="AV63" i="20"/>
  <c r="AE25" i="20"/>
  <c r="V26" i="20"/>
  <c r="AH26" i="20" s="1"/>
  <c r="X26" i="19"/>
  <c r="AV64" i="18"/>
  <c r="AU65" i="18" s="1"/>
  <c r="W26" i="18"/>
  <c r="W24" i="16"/>
  <c r="X24" i="16" s="1"/>
  <c r="AV62" i="16"/>
  <c r="AU63" i="16" s="1"/>
  <c r="AV59" i="11"/>
  <c r="AU60" i="11" s="1"/>
  <c r="W25" i="11"/>
  <c r="X25" i="11" s="1"/>
  <c r="AA25" i="10"/>
  <c r="AN24" i="10"/>
  <c r="V25" i="10"/>
  <c r="AH25" i="10" s="1"/>
  <c r="AU64" i="10"/>
  <c r="AV64" i="10" s="1"/>
  <c r="V82" i="25" l="1"/>
  <c r="W82" i="25" s="1"/>
  <c r="AI82" i="25" s="1"/>
  <c r="AA82" i="25"/>
  <c r="AN81" i="25"/>
  <c r="AK81" i="25"/>
  <c r="AM81" i="25" s="1"/>
  <c r="Z82" i="25"/>
  <c r="AC82" i="26"/>
  <c r="AE82" i="26"/>
  <c r="AL82" i="26" s="1"/>
  <c r="AG82" i="26"/>
  <c r="U83" i="26"/>
  <c r="AB82" i="26"/>
  <c r="AN82" i="23"/>
  <c r="AK82" i="23"/>
  <c r="Z83" i="24"/>
  <c r="AK82" i="24"/>
  <c r="V83" i="24"/>
  <c r="AH83" i="24" s="1"/>
  <c r="AJ82" i="24"/>
  <c r="AL82" i="24"/>
  <c r="AA83" i="24"/>
  <c r="AN82" i="24"/>
  <c r="AL82" i="23"/>
  <c r="W83" i="23"/>
  <c r="AV63" i="19"/>
  <c r="AN25" i="20"/>
  <c r="AU64" i="20"/>
  <c r="W26" i="20"/>
  <c r="U27" i="19"/>
  <c r="AE26" i="19"/>
  <c r="AG26" i="19"/>
  <c r="AC26" i="19"/>
  <c r="AV65" i="18"/>
  <c r="AU66" i="18" s="1"/>
  <c r="X26" i="18"/>
  <c r="AV63" i="16"/>
  <c r="AU64" i="16" s="1"/>
  <c r="AE24" i="16"/>
  <c r="AC24" i="16"/>
  <c r="U25" i="16"/>
  <c r="AG24" i="16"/>
  <c r="AV60" i="11"/>
  <c r="AU61" i="11" s="1"/>
  <c r="AE25" i="11"/>
  <c r="AG25" i="11"/>
  <c r="U26" i="11"/>
  <c r="AC25" i="11"/>
  <c r="W25" i="10"/>
  <c r="X25" i="10" s="1"/>
  <c r="AU65" i="10"/>
  <c r="AV65" i="10" s="1"/>
  <c r="AM82" i="23" l="1"/>
  <c r="AO81" i="25"/>
  <c r="AH82" i="25"/>
  <c r="X82" i="25"/>
  <c r="AJ82" i="26"/>
  <c r="V83" i="26"/>
  <c r="AH83" i="26" s="1"/>
  <c r="Z83" i="26"/>
  <c r="AK82" i="26"/>
  <c r="AA83" i="26"/>
  <c r="AN82" i="26"/>
  <c r="AO82" i="23"/>
  <c r="W83" i="24"/>
  <c r="AI83" i="24" s="1"/>
  <c r="AM82" i="24"/>
  <c r="AO82" i="24" s="1"/>
  <c r="X83" i="23"/>
  <c r="AI83" i="23"/>
  <c r="AU64" i="19"/>
  <c r="AV64" i="20"/>
  <c r="AU65" i="20" s="1"/>
  <c r="X26" i="20"/>
  <c r="AA27" i="19"/>
  <c r="AN26" i="19"/>
  <c r="V27" i="19"/>
  <c r="AH27" i="19" s="1"/>
  <c r="AV66" i="18"/>
  <c r="AU67" i="18" s="1"/>
  <c r="U27" i="18"/>
  <c r="AG26" i="18"/>
  <c r="AE26" i="18"/>
  <c r="AC26" i="18"/>
  <c r="AV64" i="16"/>
  <c r="AU65" i="16" s="1"/>
  <c r="V25" i="16"/>
  <c r="AH25" i="16" s="1"/>
  <c r="AA25" i="16"/>
  <c r="AN24" i="16"/>
  <c r="V26" i="11"/>
  <c r="AH26" i="11" s="1"/>
  <c r="AA26" i="11"/>
  <c r="AN25" i="11"/>
  <c r="AV61" i="11"/>
  <c r="AU62" i="11" s="1"/>
  <c r="AF25" i="10"/>
  <c r="AG25" i="10"/>
  <c r="AE25" i="10"/>
  <c r="AC25" i="10"/>
  <c r="U26" i="10"/>
  <c r="AU66" i="10"/>
  <c r="AV66" i="10" s="1"/>
  <c r="U83" i="25" l="1"/>
  <c r="V83" i="25" s="1"/>
  <c r="W83" i="25" s="1"/>
  <c r="AI83" i="25" s="1"/>
  <c r="AE82" i="25"/>
  <c r="AB82" i="25"/>
  <c r="AC82" i="25"/>
  <c r="AG82" i="25"/>
  <c r="AH83" i="25"/>
  <c r="X83" i="25"/>
  <c r="AM82" i="26"/>
  <c r="AO82" i="26" s="1"/>
  <c r="W83" i="26"/>
  <c r="X83" i="24"/>
  <c r="U84" i="23"/>
  <c r="AE83" i="23"/>
  <c r="AL83" i="23" s="1"/>
  <c r="AG83" i="23"/>
  <c r="AC83" i="23"/>
  <c r="AB83" i="23"/>
  <c r="AV64" i="19"/>
  <c r="AU65" i="19" s="1"/>
  <c r="AV65" i="20"/>
  <c r="AU66" i="20" s="1"/>
  <c r="AG26" i="20"/>
  <c r="AE26" i="20"/>
  <c r="U27" i="20"/>
  <c r="AC26" i="20"/>
  <c r="W27" i="19"/>
  <c r="AV67" i="18"/>
  <c r="AA27" i="18"/>
  <c r="AN26" i="18"/>
  <c r="V27" i="18"/>
  <c r="AH27" i="18" s="1"/>
  <c r="W25" i="16"/>
  <c r="X25" i="16" s="1"/>
  <c r="AV65" i="16"/>
  <c r="AU66" i="16" s="1"/>
  <c r="AV62" i="11"/>
  <c r="AU63" i="11" s="1"/>
  <c r="W26" i="11"/>
  <c r="X26" i="11" s="1"/>
  <c r="AA26" i="10"/>
  <c r="AN25" i="10"/>
  <c r="V26" i="10"/>
  <c r="AH26" i="10" s="1"/>
  <c r="AU67" i="10"/>
  <c r="AV67" i="10" s="1"/>
  <c r="AN82" i="25" l="1"/>
  <c r="AA83" i="25"/>
  <c r="AK82" i="25"/>
  <c r="Z83" i="25"/>
  <c r="AL82" i="25"/>
  <c r="AJ82" i="25"/>
  <c r="U84" i="25"/>
  <c r="V84" i="25" s="1"/>
  <c r="AH84" i="25" s="1"/>
  <c r="AG83" i="25"/>
  <c r="AC83" i="25"/>
  <c r="AE83" i="25"/>
  <c r="AB83" i="25"/>
  <c r="X83" i="26"/>
  <c r="AI83" i="26"/>
  <c r="U84" i="24"/>
  <c r="AE83" i="24"/>
  <c r="AC83" i="24"/>
  <c r="AG83" i="24"/>
  <c r="AB83" i="24"/>
  <c r="Z84" i="23"/>
  <c r="AK83" i="23"/>
  <c r="V84" i="23"/>
  <c r="AH84" i="23" s="1"/>
  <c r="AA84" i="23"/>
  <c r="AN83" i="23"/>
  <c r="AJ83" i="23"/>
  <c r="AV65" i="19"/>
  <c r="AU66" i="19" s="1"/>
  <c r="AV66" i="20"/>
  <c r="AA27" i="20"/>
  <c r="AN26" i="20"/>
  <c r="V27" i="20"/>
  <c r="AH27" i="20" s="1"/>
  <c r="X27" i="19"/>
  <c r="AG27" i="19" s="1"/>
  <c r="AU68" i="18"/>
  <c r="W27" i="18"/>
  <c r="AV66" i="16"/>
  <c r="AU67" i="16" s="1"/>
  <c r="U26" i="16"/>
  <c r="AE25" i="16"/>
  <c r="AG25" i="16"/>
  <c r="AC25" i="16"/>
  <c r="AV63" i="11"/>
  <c r="AU64" i="11" s="1"/>
  <c r="U27" i="11"/>
  <c r="AG26" i="11"/>
  <c r="AE26" i="11"/>
  <c r="AC26" i="11"/>
  <c r="W26" i="10"/>
  <c r="X26" i="10" s="1"/>
  <c r="AU68" i="10"/>
  <c r="AV68" i="10" s="1"/>
  <c r="W84" i="25" l="1"/>
  <c r="X84" i="25" s="1"/>
  <c r="AE84" i="25" s="1"/>
  <c r="AM82" i="25"/>
  <c r="AO82" i="25" s="1"/>
  <c r="AL83" i="25"/>
  <c r="AJ83" i="25"/>
  <c r="AA84" i="25"/>
  <c r="AN83" i="25"/>
  <c r="AK83" i="25"/>
  <c r="Z84" i="25"/>
  <c r="AC83" i="26"/>
  <c r="AG83" i="26"/>
  <c r="AE83" i="26"/>
  <c r="AL83" i="26" s="1"/>
  <c r="U84" i="26"/>
  <c r="AB83" i="26"/>
  <c r="AI84" i="25"/>
  <c r="U85" i="25"/>
  <c r="AG84" i="25"/>
  <c r="AC84" i="25"/>
  <c r="AA84" i="24"/>
  <c r="AN83" i="24"/>
  <c r="Z84" i="24"/>
  <c r="AK83" i="24"/>
  <c r="AJ83" i="24"/>
  <c r="AL83" i="24"/>
  <c r="V84" i="24"/>
  <c r="AH84" i="24" s="1"/>
  <c r="AM83" i="23"/>
  <c r="AO83" i="23" s="1"/>
  <c r="W84" i="23"/>
  <c r="AV66" i="19"/>
  <c r="AC27" i="19"/>
  <c r="AN27" i="19" s="1"/>
  <c r="AE27" i="19"/>
  <c r="U28" i="19"/>
  <c r="V28" i="19" s="1"/>
  <c r="AH28" i="19" s="1"/>
  <c r="AU67" i="20"/>
  <c r="W27" i="20"/>
  <c r="AV68" i="18"/>
  <c r="AU69" i="18" s="1"/>
  <c r="X27" i="18"/>
  <c r="AV67" i="16"/>
  <c r="AU68" i="16" s="1"/>
  <c r="AA26" i="16"/>
  <c r="AN25" i="16"/>
  <c r="V26" i="16"/>
  <c r="AH26" i="16" s="1"/>
  <c r="AV64" i="11"/>
  <c r="AU65" i="11" s="1"/>
  <c r="AA27" i="11"/>
  <c r="AN26" i="11"/>
  <c r="V27" i="11"/>
  <c r="AH27" i="11" s="1"/>
  <c r="AF26" i="10"/>
  <c r="AE26" i="10"/>
  <c r="AG26" i="10"/>
  <c r="AC26" i="10"/>
  <c r="U27" i="10"/>
  <c r="AU69" i="10"/>
  <c r="AV69" i="10" s="1"/>
  <c r="AB84" i="25" l="1"/>
  <c r="AL84" i="25"/>
  <c r="AM83" i="25"/>
  <c r="AO83" i="25" s="1"/>
  <c r="Z84" i="26"/>
  <c r="AK83" i="26"/>
  <c r="V84" i="26"/>
  <c r="AH84" i="26" s="1"/>
  <c r="AA84" i="26"/>
  <c r="AN83" i="26"/>
  <c r="AJ83" i="26"/>
  <c r="Z85" i="25"/>
  <c r="AK84" i="25"/>
  <c r="AA85" i="25"/>
  <c r="AN84" i="25"/>
  <c r="V85" i="25"/>
  <c r="AH85" i="25" s="1"/>
  <c r="AJ84" i="25"/>
  <c r="AM83" i="24"/>
  <c r="AO83" i="24" s="1"/>
  <c r="W84" i="24"/>
  <c r="AI84" i="24" s="1"/>
  <c r="X84" i="23"/>
  <c r="AI84" i="23"/>
  <c r="AA28" i="19"/>
  <c r="AU67" i="19"/>
  <c r="AV67" i="20"/>
  <c r="X27" i="20"/>
  <c r="AC27" i="20" s="1"/>
  <c r="W28" i="19"/>
  <c r="AV69" i="18"/>
  <c r="AG27" i="18"/>
  <c r="U28" i="18"/>
  <c r="AE27" i="18"/>
  <c r="AC27" i="18"/>
  <c r="AV68" i="16"/>
  <c r="AU69" i="16" s="1"/>
  <c r="W26" i="16"/>
  <c r="X26" i="16" s="1"/>
  <c r="W27" i="11"/>
  <c r="X27" i="11" s="1"/>
  <c r="AV65" i="11"/>
  <c r="AU66" i="11" s="1"/>
  <c r="AA27" i="10"/>
  <c r="AN26" i="10"/>
  <c r="V27" i="10"/>
  <c r="AH27" i="10" s="1"/>
  <c r="AU70" i="10"/>
  <c r="AV70" i="10" s="1"/>
  <c r="AM84" i="25" l="1"/>
  <c r="AO84" i="25" s="1"/>
  <c r="W84" i="26"/>
  <c r="X84" i="26" s="1"/>
  <c r="AM83" i="26"/>
  <c r="AO83" i="26" s="1"/>
  <c r="W85" i="25"/>
  <c r="X84" i="24"/>
  <c r="AG84" i="23"/>
  <c r="U85" i="23"/>
  <c r="AC84" i="23"/>
  <c r="AE84" i="23"/>
  <c r="AL84" i="23" s="1"/>
  <c r="AB84" i="23"/>
  <c r="AV67" i="19"/>
  <c r="AE27" i="20"/>
  <c r="U28" i="20"/>
  <c r="V28" i="20" s="1"/>
  <c r="AH28" i="20" s="1"/>
  <c r="AG27" i="20"/>
  <c r="AU68" i="20"/>
  <c r="AA28" i="20"/>
  <c r="AN27" i="20"/>
  <c r="X28" i="19"/>
  <c r="U29" i="19" s="1"/>
  <c r="AU70" i="18"/>
  <c r="AA28" i="18"/>
  <c r="AN27" i="18"/>
  <c r="V28" i="18"/>
  <c r="AH28" i="18" s="1"/>
  <c r="U27" i="16"/>
  <c r="AG26" i="16"/>
  <c r="AC26" i="16"/>
  <c r="AE26" i="16"/>
  <c r="AV69" i="16"/>
  <c r="AU70" i="16" s="1"/>
  <c r="W27" i="10"/>
  <c r="X27" i="10" s="1"/>
  <c r="AV66" i="11"/>
  <c r="AU67" i="11" s="1"/>
  <c r="AG27" i="11"/>
  <c r="AE27" i="11"/>
  <c r="U28" i="11"/>
  <c r="AC27" i="11"/>
  <c r="AU71" i="10"/>
  <c r="AV71" i="10" s="1"/>
  <c r="AI84" i="26" l="1"/>
  <c r="U85" i="26"/>
  <c r="AG84" i="26"/>
  <c r="AC84" i="26"/>
  <c r="AE84" i="26"/>
  <c r="AL84" i="26" s="1"/>
  <c r="AB84" i="26"/>
  <c r="X85" i="25"/>
  <c r="AI85" i="25"/>
  <c r="AG84" i="24"/>
  <c r="AC84" i="24"/>
  <c r="U85" i="24"/>
  <c r="AE84" i="24"/>
  <c r="AB84" i="24"/>
  <c r="Z85" i="23"/>
  <c r="AK84" i="23"/>
  <c r="AA85" i="23"/>
  <c r="AN84" i="23"/>
  <c r="V85" i="23"/>
  <c r="AH85" i="23" s="1"/>
  <c r="AJ84" i="23"/>
  <c r="AU68" i="19"/>
  <c r="AC28" i="19"/>
  <c r="AA29" i="19" s="1"/>
  <c r="AG28" i="19"/>
  <c r="AE28" i="19"/>
  <c r="AV68" i="20"/>
  <c r="W28" i="20"/>
  <c r="V29" i="19"/>
  <c r="AH29" i="19" s="1"/>
  <c r="AV70" i="18"/>
  <c r="W28" i="18"/>
  <c r="AV70" i="16"/>
  <c r="AU71" i="16" s="1"/>
  <c r="AA27" i="16"/>
  <c r="AN26" i="16"/>
  <c r="V27" i="16"/>
  <c r="AH27" i="16" s="1"/>
  <c r="AV67" i="11"/>
  <c r="AU68" i="11" s="1"/>
  <c r="V28" i="11"/>
  <c r="AH28" i="11" s="1"/>
  <c r="AA28" i="11"/>
  <c r="AN27" i="11"/>
  <c r="AE27" i="10"/>
  <c r="AF27" i="10"/>
  <c r="AG27" i="10"/>
  <c r="AC27" i="10"/>
  <c r="U28" i="10"/>
  <c r="AU72" i="10"/>
  <c r="AV72" i="10" s="1"/>
  <c r="Z85" i="26" l="1"/>
  <c r="AK84" i="26"/>
  <c r="AA85" i="26"/>
  <c r="AN84" i="26"/>
  <c r="V85" i="26"/>
  <c r="AH85" i="26" s="1"/>
  <c r="AJ84" i="26"/>
  <c r="AM84" i="26" s="1"/>
  <c r="AC85" i="25"/>
  <c r="AG85" i="25"/>
  <c r="U86" i="25"/>
  <c r="AE85" i="25"/>
  <c r="AL85" i="25" s="1"/>
  <c r="AB85" i="25"/>
  <c r="V85" i="24"/>
  <c r="AH85" i="24" s="1"/>
  <c r="Z85" i="24"/>
  <c r="AK84" i="24"/>
  <c r="AA85" i="24"/>
  <c r="AN84" i="24"/>
  <c r="AJ84" i="24"/>
  <c r="AL84" i="24"/>
  <c r="AM84" i="23"/>
  <c r="AO84" i="23" s="1"/>
  <c r="W85" i="23"/>
  <c r="AV68" i="19"/>
  <c r="AU69" i="19" s="1"/>
  <c r="AN28" i="19"/>
  <c r="AU69" i="20"/>
  <c r="X28" i="20"/>
  <c r="W29" i="19"/>
  <c r="AU71" i="18"/>
  <c r="X28" i="18"/>
  <c r="AV71" i="16"/>
  <c r="AU72" i="16" s="1"/>
  <c r="W27" i="16"/>
  <c r="X27" i="16" s="1"/>
  <c r="W28" i="11"/>
  <c r="X28" i="11" s="1"/>
  <c r="AV68" i="11"/>
  <c r="AU69" i="11" s="1"/>
  <c r="AA28" i="10"/>
  <c r="AN27" i="10"/>
  <c r="V28" i="10"/>
  <c r="AH28" i="10" s="1"/>
  <c r="AU73" i="10"/>
  <c r="AV73" i="10" s="1"/>
  <c r="AO84" i="26" l="1"/>
  <c r="W85" i="26"/>
  <c r="AI85" i="26" s="1"/>
  <c r="AA86" i="25"/>
  <c r="AN85" i="25"/>
  <c r="Z86" i="25"/>
  <c r="AK85" i="25"/>
  <c r="V86" i="25"/>
  <c r="AH86" i="25" s="1"/>
  <c r="AJ85" i="25"/>
  <c r="AM84" i="24"/>
  <c r="AO84" i="24" s="1"/>
  <c r="W85" i="24"/>
  <c r="AI85" i="24" s="1"/>
  <c r="X85" i="23"/>
  <c r="AI85" i="23"/>
  <c r="AV69" i="19"/>
  <c r="AU70" i="19" s="1"/>
  <c r="AV69" i="20"/>
  <c r="AU70" i="20" s="1"/>
  <c r="AG28" i="20"/>
  <c r="U29" i="20"/>
  <c r="AE28" i="20"/>
  <c r="AC28" i="20"/>
  <c r="X29" i="19"/>
  <c r="AV71" i="18"/>
  <c r="U29" i="18"/>
  <c r="V29" i="18" s="1"/>
  <c r="AH29" i="18" s="1"/>
  <c r="AE28" i="18"/>
  <c r="AC28" i="18"/>
  <c r="AG28" i="18"/>
  <c r="AV72" i="16"/>
  <c r="AU73" i="16" s="1"/>
  <c r="AG27" i="16"/>
  <c r="AE27" i="16"/>
  <c r="AC27" i="16"/>
  <c r="U28" i="16"/>
  <c r="W28" i="10"/>
  <c r="X28" i="10" s="1"/>
  <c r="AV69" i="11"/>
  <c r="AU70" i="11" s="1"/>
  <c r="AE28" i="11"/>
  <c r="U29" i="11"/>
  <c r="AG28" i="11"/>
  <c r="AC28" i="11"/>
  <c r="AU74" i="10"/>
  <c r="AV74" i="10" s="1"/>
  <c r="W86" i="25" l="1"/>
  <c r="X85" i="26"/>
  <c r="AC85" i="26" s="1"/>
  <c r="U86" i="26"/>
  <c r="AG85" i="26"/>
  <c r="AA86" i="26"/>
  <c r="AN85" i="26"/>
  <c r="V86" i="26"/>
  <c r="AH86" i="26" s="1"/>
  <c r="X86" i="25"/>
  <c r="AI86" i="25"/>
  <c r="AM85" i="25"/>
  <c r="AO85" i="25" s="1"/>
  <c r="X85" i="24"/>
  <c r="AE85" i="23"/>
  <c r="AL85" i="23" s="1"/>
  <c r="AG85" i="23"/>
  <c r="AC85" i="23"/>
  <c r="U86" i="23"/>
  <c r="AB85" i="23"/>
  <c r="AV70" i="19"/>
  <c r="AU71" i="19" s="1"/>
  <c r="AV70" i="20"/>
  <c r="AU71" i="20" s="1"/>
  <c r="V29" i="20"/>
  <c r="AH29" i="20" s="1"/>
  <c r="AA29" i="20"/>
  <c r="AN28" i="20"/>
  <c r="U30" i="19"/>
  <c r="AG29" i="19"/>
  <c r="AE29" i="19"/>
  <c r="AC29" i="19"/>
  <c r="W29" i="18"/>
  <c r="X29" i="18" s="1"/>
  <c r="AU72" i="18"/>
  <c r="AA29" i="18"/>
  <c r="AN28" i="18"/>
  <c r="AV73" i="16"/>
  <c r="AU74" i="16" s="1"/>
  <c r="AA28" i="16"/>
  <c r="AN27" i="16"/>
  <c r="V28" i="16"/>
  <c r="AH28" i="16" s="1"/>
  <c r="AV70" i="11"/>
  <c r="AU71" i="11" s="1"/>
  <c r="AA29" i="11"/>
  <c r="AN28" i="11"/>
  <c r="V29" i="11"/>
  <c r="AH29" i="11" s="1"/>
  <c r="AE28" i="10"/>
  <c r="AF28" i="10"/>
  <c r="AG28" i="10"/>
  <c r="AC28" i="10"/>
  <c r="U29" i="10"/>
  <c r="AU75" i="10"/>
  <c r="AV75" i="10" s="1"/>
  <c r="AE85" i="26" l="1"/>
  <c r="AL85" i="26" s="1"/>
  <c r="AB85" i="26"/>
  <c r="W86" i="26"/>
  <c r="AC86" i="25"/>
  <c r="AG86" i="25"/>
  <c r="U87" i="25"/>
  <c r="AE86" i="25"/>
  <c r="AL86" i="25" s="1"/>
  <c r="AB86" i="25"/>
  <c r="AC85" i="24"/>
  <c r="U86" i="24"/>
  <c r="AG85" i="24"/>
  <c r="AE85" i="24"/>
  <c r="AB85" i="24"/>
  <c r="Z86" i="23"/>
  <c r="AK85" i="23"/>
  <c r="V86" i="23"/>
  <c r="AH86" i="23" s="1"/>
  <c r="AA86" i="23"/>
  <c r="AN85" i="23"/>
  <c r="AJ85" i="23"/>
  <c r="AV71" i="19"/>
  <c r="AU72" i="19" s="1"/>
  <c r="AV71" i="20"/>
  <c r="AU72" i="20" s="1"/>
  <c r="W29" i="20"/>
  <c r="V30" i="19"/>
  <c r="AH30" i="19" s="1"/>
  <c r="AA30" i="19"/>
  <c r="AN29" i="19"/>
  <c r="AV72" i="18"/>
  <c r="AE29" i="18"/>
  <c r="AG29" i="18"/>
  <c r="U30" i="18"/>
  <c r="AC29" i="18"/>
  <c r="AV74" i="16"/>
  <c r="AU75" i="16" s="1"/>
  <c r="W28" i="16"/>
  <c r="X28" i="16" s="1"/>
  <c r="AV71" i="11"/>
  <c r="AU72" i="11" s="1"/>
  <c r="W29" i="11"/>
  <c r="X29" i="11" s="1"/>
  <c r="AA29" i="10"/>
  <c r="AN28" i="10"/>
  <c r="V29" i="10"/>
  <c r="AH29" i="10" s="1"/>
  <c r="AU76" i="10"/>
  <c r="AV76" i="10" s="1"/>
  <c r="AJ85" i="26" l="1"/>
  <c r="Z86" i="26"/>
  <c r="AK85" i="26"/>
  <c r="AM85" i="26" s="1"/>
  <c r="AO85" i="26" s="1"/>
  <c r="X86" i="26"/>
  <c r="AI86" i="26"/>
  <c r="Z87" i="25"/>
  <c r="AK86" i="25"/>
  <c r="AA87" i="25"/>
  <c r="AN86" i="25"/>
  <c r="V87" i="25"/>
  <c r="AH87" i="25" s="1"/>
  <c r="AJ86" i="25"/>
  <c r="AJ85" i="24"/>
  <c r="AL85" i="24"/>
  <c r="V86" i="24"/>
  <c r="AH86" i="24" s="1"/>
  <c r="Z86" i="24"/>
  <c r="AK85" i="24"/>
  <c r="AA86" i="24"/>
  <c r="AN85" i="24"/>
  <c r="AM85" i="23"/>
  <c r="AO85" i="23" s="1"/>
  <c r="W86" i="23"/>
  <c r="AV72" i="19"/>
  <c r="AU73" i="19" s="1"/>
  <c r="AV72" i="20"/>
  <c r="X29" i="20"/>
  <c r="W30" i="19"/>
  <c r="AU73" i="18"/>
  <c r="AA30" i="18"/>
  <c r="AN29" i="18"/>
  <c r="V30" i="18"/>
  <c r="AH30" i="18" s="1"/>
  <c r="AV75" i="16"/>
  <c r="AU76" i="16" s="1"/>
  <c r="U29" i="16"/>
  <c r="AE28" i="16"/>
  <c r="AG28" i="16"/>
  <c r="AC28" i="16"/>
  <c r="AC29" i="11"/>
  <c r="U30" i="11"/>
  <c r="AE29" i="11"/>
  <c r="AG29" i="11"/>
  <c r="AV72" i="11"/>
  <c r="AU73" i="11" s="1"/>
  <c r="W29" i="10"/>
  <c r="X29" i="10" s="1"/>
  <c r="AU77" i="10"/>
  <c r="AV77" i="10" s="1"/>
  <c r="W86" i="24" l="1"/>
  <c r="AI86" i="24" s="1"/>
  <c r="U87" i="26"/>
  <c r="AE86" i="26"/>
  <c r="AL86" i="26" s="1"/>
  <c r="AG86" i="26"/>
  <c r="AC86" i="26"/>
  <c r="AB86" i="26"/>
  <c r="W87" i="25"/>
  <c r="AM86" i="25"/>
  <c r="AO86" i="25" s="1"/>
  <c r="X86" i="24"/>
  <c r="AM85" i="24"/>
  <c r="AO85" i="24" s="1"/>
  <c r="X86" i="23"/>
  <c r="AI86" i="23"/>
  <c r="AV73" i="19"/>
  <c r="AU74" i="19" s="1"/>
  <c r="AU73" i="20"/>
  <c r="AG29" i="20"/>
  <c r="AC29" i="20"/>
  <c r="U30" i="20"/>
  <c r="AE29" i="20"/>
  <c r="X30" i="19"/>
  <c r="AV73" i="18"/>
  <c r="W30" i="18"/>
  <c r="AV76" i="16"/>
  <c r="AU77" i="16" s="1"/>
  <c r="AA29" i="16"/>
  <c r="AN28" i="16"/>
  <c r="V29" i="16"/>
  <c r="AH29" i="16" s="1"/>
  <c r="AV73" i="11"/>
  <c r="AU74" i="11" s="1"/>
  <c r="V30" i="11"/>
  <c r="AH30" i="11" s="1"/>
  <c r="AA30" i="11"/>
  <c r="AN29" i="11"/>
  <c r="AG29" i="10"/>
  <c r="AE29" i="10"/>
  <c r="AF29" i="10"/>
  <c r="AC29" i="10"/>
  <c r="U30" i="10"/>
  <c r="AU78" i="10"/>
  <c r="AV78" i="10" s="1"/>
  <c r="AA87" i="26" l="1"/>
  <c r="AN86" i="26"/>
  <c r="V87" i="26"/>
  <c r="AH87" i="26" s="1"/>
  <c r="Z87" i="26"/>
  <c r="AK86" i="26"/>
  <c r="AJ86" i="26"/>
  <c r="X87" i="25"/>
  <c r="AI87" i="25"/>
  <c r="U87" i="24"/>
  <c r="AC86" i="24"/>
  <c r="AG86" i="24"/>
  <c r="AE86" i="24"/>
  <c r="AB86" i="24"/>
  <c r="AE86" i="23"/>
  <c r="AL86" i="23" s="1"/>
  <c r="AC86" i="23"/>
  <c r="AG86" i="23"/>
  <c r="U87" i="23"/>
  <c r="AB86" i="23"/>
  <c r="AV74" i="19"/>
  <c r="AU75" i="19" s="1"/>
  <c r="AV73" i="20"/>
  <c r="AA30" i="20"/>
  <c r="AN29" i="20"/>
  <c r="V30" i="20"/>
  <c r="AH30" i="20" s="1"/>
  <c r="AC30" i="19"/>
  <c r="AG30" i="19"/>
  <c r="AE30" i="19"/>
  <c r="U31" i="19"/>
  <c r="AU74" i="18"/>
  <c r="X30" i="18"/>
  <c r="AV77" i="16"/>
  <c r="AU78" i="16" s="1"/>
  <c r="W29" i="16"/>
  <c r="X29" i="16" s="1"/>
  <c r="W30" i="11"/>
  <c r="X30" i="11" s="1"/>
  <c r="AV74" i="11"/>
  <c r="AU75" i="11" s="1"/>
  <c r="AA30" i="10"/>
  <c r="AN29" i="10"/>
  <c r="V30" i="10"/>
  <c r="AH30" i="10" s="1"/>
  <c r="AU79" i="10"/>
  <c r="AV79" i="10" s="1"/>
  <c r="AM86" i="26" l="1"/>
  <c r="AO86" i="26" s="1"/>
  <c r="W87" i="26"/>
  <c r="AE87" i="25"/>
  <c r="AL87" i="25" s="1"/>
  <c r="AC87" i="25"/>
  <c r="U88" i="25"/>
  <c r="AG87" i="25"/>
  <c r="AB87" i="25"/>
  <c r="AJ86" i="24"/>
  <c r="AL86" i="24"/>
  <c r="AA87" i="24"/>
  <c r="AN86" i="24"/>
  <c r="Z87" i="24"/>
  <c r="AK86" i="24"/>
  <c r="V87" i="24"/>
  <c r="AH87" i="24" s="1"/>
  <c r="V87" i="23"/>
  <c r="AH87" i="23" s="1"/>
  <c r="Z87" i="23"/>
  <c r="AK86" i="23"/>
  <c r="AA87" i="23"/>
  <c r="AN86" i="23"/>
  <c r="AJ86" i="23"/>
  <c r="AV75" i="19"/>
  <c r="AU74" i="20"/>
  <c r="W30" i="20"/>
  <c r="V31" i="19"/>
  <c r="AH31" i="19" s="1"/>
  <c r="AA31" i="19"/>
  <c r="AN30" i="19"/>
  <c r="AV74" i="18"/>
  <c r="AG30" i="18"/>
  <c r="AE30" i="18"/>
  <c r="U31" i="18"/>
  <c r="AC30" i="18"/>
  <c r="U30" i="16"/>
  <c r="AC29" i="16"/>
  <c r="AE29" i="16"/>
  <c r="AG29" i="16"/>
  <c r="AV78" i="16"/>
  <c r="AU79" i="16" s="1"/>
  <c r="AV75" i="11"/>
  <c r="AU76" i="11" s="1"/>
  <c r="U31" i="11"/>
  <c r="AG30" i="11"/>
  <c r="AE30" i="11"/>
  <c r="AC30" i="11"/>
  <c r="W30" i="10"/>
  <c r="X30" i="10" s="1"/>
  <c r="AU80" i="10"/>
  <c r="AV80" i="10" s="1"/>
  <c r="AU1" i="10"/>
  <c r="AU2" i="10"/>
  <c r="X87" i="26" l="1"/>
  <c r="AI87" i="26"/>
  <c r="Z88" i="25"/>
  <c r="AK87" i="25"/>
  <c r="V88" i="25"/>
  <c r="AH88" i="25" s="1"/>
  <c r="AA88" i="25"/>
  <c r="AN87" i="25"/>
  <c r="AJ87" i="25"/>
  <c r="AM86" i="24"/>
  <c r="AO86" i="24" s="1"/>
  <c r="W87" i="24"/>
  <c r="W87" i="23"/>
  <c r="X87" i="23" s="1"/>
  <c r="AM86" i="23"/>
  <c r="AO86" i="23" s="1"/>
  <c r="AU76" i="19"/>
  <c r="AV74" i="20"/>
  <c r="X30" i="20"/>
  <c r="U31" i="20" s="1"/>
  <c r="W31" i="19"/>
  <c r="AU75" i="18"/>
  <c r="AA31" i="18"/>
  <c r="AN30" i="18"/>
  <c r="V31" i="18"/>
  <c r="AH31" i="18" s="1"/>
  <c r="AV79" i="16"/>
  <c r="AU80" i="16" s="1"/>
  <c r="AU2" i="16"/>
  <c r="AU1" i="16"/>
  <c r="AA30" i="16"/>
  <c r="AN29" i="16"/>
  <c r="V30" i="16"/>
  <c r="AH30" i="16" s="1"/>
  <c r="AV76" i="11"/>
  <c r="AU77" i="11" s="1"/>
  <c r="AA31" i="11"/>
  <c r="AN30" i="11"/>
  <c r="V31" i="11"/>
  <c r="AH31" i="11" s="1"/>
  <c r="AG30" i="10"/>
  <c r="AE30" i="10"/>
  <c r="AF30" i="10"/>
  <c r="AC30" i="10"/>
  <c r="U31" i="10"/>
  <c r="AV2" i="10"/>
  <c r="AW2" i="10" s="1"/>
  <c r="AV1" i="10"/>
  <c r="AW1" i="10" s="1"/>
  <c r="W88" i="25" l="1"/>
  <c r="AI88" i="25" s="1"/>
  <c r="AM87" i="25"/>
  <c r="AE87" i="26"/>
  <c r="AL87" i="26" s="1"/>
  <c r="AG87" i="26"/>
  <c r="U88" i="26"/>
  <c r="AC87" i="26"/>
  <c r="AB87" i="26"/>
  <c r="AO87" i="25"/>
  <c r="AI87" i="24"/>
  <c r="X87" i="24"/>
  <c r="AI87" i="23"/>
  <c r="AG87" i="23"/>
  <c r="AC87" i="23"/>
  <c r="U88" i="23"/>
  <c r="AE87" i="23"/>
  <c r="AL87" i="23" s="1"/>
  <c r="AB87" i="23"/>
  <c r="AV76" i="19"/>
  <c r="AC30" i="20"/>
  <c r="AN30" i="20" s="1"/>
  <c r="AG30" i="20"/>
  <c r="AE30" i="20"/>
  <c r="AU75" i="20"/>
  <c r="V31" i="20"/>
  <c r="AH31" i="20" s="1"/>
  <c r="X31" i="19"/>
  <c r="AV75" i="18"/>
  <c r="AU76" i="18" s="1"/>
  <c r="AV76" i="18" s="1"/>
  <c r="W31" i="18"/>
  <c r="X31" i="18" s="1"/>
  <c r="W30" i="16"/>
  <c r="X30" i="16" s="1"/>
  <c r="AV1" i="16"/>
  <c r="AW1" i="16" s="1"/>
  <c r="AV2" i="16"/>
  <c r="AW2" i="16" s="1"/>
  <c r="AV80" i="16"/>
  <c r="AU81" i="16" s="1"/>
  <c r="AV77" i="11"/>
  <c r="AU78" i="11" s="1"/>
  <c r="W31" i="11"/>
  <c r="X31" i="11" s="1"/>
  <c r="AA31" i="10"/>
  <c r="AN30" i="10"/>
  <c r="V31" i="10"/>
  <c r="AH31" i="10" s="1"/>
  <c r="AU81" i="10"/>
  <c r="AV81" i="10" s="1"/>
  <c r="X88" i="25" l="1"/>
  <c r="U89" i="25" s="1"/>
  <c r="Z88" i="26"/>
  <c r="AK87" i="26"/>
  <c r="V88" i="26"/>
  <c r="AH88" i="26" s="1"/>
  <c r="AA88" i="26"/>
  <c r="AN87" i="26"/>
  <c r="AJ87" i="26"/>
  <c r="V89" i="25"/>
  <c r="AH89" i="25" s="1"/>
  <c r="AG88" i="25"/>
  <c r="AC88" i="25"/>
  <c r="AB88" i="25"/>
  <c r="AC87" i="24"/>
  <c r="AG87" i="24"/>
  <c r="AE87" i="24"/>
  <c r="U88" i="24"/>
  <c r="AB87" i="24"/>
  <c r="AJ87" i="23"/>
  <c r="V88" i="23"/>
  <c r="AH88" i="23" s="1"/>
  <c r="Z88" i="23"/>
  <c r="AK87" i="23"/>
  <c r="AA88" i="23"/>
  <c r="AN87" i="23"/>
  <c r="AU77" i="19"/>
  <c r="AA31" i="20"/>
  <c r="AV75" i="20"/>
  <c r="AU76" i="20" s="1"/>
  <c r="W31" i="20"/>
  <c r="U32" i="19"/>
  <c r="AE31" i="19"/>
  <c r="AC31" i="19"/>
  <c r="AG31" i="19"/>
  <c r="AU77" i="18"/>
  <c r="AV77" i="18" s="1"/>
  <c r="AE31" i="18"/>
  <c r="AG31" i="18"/>
  <c r="AC31" i="18"/>
  <c r="U32" i="18"/>
  <c r="AV81" i="16"/>
  <c r="AU82" i="16" s="1"/>
  <c r="U31" i="16"/>
  <c r="AE30" i="16"/>
  <c r="AC30" i="16"/>
  <c r="AG30" i="16"/>
  <c r="AG31" i="11"/>
  <c r="U32" i="11"/>
  <c r="AE31" i="11"/>
  <c r="AC31" i="11"/>
  <c r="AV78" i="11"/>
  <c r="AU79" i="11" s="1"/>
  <c r="W31" i="10"/>
  <c r="X31" i="10" s="1"/>
  <c r="AU82" i="10"/>
  <c r="AV82" i="10" s="1"/>
  <c r="AE88" i="25" l="1"/>
  <c r="W88" i="26"/>
  <c r="AM87" i="26"/>
  <c r="AO87" i="26" s="1"/>
  <c r="X88" i="26"/>
  <c r="U89" i="26" s="1"/>
  <c r="AI88" i="26"/>
  <c r="AN88" i="25"/>
  <c r="AA89" i="25"/>
  <c r="W89" i="25"/>
  <c r="AH131" i="25"/>
  <c r="AH129" i="25"/>
  <c r="AH133" i="25"/>
  <c r="Z89" i="25"/>
  <c r="AK88" i="25"/>
  <c r="AL88" i="25"/>
  <c r="AJ88" i="25"/>
  <c r="Z88" i="24"/>
  <c r="AK87" i="24"/>
  <c r="AJ87" i="24"/>
  <c r="AL87" i="24"/>
  <c r="V88" i="24"/>
  <c r="AH88" i="24" s="1"/>
  <c r="AA88" i="24"/>
  <c r="AN87" i="24"/>
  <c r="AM87" i="23"/>
  <c r="AO87" i="23" s="1"/>
  <c r="W88" i="23"/>
  <c r="AI88" i="23" s="1"/>
  <c r="AV77" i="19"/>
  <c r="AU78" i="19" s="1"/>
  <c r="AV76" i="20"/>
  <c r="X31" i="20"/>
  <c r="AG31" i="20" s="1"/>
  <c r="V32" i="19"/>
  <c r="AH32" i="19" s="1"/>
  <c r="AA32" i="19"/>
  <c r="AN31" i="19"/>
  <c r="AU78" i="18"/>
  <c r="AV78" i="18" s="1"/>
  <c r="V32" i="18"/>
  <c r="AH32" i="18" s="1"/>
  <c r="AA32" i="18"/>
  <c r="AN31" i="18"/>
  <c r="V31" i="16"/>
  <c r="AH31" i="16" s="1"/>
  <c r="AA31" i="16"/>
  <c r="AN30" i="16"/>
  <c r="AV82" i="16"/>
  <c r="AU83" i="16" s="1"/>
  <c r="AV79" i="11"/>
  <c r="AU1" i="11"/>
  <c r="AU2" i="11"/>
  <c r="AA32" i="11"/>
  <c r="AN31" i="11"/>
  <c r="V32" i="11"/>
  <c r="AH32" i="11" s="1"/>
  <c r="AF31" i="10"/>
  <c r="AG31" i="10"/>
  <c r="AE31" i="10"/>
  <c r="AC31" i="10"/>
  <c r="U32" i="10"/>
  <c r="AU83" i="10"/>
  <c r="AV83" i="10" s="1"/>
  <c r="V89" i="26" l="1"/>
  <c r="AH89" i="26" s="1"/>
  <c r="AE88" i="26"/>
  <c r="AC88" i="26"/>
  <c r="AG88" i="26"/>
  <c r="AB88" i="26"/>
  <c r="X89" i="25"/>
  <c r="AI89" i="25"/>
  <c r="AM88" i="25"/>
  <c r="AO88" i="25" s="1"/>
  <c r="W88" i="24"/>
  <c r="AI88" i="24" s="1"/>
  <c r="AM87" i="24"/>
  <c r="AO87" i="24" s="1"/>
  <c r="X88" i="23"/>
  <c r="AV78" i="19"/>
  <c r="AU79" i="19" s="1"/>
  <c r="AE31" i="20"/>
  <c r="AC31" i="20"/>
  <c r="AN31" i="20" s="1"/>
  <c r="U32" i="20"/>
  <c r="V32" i="20" s="1"/>
  <c r="AH32" i="20" s="1"/>
  <c r="AU77" i="20"/>
  <c r="AV77" i="20" s="1"/>
  <c r="W32" i="19"/>
  <c r="AU79" i="18"/>
  <c r="W32" i="18"/>
  <c r="AV83" i="16"/>
  <c r="AU84" i="16" s="1"/>
  <c r="W31" i="16"/>
  <c r="X31" i="16" s="1"/>
  <c r="W32" i="11"/>
  <c r="X32" i="11" s="1"/>
  <c r="AC32" i="11" s="1"/>
  <c r="AV2" i="11"/>
  <c r="AW2" i="11" s="1"/>
  <c r="AV1" i="11"/>
  <c r="AW1" i="11" s="1"/>
  <c r="AU80" i="11"/>
  <c r="AA32" i="10"/>
  <c r="AN31" i="10"/>
  <c r="V32" i="10"/>
  <c r="AH32" i="10" s="1"/>
  <c r="AU84" i="10"/>
  <c r="AV84" i="10" s="1"/>
  <c r="X88" i="24" l="1"/>
  <c r="AE88" i="24" s="1"/>
  <c r="W89" i="26"/>
  <c r="AN88" i="26"/>
  <c r="AA89" i="26"/>
  <c r="AH129" i="26"/>
  <c r="AH131" i="26"/>
  <c r="AH133" i="26"/>
  <c r="Z89" i="26"/>
  <c r="AK88" i="26"/>
  <c r="AL88" i="26"/>
  <c r="AJ88" i="26"/>
  <c r="AI129" i="25"/>
  <c r="AI131" i="25"/>
  <c r="AI133" i="25"/>
  <c r="AE89" i="25"/>
  <c r="AC89" i="25"/>
  <c r="AN89" i="25" s="1"/>
  <c r="AG89" i="25"/>
  <c r="AB89" i="25"/>
  <c r="AK89" i="25" s="1"/>
  <c r="AG88" i="23"/>
  <c r="AE88" i="23"/>
  <c r="AC88" i="23"/>
  <c r="U89" i="23"/>
  <c r="AB88" i="23"/>
  <c r="AA32" i="20"/>
  <c r="AV79" i="19"/>
  <c r="AU80" i="19" s="1"/>
  <c r="AU2" i="19"/>
  <c r="AU1" i="19"/>
  <c r="AU78" i="20"/>
  <c r="AV78" i="20" s="1"/>
  <c r="AU79" i="20" s="1"/>
  <c r="W32" i="20"/>
  <c r="X32" i="19"/>
  <c r="AV79" i="18"/>
  <c r="X32" i="18"/>
  <c r="U32" i="16"/>
  <c r="AG31" i="16"/>
  <c r="AE31" i="16"/>
  <c r="AC31" i="16"/>
  <c r="AV84" i="16"/>
  <c r="AG32" i="11"/>
  <c r="AE32" i="11"/>
  <c r="AA33" i="11"/>
  <c r="AN32" i="11"/>
  <c r="U33" i="11"/>
  <c r="V33" i="11" s="1"/>
  <c r="AH33" i="11" s="1"/>
  <c r="AV80" i="11"/>
  <c r="W32" i="10"/>
  <c r="X32" i="10" s="1"/>
  <c r="AU85" i="10"/>
  <c r="AV85" i="10" s="1"/>
  <c r="AG88" i="24" l="1"/>
  <c r="AJ88" i="24" s="1"/>
  <c r="U89" i="24"/>
  <c r="AB88" i="24"/>
  <c r="AC88" i="24"/>
  <c r="AA89" i="24" s="1"/>
  <c r="X89" i="26"/>
  <c r="AI89" i="26"/>
  <c r="AM88" i="26"/>
  <c r="AO88" i="26" s="1"/>
  <c r="AK129" i="25"/>
  <c r="AK133" i="25"/>
  <c r="AK131" i="25"/>
  <c r="AG131" i="25"/>
  <c r="AG129" i="25"/>
  <c r="AG133" i="25"/>
  <c r="AN133" i="25"/>
  <c r="AN131" i="25"/>
  <c r="AN129" i="25"/>
  <c r="AE133" i="25"/>
  <c r="AE129" i="25"/>
  <c r="AE131" i="25"/>
  <c r="AL89" i="25"/>
  <c r="AJ89" i="25"/>
  <c r="V89" i="24"/>
  <c r="AH89" i="24" s="1"/>
  <c r="Z89" i="24"/>
  <c r="AK88" i="24"/>
  <c r="AL88" i="24"/>
  <c r="Z89" i="23"/>
  <c r="AK88" i="23"/>
  <c r="AL88" i="23"/>
  <c r="AJ88" i="23"/>
  <c r="V89" i="23"/>
  <c r="AH89" i="23" s="1"/>
  <c r="AA89" i="23"/>
  <c r="AN88" i="23"/>
  <c r="AV80" i="19"/>
  <c r="AV2" i="19"/>
  <c r="AW2" i="19" s="1"/>
  <c r="AV1" i="19"/>
  <c r="AW1" i="19" s="1"/>
  <c r="AV79" i="20"/>
  <c r="AU2" i="20"/>
  <c r="AU1" i="20"/>
  <c r="X32" i="20"/>
  <c r="U33" i="19"/>
  <c r="AC32" i="19"/>
  <c r="AE32" i="19"/>
  <c r="AG32" i="19"/>
  <c r="AV1" i="18"/>
  <c r="AV2" i="18"/>
  <c r="AU80" i="18"/>
  <c r="AV80" i="18" s="1"/>
  <c r="U33" i="18"/>
  <c r="AG32" i="18"/>
  <c r="AE32" i="18"/>
  <c r="AC32" i="18"/>
  <c r="AU85" i="16"/>
  <c r="AA32" i="16"/>
  <c r="AN31" i="16"/>
  <c r="V32" i="16"/>
  <c r="AH32" i="16" s="1"/>
  <c r="W33" i="11"/>
  <c r="X33" i="11" s="1"/>
  <c r="AE33" i="11" s="1"/>
  <c r="AU81" i="11"/>
  <c r="AE32" i="10"/>
  <c r="AG32" i="10"/>
  <c r="AF32" i="10"/>
  <c r="AC32" i="10"/>
  <c r="U33" i="10"/>
  <c r="AU86" i="10"/>
  <c r="AV86" i="10" s="1"/>
  <c r="AN88" i="24" l="1"/>
  <c r="W89" i="24"/>
  <c r="AI89" i="24" s="1"/>
  <c r="AM88" i="24"/>
  <c r="AO88" i="24" s="1"/>
  <c r="AI129" i="26"/>
  <c r="AI131" i="26"/>
  <c r="AI133" i="26"/>
  <c r="AE89" i="26"/>
  <c r="AC89" i="26"/>
  <c r="AN89" i="26" s="1"/>
  <c r="AG89" i="26"/>
  <c r="AB89" i="26"/>
  <c r="AK89" i="26" s="1"/>
  <c r="AJ129" i="25"/>
  <c r="AJ133" i="25"/>
  <c r="AJ131" i="25"/>
  <c r="AM89" i="25"/>
  <c r="AL129" i="25"/>
  <c r="AL131" i="25"/>
  <c r="AL133" i="25"/>
  <c r="AI133" i="24"/>
  <c r="AI129" i="24"/>
  <c r="AI131" i="24"/>
  <c r="X89" i="24"/>
  <c r="AH129" i="24"/>
  <c r="AH131" i="24"/>
  <c r="AH133" i="24"/>
  <c r="W89" i="23"/>
  <c r="AM88" i="23"/>
  <c r="AO88" i="23" s="1"/>
  <c r="AX124" i="19"/>
  <c r="N124" i="19" s="1"/>
  <c r="AX106" i="19"/>
  <c r="N106" i="19" s="1"/>
  <c r="AX122" i="19"/>
  <c r="N122" i="19" s="1"/>
  <c r="AX99" i="19"/>
  <c r="N99" i="19" s="1"/>
  <c r="AX93" i="19"/>
  <c r="N93" i="19" s="1"/>
  <c r="AX89" i="19"/>
  <c r="N89" i="19" s="1"/>
  <c r="P89" i="19" s="1"/>
  <c r="AX115" i="19"/>
  <c r="N115" i="19" s="1"/>
  <c r="AX113" i="19"/>
  <c r="N113" i="19" s="1"/>
  <c r="AX112" i="19"/>
  <c r="N112" i="19" s="1"/>
  <c r="AX117" i="19"/>
  <c r="N117" i="19" s="1"/>
  <c r="AX105" i="19"/>
  <c r="N105" i="19" s="1"/>
  <c r="AX108" i="19"/>
  <c r="N108" i="19" s="1"/>
  <c r="AX97" i="19"/>
  <c r="N97" i="19" s="1"/>
  <c r="AX100" i="19"/>
  <c r="N100" i="19" s="1"/>
  <c r="AX123" i="19"/>
  <c r="N123" i="19" s="1"/>
  <c r="AX119" i="19"/>
  <c r="N119" i="19" s="1"/>
  <c r="AX102" i="19"/>
  <c r="N102" i="19" s="1"/>
  <c r="AX118" i="19"/>
  <c r="N118" i="19" s="1"/>
  <c r="AX92" i="19"/>
  <c r="N92" i="19" s="1"/>
  <c r="AX103" i="19"/>
  <c r="N103" i="19" s="1"/>
  <c r="AX94" i="19"/>
  <c r="N94" i="19" s="1"/>
  <c r="AX95" i="19"/>
  <c r="N95" i="19" s="1"/>
  <c r="AX90" i="19"/>
  <c r="N90" i="19" s="1"/>
  <c r="AX91" i="19"/>
  <c r="N91" i="19" s="1"/>
  <c r="AX98" i="19"/>
  <c r="N98" i="19" s="1"/>
  <c r="AX107" i="19"/>
  <c r="N107" i="19" s="1"/>
  <c r="AX109" i="19"/>
  <c r="N109" i="19" s="1"/>
  <c r="AX111" i="19"/>
  <c r="N111" i="19" s="1"/>
  <c r="AX114" i="19"/>
  <c r="N114" i="19" s="1"/>
  <c r="AX96" i="19"/>
  <c r="N96" i="19" s="1"/>
  <c r="AX121" i="19"/>
  <c r="N121" i="19" s="1"/>
  <c r="AX110" i="19"/>
  <c r="N110" i="19" s="1"/>
  <c r="AX120" i="19"/>
  <c r="N120" i="19" s="1"/>
  <c r="AX101" i="19"/>
  <c r="N101" i="19" s="1"/>
  <c r="AX116" i="19"/>
  <c r="N116" i="19" s="1"/>
  <c r="AX104" i="19"/>
  <c r="N104" i="19" s="1"/>
  <c r="AW118" i="19"/>
  <c r="O118" i="19" s="1"/>
  <c r="AW98" i="19"/>
  <c r="O98" i="19" s="1"/>
  <c r="AW99" i="19"/>
  <c r="O99" i="19" s="1"/>
  <c r="AW115" i="19"/>
  <c r="O115" i="19" s="1"/>
  <c r="AW102" i="19"/>
  <c r="O102" i="19" s="1"/>
  <c r="AW116" i="19"/>
  <c r="O116" i="19" s="1"/>
  <c r="AW104" i="19"/>
  <c r="O104" i="19" s="1"/>
  <c r="AW110" i="19"/>
  <c r="O110" i="19" s="1"/>
  <c r="AW93" i="19"/>
  <c r="O93" i="19" s="1"/>
  <c r="AW109" i="19"/>
  <c r="O109" i="19" s="1"/>
  <c r="AW111" i="19"/>
  <c r="O111" i="19" s="1"/>
  <c r="AW96" i="19"/>
  <c r="O96" i="19" s="1"/>
  <c r="AW94" i="19"/>
  <c r="O94" i="19" s="1"/>
  <c r="AW106" i="19"/>
  <c r="O106" i="19" s="1"/>
  <c r="AW107" i="19"/>
  <c r="O107" i="19" s="1"/>
  <c r="AW119" i="19"/>
  <c r="O119" i="19" s="1"/>
  <c r="AW121" i="19"/>
  <c r="O121" i="19" s="1"/>
  <c r="AW124" i="19"/>
  <c r="O124" i="19" s="1"/>
  <c r="AW122" i="19"/>
  <c r="O122" i="19" s="1"/>
  <c r="AW108" i="19"/>
  <c r="O108" i="19" s="1"/>
  <c r="AW120" i="19"/>
  <c r="O120" i="19" s="1"/>
  <c r="AW95" i="19"/>
  <c r="O95" i="19" s="1"/>
  <c r="AW91" i="19"/>
  <c r="O91" i="19" s="1"/>
  <c r="AW90" i="19"/>
  <c r="O90" i="19" s="1"/>
  <c r="AW97" i="19"/>
  <c r="O97" i="19" s="1"/>
  <c r="AW105" i="19"/>
  <c r="O105" i="19" s="1"/>
  <c r="AW100" i="19"/>
  <c r="O100" i="19" s="1"/>
  <c r="AW101" i="19"/>
  <c r="O101" i="19" s="1"/>
  <c r="AW103" i="19"/>
  <c r="O103" i="19" s="1"/>
  <c r="AW113" i="19"/>
  <c r="O113" i="19" s="1"/>
  <c r="AW117" i="19"/>
  <c r="O117" i="19" s="1"/>
  <c r="AW112" i="19"/>
  <c r="O112" i="19" s="1"/>
  <c r="AW114" i="19"/>
  <c r="O114" i="19" s="1"/>
  <c r="AW89" i="19"/>
  <c r="O89" i="19" s="1"/>
  <c r="Q89" i="19" s="1"/>
  <c r="AW123" i="19"/>
  <c r="O123" i="19" s="1"/>
  <c r="AW92" i="19"/>
  <c r="O92" i="19" s="1"/>
  <c r="AU81" i="19"/>
  <c r="AU80" i="20"/>
  <c r="AV80" i="20" s="1"/>
  <c r="AV1" i="20"/>
  <c r="AW1" i="20" s="1"/>
  <c r="AV2" i="20"/>
  <c r="AW2" i="20" s="1"/>
  <c r="AE32" i="20"/>
  <c r="AG32" i="20"/>
  <c r="U33" i="20"/>
  <c r="AC32" i="20"/>
  <c r="V33" i="19"/>
  <c r="AH33" i="19" s="1"/>
  <c r="AA33" i="19"/>
  <c r="AN32" i="19"/>
  <c r="AU81" i="18"/>
  <c r="AV81" i="18" s="1"/>
  <c r="AA33" i="18"/>
  <c r="AN32" i="18"/>
  <c r="V33" i="18"/>
  <c r="AH33" i="18" s="1"/>
  <c r="W32" i="16"/>
  <c r="X32" i="16" s="1"/>
  <c r="AV85" i="16"/>
  <c r="AG33" i="11"/>
  <c r="U34" i="11"/>
  <c r="V34" i="11" s="1"/>
  <c r="AH34" i="11" s="1"/>
  <c r="AC33" i="11"/>
  <c r="AA34" i="11" s="1"/>
  <c r="AV81" i="11"/>
  <c r="AA33" i="10"/>
  <c r="AN32" i="10"/>
  <c r="V33" i="10"/>
  <c r="AH33" i="10" s="1"/>
  <c r="AK131" i="26" l="1"/>
  <c r="AK133" i="26"/>
  <c r="AK129" i="26"/>
  <c r="AG131" i="26"/>
  <c r="AG129" i="26"/>
  <c r="AG133" i="26"/>
  <c r="AN133" i="26"/>
  <c r="AN131" i="26"/>
  <c r="AN129" i="26"/>
  <c r="AE129" i="26"/>
  <c r="AE133" i="26"/>
  <c r="AE131" i="26"/>
  <c r="AL89" i="26"/>
  <c r="AJ89" i="26"/>
  <c r="AO89" i="25"/>
  <c r="AM133" i="25"/>
  <c r="AQ4" i="25" s="1"/>
  <c r="AM129" i="25"/>
  <c r="AM131" i="25"/>
  <c r="AC89" i="24"/>
  <c r="AN89" i="24" s="1"/>
  <c r="AG89" i="24"/>
  <c r="AE89" i="24"/>
  <c r="AB89" i="24"/>
  <c r="AK89" i="24" s="1"/>
  <c r="AI89" i="23"/>
  <c r="X89" i="23"/>
  <c r="U90" i="23" s="1"/>
  <c r="V90" i="23" s="1"/>
  <c r="AH90" i="23" s="1"/>
  <c r="AV81" i="19"/>
  <c r="AU82" i="19" s="1"/>
  <c r="AX95" i="20"/>
  <c r="N95" i="20" s="1"/>
  <c r="AX124" i="20"/>
  <c r="N124" i="20" s="1"/>
  <c r="AX123" i="20"/>
  <c r="N123" i="20" s="1"/>
  <c r="AX122" i="20"/>
  <c r="N122" i="20" s="1"/>
  <c r="AX121" i="20"/>
  <c r="N121" i="20" s="1"/>
  <c r="AX120" i="20"/>
  <c r="N120" i="20" s="1"/>
  <c r="AX117" i="20"/>
  <c r="N117" i="20" s="1"/>
  <c r="AX116" i="20"/>
  <c r="N116" i="20" s="1"/>
  <c r="AX118" i="20"/>
  <c r="N118" i="20" s="1"/>
  <c r="AX115" i="20"/>
  <c r="N115" i="20" s="1"/>
  <c r="AX114" i="20"/>
  <c r="N114" i="20" s="1"/>
  <c r="AX113" i="20"/>
  <c r="N113" i="20" s="1"/>
  <c r="AX112" i="20"/>
  <c r="N112" i="20" s="1"/>
  <c r="AX109" i="20"/>
  <c r="N109" i="20" s="1"/>
  <c r="AX108" i="20"/>
  <c r="N108" i="20" s="1"/>
  <c r="AX119" i="20"/>
  <c r="N119" i="20" s="1"/>
  <c r="AX111" i="20"/>
  <c r="N111" i="20" s="1"/>
  <c r="AX107" i="20"/>
  <c r="N107" i="20" s="1"/>
  <c r="AX106" i="20"/>
  <c r="N106" i="20" s="1"/>
  <c r="AX105" i="20"/>
  <c r="N105" i="20" s="1"/>
  <c r="AX104" i="20"/>
  <c r="N104" i="20" s="1"/>
  <c r="AX101" i="20"/>
  <c r="N101" i="20" s="1"/>
  <c r="AX100" i="20"/>
  <c r="N100" i="20" s="1"/>
  <c r="AX110" i="20"/>
  <c r="N110" i="20" s="1"/>
  <c r="AX99" i="20"/>
  <c r="N99" i="20" s="1"/>
  <c r="AX98" i="20"/>
  <c r="N98" i="20" s="1"/>
  <c r="AX97" i="20"/>
  <c r="N97" i="20" s="1"/>
  <c r="AX96" i="20"/>
  <c r="N96" i="20" s="1"/>
  <c r="AX93" i="20"/>
  <c r="N93" i="20" s="1"/>
  <c r="AX92" i="20"/>
  <c r="N92" i="20" s="1"/>
  <c r="AX91" i="20"/>
  <c r="N91" i="20" s="1"/>
  <c r="AX90" i="20"/>
  <c r="N90" i="20" s="1"/>
  <c r="AX89" i="20"/>
  <c r="N89" i="20" s="1"/>
  <c r="P89" i="20" s="1"/>
  <c r="AX103" i="20"/>
  <c r="N103" i="20" s="1"/>
  <c r="AX94" i="20"/>
  <c r="N94" i="20" s="1"/>
  <c r="AX102" i="20"/>
  <c r="N102" i="20" s="1"/>
  <c r="AW92" i="20"/>
  <c r="O92" i="20" s="1"/>
  <c r="AW91" i="20"/>
  <c r="O91" i="20" s="1"/>
  <c r="AW90" i="20"/>
  <c r="O90" i="20" s="1"/>
  <c r="AW89" i="20"/>
  <c r="O89" i="20" s="1"/>
  <c r="Q89" i="20" s="1"/>
  <c r="AW119" i="20"/>
  <c r="O119" i="20" s="1"/>
  <c r="AW111" i="20"/>
  <c r="O111" i="20" s="1"/>
  <c r="AW96" i="20"/>
  <c r="O96" i="20" s="1"/>
  <c r="AW104" i="20"/>
  <c r="O104" i="20" s="1"/>
  <c r="AW117" i="20"/>
  <c r="O117" i="20" s="1"/>
  <c r="AW120" i="20"/>
  <c r="O120" i="20" s="1"/>
  <c r="AW103" i="20"/>
  <c r="O103" i="20" s="1"/>
  <c r="AW94" i="20"/>
  <c r="O94" i="20" s="1"/>
  <c r="AW112" i="20"/>
  <c r="O112" i="20" s="1"/>
  <c r="AW124" i="20"/>
  <c r="O124" i="20" s="1"/>
  <c r="AW123" i="20"/>
  <c r="O123" i="20" s="1"/>
  <c r="AW122" i="20"/>
  <c r="O122" i="20" s="1"/>
  <c r="AW121" i="20"/>
  <c r="O121" i="20" s="1"/>
  <c r="AW118" i="20"/>
  <c r="O118" i="20" s="1"/>
  <c r="AW109" i="20"/>
  <c r="O109" i="20" s="1"/>
  <c r="AW98" i="20"/>
  <c r="O98" i="20" s="1"/>
  <c r="AW116" i="20"/>
  <c r="O116" i="20" s="1"/>
  <c r="AW115" i="20"/>
  <c r="O115" i="20" s="1"/>
  <c r="AW114" i="20"/>
  <c r="O114" i="20" s="1"/>
  <c r="AW113" i="20"/>
  <c r="O113" i="20" s="1"/>
  <c r="AW110" i="20"/>
  <c r="O110" i="20" s="1"/>
  <c r="AW101" i="20"/>
  <c r="O101" i="20" s="1"/>
  <c r="AW95" i="20"/>
  <c r="O95" i="20" s="1"/>
  <c r="AW100" i="20"/>
  <c r="O100" i="20" s="1"/>
  <c r="AW97" i="20"/>
  <c r="O97" i="20" s="1"/>
  <c r="AW108" i="20"/>
  <c r="O108" i="20" s="1"/>
  <c r="AW107" i="20"/>
  <c r="O107" i="20" s="1"/>
  <c r="AW106" i="20"/>
  <c r="O106" i="20" s="1"/>
  <c r="AW105" i="20"/>
  <c r="O105" i="20" s="1"/>
  <c r="AW102" i="20"/>
  <c r="O102" i="20" s="1"/>
  <c r="AW93" i="20"/>
  <c r="O93" i="20" s="1"/>
  <c r="AW99" i="20"/>
  <c r="O99" i="20" s="1"/>
  <c r="AU81" i="20"/>
  <c r="AA33" i="20"/>
  <c r="AN32" i="20"/>
  <c r="V33" i="20"/>
  <c r="AH33" i="20" s="1"/>
  <c r="W33" i="19"/>
  <c r="AU82" i="18"/>
  <c r="W33" i="18"/>
  <c r="X33" i="18" s="1"/>
  <c r="AG32" i="16"/>
  <c r="AC32" i="16"/>
  <c r="U33" i="16"/>
  <c r="AE32" i="16"/>
  <c r="AU86" i="16"/>
  <c r="AN33" i="11"/>
  <c r="W33" i="10"/>
  <c r="X33" i="10" s="1"/>
  <c r="W34" i="11"/>
  <c r="X34" i="11" s="1"/>
  <c r="AU82" i="11"/>
  <c r="AM89" i="26" l="1"/>
  <c r="AJ133" i="26"/>
  <c r="AJ129" i="26"/>
  <c r="AJ131" i="26"/>
  <c r="AL131" i="26"/>
  <c r="AL133" i="26"/>
  <c r="AL129" i="26"/>
  <c r="AO131" i="25"/>
  <c r="AO133" i="25"/>
  <c r="AQ6" i="25" s="1"/>
  <c r="AO129" i="25"/>
  <c r="AK129" i="24"/>
  <c r="AK131" i="24"/>
  <c r="AK133" i="24"/>
  <c r="AJ89" i="24"/>
  <c r="AE129" i="24"/>
  <c r="AE133" i="24"/>
  <c r="AE131" i="24"/>
  <c r="AL89" i="24"/>
  <c r="AG129" i="24"/>
  <c r="AG133" i="24"/>
  <c r="AG131" i="24"/>
  <c r="AN129" i="24"/>
  <c r="AN131" i="24"/>
  <c r="AN133" i="24"/>
  <c r="W90" i="23"/>
  <c r="AI90" i="23" s="1"/>
  <c r="AC89" i="23"/>
  <c r="AE89" i="23"/>
  <c r="AG89" i="23"/>
  <c r="AB89" i="23"/>
  <c r="AV82" i="19"/>
  <c r="X33" i="19"/>
  <c r="U34" i="19" s="1"/>
  <c r="W33" i="20"/>
  <c r="X33" i="20" s="1"/>
  <c r="AV81" i="20"/>
  <c r="AG33" i="18"/>
  <c r="AE33" i="18"/>
  <c r="AC33" i="18"/>
  <c r="AA34" i="18" s="1"/>
  <c r="U34" i="18"/>
  <c r="V34" i="18" s="1"/>
  <c r="AH34" i="18" s="1"/>
  <c r="AV82" i="18"/>
  <c r="AU83" i="18" s="1"/>
  <c r="V33" i="16"/>
  <c r="AH33" i="16" s="1"/>
  <c r="AV86" i="16"/>
  <c r="AA33" i="16"/>
  <c r="AN32" i="16"/>
  <c r="AV82" i="11"/>
  <c r="U35" i="11"/>
  <c r="AE34" i="11"/>
  <c r="AG34" i="11"/>
  <c r="AC34" i="11"/>
  <c r="AE33" i="10"/>
  <c r="AF33" i="10"/>
  <c r="AG33" i="10"/>
  <c r="AC33" i="10"/>
  <c r="U34" i="10"/>
  <c r="AU87" i="10"/>
  <c r="AV87" i="10" s="1"/>
  <c r="AO89" i="26" l="1"/>
  <c r="AM133" i="26"/>
  <c r="AQ4" i="26" s="1"/>
  <c r="AM131" i="26"/>
  <c r="AM129" i="26"/>
  <c r="AL129" i="24"/>
  <c r="AL131" i="24"/>
  <c r="AL133" i="24"/>
  <c r="AM89" i="24"/>
  <c r="AJ133" i="24"/>
  <c r="AJ131" i="24"/>
  <c r="AJ129" i="24"/>
  <c r="X90" i="23"/>
  <c r="AB90" i="23" s="1"/>
  <c r="Z91" i="23" s="1"/>
  <c r="AK89" i="23"/>
  <c r="Z90" i="23"/>
  <c r="AN89" i="23"/>
  <c r="AA90" i="23"/>
  <c r="U91" i="23"/>
  <c r="V91" i="23" s="1"/>
  <c r="AH91" i="23" s="1"/>
  <c r="AJ89" i="23"/>
  <c r="AL89" i="23"/>
  <c r="AG33" i="19"/>
  <c r="AC33" i="19"/>
  <c r="AA34" i="19" s="1"/>
  <c r="AE33" i="19"/>
  <c r="AU83" i="19"/>
  <c r="AU82" i="20"/>
  <c r="AE33" i="20"/>
  <c r="U34" i="20"/>
  <c r="AG33" i="20"/>
  <c r="AC33" i="20"/>
  <c r="V34" i="19"/>
  <c r="AH34" i="19" s="1"/>
  <c r="AN33" i="18"/>
  <c r="AV83" i="18"/>
  <c r="W34" i="18"/>
  <c r="AU87" i="16"/>
  <c r="W33" i="16"/>
  <c r="X33" i="16" s="1"/>
  <c r="AA35" i="11"/>
  <c r="AN34" i="11"/>
  <c r="V35" i="11"/>
  <c r="AH35" i="11" s="1"/>
  <c r="AU83" i="11"/>
  <c r="AA34" i="10"/>
  <c r="AN33" i="10"/>
  <c r="V34" i="10"/>
  <c r="AH34" i="10" s="1"/>
  <c r="AU88" i="10"/>
  <c r="AV88" i="10" s="1"/>
  <c r="AO129" i="26" l="1"/>
  <c r="AO131" i="26"/>
  <c r="AO133" i="26"/>
  <c r="AQ6" i="26" s="1"/>
  <c r="AC90" i="23"/>
  <c r="AA91" i="23" s="1"/>
  <c r="AE90" i="23"/>
  <c r="AL90" i="23" s="1"/>
  <c r="AO89" i="24"/>
  <c r="AM131" i="24"/>
  <c r="AM129" i="24"/>
  <c r="AM133" i="24"/>
  <c r="AQ4" i="24" s="1"/>
  <c r="AG90" i="23"/>
  <c r="W91" i="23"/>
  <c r="AI91" i="23" s="1"/>
  <c r="AK90" i="23"/>
  <c r="AM89" i="23"/>
  <c r="AN33" i="19"/>
  <c r="AV83" i="19"/>
  <c r="AU84" i="19" s="1"/>
  <c r="AV82" i="20"/>
  <c r="AU83" i="20" s="1"/>
  <c r="V34" i="20"/>
  <c r="AH34" i="20" s="1"/>
  <c r="AA34" i="20"/>
  <c r="AN33" i="20"/>
  <c r="W34" i="19"/>
  <c r="AU84" i="18"/>
  <c r="X34" i="18"/>
  <c r="AG33" i="16"/>
  <c r="U34" i="16"/>
  <c r="AE33" i="16"/>
  <c r="AC33" i="16"/>
  <c r="AV87" i="16"/>
  <c r="AU88" i="16" s="1"/>
  <c r="W35" i="11"/>
  <c r="X35" i="11" s="1"/>
  <c r="AV83" i="11"/>
  <c r="W34" i="10"/>
  <c r="X34" i="10" s="1"/>
  <c r="AU89" i="10"/>
  <c r="AV89" i="10" s="1"/>
  <c r="AJ90" i="23" l="1"/>
  <c r="AN90" i="23"/>
  <c r="AO131" i="24"/>
  <c r="AO133" i="24"/>
  <c r="AQ6" i="24" s="1"/>
  <c r="AO129" i="24"/>
  <c r="AM90" i="23"/>
  <c r="X91" i="23"/>
  <c r="AB91" i="23" s="1"/>
  <c r="AE91" i="23"/>
  <c r="U92" i="23"/>
  <c r="V92" i="23" s="1"/>
  <c r="AH92" i="23" s="1"/>
  <c r="AG91" i="23"/>
  <c r="AC91" i="23"/>
  <c r="AO89" i="23"/>
  <c r="AV84" i="19"/>
  <c r="AU85" i="19" s="1"/>
  <c r="X34" i="19"/>
  <c r="AG34" i="19" s="1"/>
  <c r="AV83" i="20"/>
  <c r="AU84" i="20" s="1"/>
  <c r="W34" i="20"/>
  <c r="AV84" i="18"/>
  <c r="AU85" i="18" s="1"/>
  <c r="AE34" i="18"/>
  <c r="U35" i="18"/>
  <c r="AG34" i="18"/>
  <c r="AC34" i="18"/>
  <c r="AA34" i="16"/>
  <c r="AN33" i="16"/>
  <c r="V34" i="16"/>
  <c r="AH34" i="16" s="1"/>
  <c r="AV88" i="16"/>
  <c r="U36" i="11"/>
  <c r="AE35" i="11"/>
  <c r="AG35" i="11"/>
  <c r="AC35" i="11"/>
  <c r="AU84" i="11"/>
  <c r="AE34" i="10"/>
  <c r="AG34" i="10"/>
  <c r="AF34" i="10"/>
  <c r="AC34" i="10"/>
  <c r="U35" i="10"/>
  <c r="AU90" i="10"/>
  <c r="AV90" i="10" s="1"/>
  <c r="AO90" i="23" l="1"/>
  <c r="AA92" i="23"/>
  <c r="AN91" i="23"/>
  <c r="AJ91" i="23"/>
  <c r="AL91" i="23"/>
  <c r="Z92" i="23"/>
  <c r="AK91" i="23"/>
  <c r="W92" i="23"/>
  <c r="AI92" i="23" s="1"/>
  <c r="AC34" i="19"/>
  <c r="AN34" i="19" s="1"/>
  <c r="AE34" i="19"/>
  <c r="U35" i="19"/>
  <c r="V35" i="19" s="1"/>
  <c r="AH35" i="19" s="1"/>
  <c r="AV85" i="19"/>
  <c r="AU86" i="19" s="1"/>
  <c r="AV84" i="20"/>
  <c r="AU85" i="20" s="1"/>
  <c r="AV85" i="20" s="1"/>
  <c r="X34" i="20"/>
  <c r="AV85" i="18"/>
  <c r="AU86" i="18" s="1"/>
  <c r="AA35" i="18"/>
  <c r="AN34" i="18"/>
  <c r="V35" i="18"/>
  <c r="AH35" i="18" s="1"/>
  <c r="AU89" i="16"/>
  <c r="W34" i="16"/>
  <c r="X34" i="16" s="1"/>
  <c r="AA36" i="11"/>
  <c r="AN35" i="11"/>
  <c r="AV84" i="11"/>
  <c r="V36" i="11"/>
  <c r="AH36" i="11" s="1"/>
  <c r="AA35" i="10"/>
  <c r="AN34" i="10"/>
  <c r="V35" i="10"/>
  <c r="AH35" i="10" s="1"/>
  <c r="AU91" i="10"/>
  <c r="AV91" i="10" s="1"/>
  <c r="AM91" i="23" l="1"/>
  <c r="X92" i="23"/>
  <c r="AA35" i="19"/>
  <c r="AV86" i="19"/>
  <c r="AU87" i="19" s="1"/>
  <c r="AU86" i="20"/>
  <c r="AV86" i="20" s="1"/>
  <c r="AG34" i="20"/>
  <c r="AE34" i="20"/>
  <c r="U35" i="20"/>
  <c r="AC34" i="20"/>
  <c r="W35" i="19"/>
  <c r="AV86" i="18"/>
  <c r="AU87" i="18" s="1"/>
  <c r="AV87" i="18" s="1"/>
  <c r="W35" i="18"/>
  <c r="AV89" i="16"/>
  <c r="AU90" i="16" s="1"/>
  <c r="AG34" i="16"/>
  <c r="U35" i="16"/>
  <c r="AE34" i="16"/>
  <c r="AC34" i="16"/>
  <c r="W36" i="11"/>
  <c r="X36" i="11" s="1"/>
  <c r="AG36" i="11" s="1"/>
  <c r="AU85" i="11"/>
  <c r="W35" i="10"/>
  <c r="X35" i="10" s="1"/>
  <c r="AU92" i="10"/>
  <c r="AV92" i="10" s="1"/>
  <c r="AG92" i="23" l="1"/>
  <c r="U93" i="23"/>
  <c r="AE92" i="23"/>
  <c r="AC92" i="23"/>
  <c r="AB92" i="23"/>
  <c r="AO91" i="23"/>
  <c r="AV87" i="19"/>
  <c r="AU88" i="19" s="1"/>
  <c r="AU87" i="20"/>
  <c r="AV87" i="20" s="1"/>
  <c r="AA35" i="20"/>
  <c r="AN34" i="20"/>
  <c r="V35" i="20"/>
  <c r="AH35" i="20" s="1"/>
  <c r="X35" i="19"/>
  <c r="AU88" i="18"/>
  <c r="AV88" i="18" s="1"/>
  <c r="X35" i="18"/>
  <c r="AV90" i="16"/>
  <c r="AU91" i="16" s="1"/>
  <c r="V35" i="16"/>
  <c r="AH35" i="16" s="1"/>
  <c r="AA35" i="16"/>
  <c r="AN34" i="16"/>
  <c r="AC36" i="11"/>
  <c r="AA37" i="11" s="1"/>
  <c r="U37" i="11"/>
  <c r="V37" i="11" s="1"/>
  <c r="AH37" i="11" s="1"/>
  <c r="AE36" i="11"/>
  <c r="AV85" i="11"/>
  <c r="AU86" i="11" s="1"/>
  <c r="AF35" i="10"/>
  <c r="AG35" i="10"/>
  <c r="AE35" i="10"/>
  <c r="AC35" i="10"/>
  <c r="U36" i="10"/>
  <c r="AU93" i="10"/>
  <c r="AV93" i="10" s="1"/>
  <c r="AA93" i="23" l="1"/>
  <c r="AN92" i="23"/>
  <c r="AJ92" i="23"/>
  <c r="AL92" i="23"/>
  <c r="Z93" i="23"/>
  <c r="AK92" i="23"/>
  <c r="V93" i="23"/>
  <c r="AH93" i="23" s="1"/>
  <c r="AV88" i="19"/>
  <c r="AU89" i="19" s="1"/>
  <c r="AV89" i="19" s="1"/>
  <c r="AU88" i="20"/>
  <c r="AV88" i="20" s="1"/>
  <c r="W35" i="20"/>
  <c r="AG35" i="19"/>
  <c r="U36" i="19"/>
  <c r="AE35" i="19"/>
  <c r="AC35" i="19"/>
  <c r="AU89" i="18"/>
  <c r="AG35" i="18"/>
  <c r="AE35" i="18"/>
  <c r="AC35" i="18"/>
  <c r="U36" i="18"/>
  <c r="AV91" i="16"/>
  <c r="AU92" i="16" s="1"/>
  <c r="W35" i="16"/>
  <c r="X35" i="16" s="1"/>
  <c r="AN36" i="11"/>
  <c r="W37" i="11"/>
  <c r="X37" i="11" s="1"/>
  <c r="U38" i="11" s="1"/>
  <c r="AV86" i="11"/>
  <c r="AA36" i="10"/>
  <c r="AN35" i="10"/>
  <c r="V36" i="10"/>
  <c r="AH36" i="10" s="1"/>
  <c r="AU94" i="10"/>
  <c r="AV94" i="10" s="1"/>
  <c r="W93" i="23" l="1"/>
  <c r="AI93" i="23" s="1"/>
  <c r="X93" i="23"/>
  <c r="AM92" i="23"/>
  <c r="AV89" i="18"/>
  <c r="AU90" i="18" s="1"/>
  <c r="AX88" i="19"/>
  <c r="N88" i="19" s="1"/>
  <c r="P88" i="19" s="1"/>
  <c r="AW88" i="19"/>
  <c r="O88" i="19" s="1"/>
  <c r="Q88" i="19" s="1"/>
  <c r="AX7" i="19"/>
  <c r="N7" i="19" s="1"/>
  <c r="P7" i="19" s="1"/>
  <c r="AI7" i="19" s="1"/>
  <c r="AJ7" i="19" s="1"/>
  <c r="AX56" i="19"/>
  <c r="N56" i="19" s="1"/>
  <c r="P56" i="19" s="1"/>
  <c r="AW77" i="19"/>
  <c r="O77" i="19" s="1"/>
  <c r="Q77" i="19" s="1"/>
  <c r="AX24" i="19"/>
  <c r="N24" i="19" s="1"/>
  <c r="P24" i="19" s="1"/>
  <c r="AI24" i="19" s="1"/>
  <c r="AJ24" i="19" s="1"/>
  <c r="AX59" i="19"/>
  <c r="N59" i="19" s="1"/>
  <c r="P59" i="19" s="1"/>
  <c r="AW31" i="19"/>
  <c r="O31" i="19" s="1"/>
  <c r="Q31" i="19" s="1"/>
  <c r="AB31" i="19" s="1"/>
  <c r="Z32" i="19" s="1"/>
  <c r="AW37" i="19"/>
  <c r="O37" i="19" s="1"/>
  <c r="Q37" i="19" s="1"/>
  <c r="AW60" i="19"/>
  <c r="O60" i="19" s="1"/>
  <c r="Q60" i="19" s="1"/>
  <c r="AW32" i="19"/>
  <c r="O32" i="19" s="1"/>
  <c r="Q32" i="19" s="1"/>
  <c r="AB32" i="19" s="1"/>
  <c r="Z33" i="19" s="1"/>
  <c r="AX15" i="19"/>
  <c r="N15" i="19" s="1"/>
  <c r="P15" i="19" s="1"/>
  <c r="AI15" i="19" s="1"/>
  <c r="AJ15" i="19" s="1"/>
  <c r="AX49" i="19"/>
  <c r="N49" i="19" s="1"/>
  <c r="P49" i="19" s="1"/>
  <c r="AW39" i="19"/>
  <c r="O39" i="19" s="1"/>
  <c r="Q39" i="19" s="1"/>
  <c r="AX33" i="19"/>
  <c r="N33" i="19" s="1"/>
  <c r="P33" i="19" s="1"/>
  <c r="AI33" i="19" s="1"/>
  <c r="AJ33" i="19" s="1"/>
  <c r="AW30" i="19"/>
  <c r="O30" i="19" s="1"/>
  <c r="Q30" i="19" s="1"/>
  <c r="AB30" i="19" s="1"/>
  <c r="Z31" i="19" s="1"/>
  <c r="AW34" i="19"/>
  <c r="O34" i="19" s="1"/>
  <c r="Q34" i="19" s="1"/>
  <c r="AB34" i="19" s="1"/>
  <c r="Z35" i="19" s="1"/>
  <c r="AL35" i="19" s="1"/>
  <c r="AW47" i="19"/>
  <c r="O47" i="19" s="1"/>
  <c r="Q47" i="19" s="1"/>
  <c r="AW12" i="19"/>
  <c r="O12" i="19" s="1"/>
  <c r="Q12" i="19" s="1"/>
  <c r="AB12" i="19" s="1"/>
  <c r="Z13" i="19" s="1"/>
  <c r="AW26" i="19"/>
  <c r="O26" i="19" s="1"/>
  <c r="Q26" i="19" s="1"/>
  <c r="AB26" i="19" s="1"/>
  <c r="Z27" i="19" s="1"/>
  <c r="AX63" i="19"/>
  <c r="N63" i="19" s="1"/>
  <c r="P63" i="19" s="1"/>
  <c r="AW18" i="19"/>
  <c r="O18" i="19" s="1"/>
  <c r="Q18" i="19" s="1"/>
  <c r="AB18" i="19" s="1"/>
  <c r="Z19" i="19" s="1"/>
  <c r="AX57" i="19"/>
  <c r="N57" i="19" s="1"/>
  <c r="P57" i="19" s="1"/>
  <c r="AX4" i="19"/>
  <c r="N4" i="19" s="1"/>
  <c r="P4" i="19" s="1"/>
  <c r="AW44" i="19"/>
  <c r="O44" i="19" s="1"/>
  <c r="Q44" i="19" s="1"/>
  <c r="AX41" i="19"/>
  <c r="N41" i="19" s="1"/>
  <c r="P41" i="19" s="1"/>
  <c r="AW55" i="19"/>
  <c r="O55" i="19" s="1"/>
  <c r="Q55" i="19" s="1"/>
  <c r="AW17" i="19"/>
  <c r="O17" i="19" s="1"/>
  <c r="Q17" i="19" s="1"/>
  <c r="AB17" i="19" s="1"/>
  <c r="Z18" i="19" s="1"/>
  <c r="AX36" i="19"/>
  <c r="N36" i="19" s="1"/>
  <c r="P36" i="19" s="1"/>
  <c r="AX6" i="19"/>
  <c r="N6" i="19" s="1"/>
  <c r="P6" i="19" s="1"/>
  <c r="AI6" i="19" s="1"/>
  <c r="AJ6" i="19" s="1"/>
  <c r="AX68" i="19"/>
  <c r="N68" i="19" s="1"/>
  <c r="P68" i="19" s="1"/>
  <c r="AX19" i="19"/>
  <c r="N19" i="19" s="1"/>
  <c r="P19" i="19" s="1"/>
  <c r="AI19" i="19" s="1"/>
  <c r="AJ19" i="19" s="1"/>
  <c r="AW28" i="19"/>
  <c r="O28" i="19" s="1"/>
  <c r="Q28" i="19" s="1"/>
  <c r="AB28" i="19" s="1"/>
  <c r="Z29" i="19" s="1"/>
  <c r="AX21" i="19"/>
  <c r="N21" i="19" s="1"/>
  <c r="P21" i="19" s="1"/>
  <c r="AI21" i="19" s="1"/>
  <c r="AJ21" i="19" s="1"/>
  <c r="AW73" i="19"/>
  <c r="O73" i="19" s="1"/>
  <c r="Q73" i="19" s="1"/>
  <c r="AW13" i="19"/>
  <c r="O13" i="19" s="1"/>
  <c r="Q13" i="19" s="1"/>
  <c r="AB13" i="19" s="1"/>
  <c r="Z14" i="19" s="1"/>
  <c r="AW6" i="19"/>
  <c r="O6" i="19" s="1"/>
  <c r="Q6" i="19" s="1"/>
  <c r="AB6" i="19" s="1"/>
  <c r="Z7" i="19" s="1"/>
  <c r="AX53" i="19"/>
  <c r="N53" i="19" s="1"/>
  <c r="P53" i="19" s="1"/>
  <c r="AW9" i="19"/>
  <c r="O9" i="19" s="1"/>
  <c r="Q9" i="19" s="1"/>
  <c r="AB9" i="19" s="1"/>
  <c r="Z10" i="19" s="1"/>
  <c r="AW46" i="19"/>
  <c r="O46" i="19" s="1"/>
  <c r="Q46" i="19" s="1"/>
  <c r="AW35" i="19"/>
  <c r="O35" i="19" s="1"/>
  <c r="Q35" i="19" s="1"/>
  <c r="AB35" i="19" s="1"/>
  <c r="Z36" i="19" s="1"/>
  <c r="AX12" i="19"/>
  <c r="N12" i="19" s="1"/>
  <c r="P12" i="19" s="1"/>
  <c r="AI12" i="19" s="1"/>
  <c r="AJ12" i="19" s="1"/>
  <c r="AX61" i="19"/>
  <c r="N61" i="19" s="1"/>
  <c r="P61" i="19" s="1"/>
  <c r="AX54" i="19"/>
  <c r="N54" i="19" s="1"/>
  <c r="P54" i="19" s="1"/>
  <c r="AX17" i="19"/>
  <c r="N17" i="19" s="1"/>
  <c r="P17" i="19" s="1"/>
  <c r="AI17" i="19" s="1"/>
  <c r="AJ17" i="19" s="1"/>
  <c r="AW58" i="19"/>
  <c r="O58" i="19" s="1"/>
  <c r="Q58" i="19" s="1"/>
  <c r="AX69" i="19"/>
  <c r="N69" i="19" s="1"/>
  <c r="P69" i="19" s="1"/>
  <c r="AX74" i="19"/>
  <c r="N74" i="19" s="1"/>
  <c r="P74" i="19" s="1"/>
  <c r="AW43" i="19"/>
  <c r="O43" i="19" s="1"/>
  <c r="Q43" i="19" s="1"/>
  <c r="AX39" i="19"/>
  <c r="N39" i="19" s="1"/>
  <c r="P39" i="19" s="1"/>
  <c r="AW5" i="19"/>
  <c r="O5" i="19" s="1"/>
  <c r="Q5" i="19" s="1"/>
  <c r="AB5" i="19" s="1"/>
  <c r="Z6" i="19" s="1"/>
  <c r="AX62" i="19"/>
  <c r="N62" i="19" s="1"/>
  <c r="P62" i="19" s="1"/>
  <c r="AX46" i="19"/>
  <c r="N46" i="19" s="1"/>
  <c r="P46" i="19" s="1"/>
  <c r="AX43" i="19"/>
  <c r="N43" i="19" s="1"/>
  <c r="P43" i="19" s="1"/>
  <c r="AX72" i="19"/>
  <c r="N72" i="19" s="1"/>
  <c r="P72" i="19" s="1"/>
  <c r="AX73" i="19"/>
  <c r="N73" i="19" s="1"/>
  <c r="P73" i="19" s="1"/>
  <c r="AX66" i="19"/>
  <c r="N66" i="19" s="1"/>
  <c r="P66" i="19" s="1"/>
  <c r="AW14" i="19"/>
  <c r="O14" i="19" s="1"/>
  <c r="Q14" i="19" s="1"/>
  <c r="AB14" i="19" s="1"/>
  <c r="Z15" i="19" s="1"/>
  <c r="AX5" i="19"/>
  <c r="N5" i="19" s="1"/>
  <c r="P5" i="19" s="1"/>
  <c r="AI5" i="19" s="1"/>
  <c r="AJ5" i="19" s="1"/>
  <c r="AX77" i="19"/>
  <c r="N77" i="19" s="1"/>
  <c r="P77" i="19" s="1"/>
  <c r="AW36" i="19"/>
  <c r="O36" i="19" s="1"/>
  <c r="Q36" i="19" s="1"/>
  <c r="AX10" i="19"/>
  <c r="N10" i="19" s="1"/>
  <c r="P10" i="19" s="1"/>
  <c r="AI10" i="19" s="1"/>
  <c r="AJ10" i="19" s="1"/>
  <c r="AW70" i="19"/>
  <c r="O70" i="19" s="1"/>
  <c r="Q70" i="19" s="1"/>
  <c r="AX67" i="19"/>
  <c r="N67" i="19" s="1"/>
  <c r="P67" i="19" s="1"/>
  <c r="AX76" i="19"/>
  <c r="N76" i="19" s="1"/>
  <c r="P76" i="19" s="1"/>
  <c r="AX50" i="19"/>
  <c r="N50" i="19" s="1"/>
  <c r="P50" i="19" s="1"/>
  <c r="AX60" i="19"/>
  <c r="N60" i="19" s="1"/>
  <c r="P60" i="19" s="1"/>
  <c r="AX22" i="19"/>
  <c r="N22" i="19" s="1"/>
  <c r="P22" i="19" s="1"/>
  <c r="AI22" i="19" s="1"/>
  <c r="AJ22" i="19" s="1"/>
  <c r="AW61" i="19"/>
  <c r="O61" i="19" s="1"/>
  <c r="Q61" i="19" s="1"/>
  <c r="AX47" i="19"/>
  <c r="N47" i="19" s="1"/>
  <c r="P47" i="19" s="1"/>
  <c r="AW53" i="19"/>
  <c r="O53" i="19" s="1"/>
  <c r="Q53" i="19" s="1"/>
  <c r="AW56" i="19"/>
  <c r="O56" i="19" s="1"/>
  <c r="Q56" i="19" s="1"/>
  <c r="AW20" i="19"/>
  <c r="O20" i="19" s="1"/>
  <c r="Q20" i="19" s="1"/>
  <c r="AB20" i="19" s="1"/>
  <c r="Z21" i="19" s="1"/>
  <c r="AW66" i="19"/>
  <c r="O66" i="19" s="1"/>
  <c r="Q66" i="19" s="1"/>
  <c r="AW74" i="19"/>
  <c r="O74" i="19" s="1"/>
  <c r="Q74" i="19" s="1"/>
  <c r="AW24" i="19"/>
  <c r="O24" i="19" s="1"/>
  <c r="Q24" i="19" s="1"/>
  <c r="AB24" i="19" s="1"/>
  <c r="Z25" i="19" s="1"/>
  <c r="AW48" i="19"/>
  <c r="O48" i="19" s="1"/>
  <c r="Q48" i="19" s="1"/>
  <c r="AW15" i="19"/>
  <c r="O15" i="19" s="1"/>
  <c r="Q15" i="19" s="1"/>
  <c r="AB15" i="19" s="1"/>
  <c r="Z16" i="19" s="1"/>
  <c r="AW71" i="19"/>
  <c r="O71" i="19" s="1"/>
  <c r="Q71" i="19" s="1"/>
  <c r="AX71" i="19"/>
  <c r="N71" i="19" s="1"/>
  <c r="P71" i="19" s="1"/>
  <c r="AX23" i="19"/>
  <c r="N23" i="19" s="1"/>
  <c r="P23" i="19" s="1"/>
  <c r="AI23" i="19" s="1"/>
  <c r="AJ23" i="19" s="1"/>
  <c r="AX58" i="19"/>
  <c r="N58" i="19" s="1"/>
  <c r="P58" i="19" s="1"/>
  <c r="AX65" i="19"/>
  <c r="N65" i="19" s="1"/>
  <c r="P65" i="19" s="1"/>
  <c r="AX34" i="19"/>
  <c r="N34" i="19" s="1"/>
  <c r="P34" i="19" s="1"/>
  <c r="AI34" i="19" s="1"/>
  <c r="AJ34" i="19" s="1"/>
  <c r="AW7" i="19"/>
  <c r="O7" i="19" s="1"/>
  <c r="Q7" i="19" s="1"/>
  <c r="AB7" i="19" s="1"/>
  <c r="Z8" i="19" s="1"/>
  <c r="AW4" i="19"/>
  <c r="O4" i="19" s="1"/>
  <c r="Q4" i="19" s="1"/>
  <c r="AB4" i="19" s="1"/>
  <c r="AW52" i="19"/>
  <c r="O52" i="19" s="1"/>
  <c r="Q52" i="19" s="1"/>
  <c r="AX44" i="19"/>
  <c r="N44" i="19" s="1"/>
  <c r="P44" i="19" s="1"/>
  <c r="AW21" i="19"/>
  <c r="O21" i="19" s="1"/>
  <c r="Q21" i="19" s="1"/>
  <c r="AB21" i="19" s="1"/>
  <c r="Z22" i="19" s="1"/>
  <c r="AX42" i="19"/>
  <c r="N42" i="19" s="1"/>
  <c r="P42" i="19" s="1"/>
  <c r="AW45" i="19"/>
  <c r="O45" i="19" s="1"/>
  <c r="Q45" i="19" s="1"/>
  <c r="AX30" i="19"/>
  <c r="N30" i="19" s="1"/>
  <c r="P30" i="19" s="1"/>
  <c r="AI30" i="19" s="1"/>
  <c r="AJ30" i="19" s="1"/>
  <c r="AW65" i="19"/>
  <c r="O65" i="19" s="1"/>
  <c r="Q65" i="19" s="1"/>
  <c r="AX26" i="19"/>
  <c r="N26" i="19" s="1"/>
  <c r="P26" i="19" s="1"/>
  <c r="AI26" i="19" s="1"/>
  <c r="AJ26" i="19" s="1"/>
  <c r="AX13" i="19"/>
  <c r="N13" i="19" s="1"/>
  <c r="P13" i="19" s="1"/>
  <c r="AI13" i="19" s="1"/>
  <c r="AJ13" i="19" s="1"/>
  <c r="AW19" i="19"/>
  <c r="O19" i="19" s="1"/>
  <c r="Q19" i="19" s="1"/>
  <c r="AB19" i="19" s="1"/>
  <c r="Z20" i="19" s="1"/>
  <c r="AW49" i="19"/>
  <c r="O49" i="19" s="1"/>
  <c r="Q49" i="19" s="1"/>
  <c r="AW63" i="19"/>
  <c r="O63" i="19" s="1"/>
  <c r="Q63" i="19" s="1"/>
  <c r="AW69" i="19"/>
  <c r="O69" i="19" s="1"/>
  <c r="Q69" i="19" s="1"/>
  <c r="AW40" i="19"/>
  <c r="O40" i="19" s="1"/>
  <c r="Q40" i="19" s="1"/>
  <c r="AW23" i="19"/>
  <c r="O23" i="19" s="1"/>
  <c r="Q23" i="19" s="1"/>
  <c r="AB23" i="19" s="1"/>
  <c r="Z24" i="19" s="1"/>
  <c r="AX32" i="19"/>
  <c r="N32" i="19" s="1"/>
  <c r="P32" i="19" s="1"/>
  <c r="AI32" i="19" s="1"/>
  <c r="AJ32" i="19" s="1"/>
  <c r="AW57" i="19"/>
  <c r="O57" i="19" s="1"/>
  <c r="Q57" i="19" s="1"/>
  <c r="AW22" i="19"/>
  <c r="O22" i="19" s="1"/>
  <c r="Q22" i="19" s="1"/>
  <c r="AB22" i="19" s="1"/>
  <c r="Z23" i="19" s="1"/>
  <c r="AW41" i="19"/>
  <c r="O41" i="19" s="1"/>
  <c r="Q41" i="19" s="1"/>
  <c r="AX40" i="19"/>
  <c r="N40" i="19" s="1"/>
  <c r="P40" i="19" s="1"/>
  <c r="AW72" i="19"/>
  <c r="O72" i="19" s="1"/>
  <c r="Q72" i="19" s="1"/>
  <c r="AW16" i="19"/>
  <c r="O16" i="19" s="1"/>
  <c r="Q16" i="19" s="1"/>
  <c r="AB16" i="19" s="1"/>
  <c r="Z17" i="19" s="1"/>
  <c r="AW42" i="19"/>
  <c r="O42" i="19" s="1"/>
  <c r="Q42" i="19" s="1"/>
  <c r="AX70" i="19"/>
  <c r="N70" i="19" s="1"/>
  <c r="P70" i="19" s="1"/>
  <c r="AX20" i="19"/>
  <c r="N20" i="19" s="1"/>
  <c r="P20" i="19" s="1"/>
  <c r="AI20" i="19" s="1"/>
  <c r="AJ20" i="19" s="1"/>
  <c r="AX55" i="19"/>
  <c r="N55" i="19" s="1"/>
  <c r="P55" i="19" s="1"/>
  <c r="AW62" i="19"/>
  <c r="O62" i="19" s="1"/>
  <c r="Q62" i="19" s="1"/>
  <c r="AW68" i="19"/>
  <c r="O68" i="19" s="1"/>
  <c r="Q68" i="19" s="1"/>
  <c r="AX48" i="19"/>
  <c r="N48" i="19" s="1"/>
  <c r="P48" i="19" s="1"/>
  <c r="AX29" i="19"/>
  <c r="N29" i="19" s="1"/>
  <c r="P29" i="19" s="1"/>
  <c r="AI29" i="19" s="1"/>
  <c r="AJ29" i="19" s="1"/>
  <c r="AW75" i="19"/>
  <c r="O75" i="19" s="1"/>
  <c r="Q75" i="19" s="1"/>
  <c r="AX14" i="19"/>
  <c r="N14" i="19" s="1"/>
  <c r="P14" i="19" s="1"/>
  <c r="AI14" i="19" s="1"/>
  <c r="AJ14" i="19" s="1"/>
  <c r="AW54" i="19"/>
  <c r="O54" i="19" s="1"/>
  <c r="Q54" i="19" s="1"/>
  <c r="AX11" i="19"/>
  <c r="N11" i="19" s="1"/>
  <c r="P11" i="19" s="1"/>
  <c r="AI11" i="19" s="1"/>
  <c r="AJ11" i="19" s="1"/>
  <c r="AW50" i="19"/>
  <c r="O50" i="19" s="1"/>
  <c r="Q50" i="19" s="1"/>
  <c r="AW51" i="19"/>
  <c r="O51" i="19" s="1"/>
  <c r="Q51" i="19" s="1"/>
  <c r="AW59" i="19"/>
  <c r="O59" i="19" s="1"/>
  <c r="Q59" i="19" s="1"/>
  <c r="AW76" i="19"/>
  <c r="O76" i="19" s="1"/>
  <c r="Q76" i="19" s="1"/>
  <c r="AX75" i="19"/>
  <c r="N75" i="19" s="1"/>
  <c r="P75" i="19" s="1"/>
  <c r="AX64" i="19"/>
  <c r="N64" i="19" s="1"/>
  <c r="P64" i="19" s="1"/>
  <c r="AX16" i="19"/>
  <c r="N16" i="19" s="1"/>
  <c r="P16" i="19" s="1"/>
  <c r="AI16" i="19" s="1"/>
  <c r="AJ16" i="19" s="1"/>
  <c r="AW11" i="19"/>
  <c r="O11" i="19" s="1"/>
  <c r="Q11" i="19" s="1"/>
  <c r="AB11" i="19" s="1"/>
  <c r="Z12" i="19" s="1"/>
  <c r="AX51" i="19"/>
  <c r="N51" i="19" s="1"/>
  <c r="P51" i="19" s="1"/>
  <c r="AW27" i="19"/>
  <c r="O27" i="19" s="1"/>
  <c r="Q27" i="19" s="1"/>
  <c r="AB27" i="19" s="1"/>
  <c r="Z28" i="19" s="1"/>
  <c r="AX35" i="19"/>
  <c r="N35" i="19" s="1"/>
  <c r="P35" i="19" s="1"/>
  <c r="AI35" i="19" s="1"/>
  <c r="AJ35" i="19" s="1"/>
  <c r="AW25" i="19"/>
  <c r="O25" i="19" s="1"/>
  <c r="Q25" i="19" s="1"/>
  <c r="AB25" i="19" s="1"/>
  <c r="Z26" i="19" s="1"/>
  <c r="AW64" i="19"/>
  <c r="O64" i="19" s="1"/>
  <c r="Q64" i="19" s="1"/>
  <c r="AX38" i="19"/>
  <c r="N38" i="19" s="1"/>
  <c r="P38" i="19" s="1"/>
  <c r="AW33" i="19"/>
  <c r="O33" i="19" s="1"/>
  <c r="Q33" i="19" s="1"/>
  <c r="AB33" i="19" s="1"/>
  <c r="Z34" i="19" s="1"/>
  <c r="AX31" i="19"/>
  <c r="N31" i="19" s="1"/>
  <c r="P31" i="19" s="1"/>
  <c r="AI31" i="19" s="1"/>
  <c r="AJ31" i="19" s="1"/>
  <c r="AX45" i="19"/>
  <c r="N45" i="19" s="1"/>
  <c r="P45" i="19" s="1"/>
  <c r="AX9" i="19"/>
  <c r="N9" i="19" s="1"/>
  <c r="P9" i="19" s="1"/>
  <c r="AI9" i="19" s="1"/>
  <c r="AJ9" i="19" s="1"/>
  <c r="AX8" i="19"/>
  <c r="N8" i="19" s="1"/>
  <c r="P8" i="19" s="1"/>
  <c r="AI8" i="19" s="1"/>
  <c r="AJ8" i="19" s="1"/>
  <c r="AW38" i="19"/>
  <c r="O38" i="19" s="1"/>
  <c r="Q38" i="19" s="1"/>
  <c r="AX28" i="19"/>
  <c r="N28" i="19" s="1"/>
  <c r="P28" i="19" s="1"/>
  <c r="AI28" i="19" s="1"/>
  <c r="AJ28" i="19" s="1"/>
  <c r="AX37" i="19"/>
  <c r="N37" i="19" s="1"/>
  <c r="P37" i="19" s="1"/>
  <c r="AX25" i="19"/>
  <c r="N25" i="19" s="1"/>
  <c r="P25" i="19" s="1"/>
  <c r="AI25" i="19" s="1"/>
  <c r="AJ25" i="19" s="1"/>
  <c r="AX52" i="19"/>
  <c r="N52" i="19" s="1"/>
  <c r="P52" i="19" s="1"/>
  <c r="AW67" i="19"/>
  <c r="O67" i="19" s="1"/>
  <c r="Q67" i="19" s="1"/>
  <c r="AW29" i="19"/>
  <c r="O29" i="19" s="1"/>
  <c r="Q29" i="19" s="1"/>
  <c r="AB29" i="19" s="1"/>
  <c r="Z30" i="19" s="1"/>
  <c r="AX27" i="19"/>
  <c r="N27" i="19" s="1"/>
  <c r="P27" i="19" s="1"/>
  <c r="AI27" i="19" s="1"/>
  <c r="AJ27" i="19" s="1"/>
  <c r="AX18" i="19"/>
  <c r="N18" i="19" s="1"/>
  <c r="P18" i="19" s="1"/>
  <c r="AI18" i="19" s="1"/>
  <c r="AJ18" i="19" s="1"/>
  <c r="AW10" i="19"/>
  <c r="O10" i="19" s="1"/>
  <c r="Q10" i="19" s="1"/>
  <c r="AB10" i="19" s="1"/>
  <c r="Z11" i="19" s="1"/>
  <c r="AW8" i="19"/>
  <c r="O8" i="19" s="1"/>
  <c r="Q8" i="19" s="1"/>
  <c r="AB8" i="19" s="1"/>
  <c r="Z9" i="19" s="1"/>
  <c r="AX84" i="19"/>
  <c r="N84" i="19" s="1"/>
  <c r="P84" i="19" s="1"/>
  <c r="AX79" i="19"/>
  <c r="N79" i="19" s="1"/>
  <c r="P79" i="19" s="1"/>
  <c r="AX80" i="19"/>
  <c r="N80" i="19" s="1"/>
  <c r="P80" i="19" s="1"/>
  <c r="AW84" i="19"/>
  <c r="O84" i="19" s="1"/>
  <c r="Q84" i="19" s="1"/>
  <c r="AW81" i="19"/>
  <c r="O81" i="19" s="1"/>
  <c r="Q81" i="19" s="1"/>
  <c r="AX81" i="19"/>
  <c r="N81" i="19" s="1"/>
  <c r="P81" i="19" s="1"/>
  <c r="AW86" i="19"/>
  <c r="O86" i="19" s="1"/>
  <c r="Q86" i="19" s="1"/>
  <c r="AX78" i="19"/>
  <c r="N78" i="19" s="1"/>
  <c r="P78" i="19" s="1"/>
  <c r="AW80" i="19"/>
  <c r="O80" i="19" s="1"/>
  <c r="Q80" i="19" s="1"/>
  <c r="AX86" i="19"/>
  <c r="N86" i="19" s="1"/>
  <c r="P86" i="19" s="1"/>
  <c r="AX82" i="19"/>
  <c r="N82" i="19" s="1"/>
  <c r="P82" i="19" s="1"/>
  <c r="AW78" i="19"/>
  <c r="O78" i="19" s="1"/>
  <c r="Q78" i="19" s="1"/>
  <c r="AW82" i="19"/>
  <c r="O82" i="19" s="1"/>
  <c r="Q82" i="19" s="1"/>
  <c r="AW79" i="19"/>
  <c r="O79" i="19" s="1"/>
  <c r="Q79" i="19" s="1"/>
  <c r="AW87" i="19"/>
  <c r="O87" i="19" s="1"/>
  <c r="Q87" i="19" s="1"/>
  <c r="AX87" i="19"/>
  <c r="N87" i="19" s="1"/>
  <c r="P87" i="19" s="1"/>
  <c r="AX85" i="19"/>
  <c r="N85" i="19" s="1"/>
  <c r="P85" i="19" s="1"/>
  <c r="AX83" i="19"/>
  <c r="N83" i="19" s="1"/>
  <c r="P83" i="19" s="1"/>
  <c r="AW83" i="19"/>
  <c r="O83" i="19" s="1"/>
  <c r="Q83" i="19" s="1"/>
  <c r="AW85" i="19"/>
  <c r="O85" i="19" s="1"/>
  <c r="Q85" i="19" s="1"/>
  <c r="AU89" i="20"/>
  <c r="AV89" i="20" s="1"/>
  <c r="AX87" i="20" s="1"/>
  <c r="N87" i="20" s="1"/>
  <c r="P87" i="20" s="1"/>
  <c r="X35" i="20"/>
  <c r="U36" i="20" s="1"/>
  <c r="AA36" i="19"/>
  <c r="AN35" i="19"/>
  <c r="V36" i="19"/>
  <c r="AH36" i="19" s="1"/>
  <c r="V36" i="18"/>
  <c r="AH36" i="18" s="1"/>
  <c r="AA36" i="18"/>
  <c r="AN35" i="18"/>
  <c r="AE35" i="16"/>
  <c r="U36" i="16"/>
  <c r="AC35" i="16"/>
  <c r="AG35" i="16"/>
  <c r="AV92" i="16"/>
  <c r="W36" i="10"/>
  <c r="X36" i="10" s="1"/>
  <c r="AG37" i="11"/>
  <c r="AC37" i="11"/>
  <c r="AA38" i="11" s="1"/>
  <c r="AE37" i="11"/>
  <c r="AU87" i="11"/>
  <c r="V38" i="11"/>
  <c r="AH38" i="11" s="1"/>
  <c r="AU95" i="10"/>
  <c r="AV95" i="10" s="1"/>
  <c r="AG93" i="23" l="1"/>
  <c r="AE93" i="23"/>
  <c r="U94" i="23"/>
  <c r="AC93" i="23"/>
  <c r="AB93" i="23"/>
  <c r="AO92" i="23"/>
  <c r="AK35" i="19"/>
  <c r="AM35" i="19" s="1"/>
  <c r="AO35" i="19" s="1"/>
  <c r="AV90" i="18"/>
  <c r="AK12" i="19"/>
  <c r="AL12" i="19"/>
  <c r="AL23" i="19"/>
  <c r="AK23" i="19"/>
  <c r="AK20" i="19"/>
  <c r="AL20" i="19"/>
  <c r="AL31" i="19"/>
  <c r="AK31" i="19"/>
  <c r="AL32" i="19"/>
  <c r="AK32" i="19"/>
  <c r="AL34" i="19"/>
  <c r="AK34" i="19"/>
  <c r="AL10" i="19"/>
  <c r="AK10" i="19"/>
  <c r="Z5" i="19"/>
  <c r="AK4" i="19"/>
  <c r="AM4" i="19" s="1"/>
  <c r="AO4" i="19" s="1"/>
  <c r="AK16" i="19"/>
  <c r="AL16" i="19"/>
  <c r="AK19" i="19"/>
  <c r="AL19" i="19"/>
  <c r="AK9" i="19"/>
  <c r="AL9" i="19"/>
  <c r="AK11" i="19"/>
  <c r="AL11" i="19"/>
  <c r="AK24" i="19"/>
  <c r="AL24" i="19"/>
  <c r="AL8" i="19"/>
  <c r="AK8" i="19"/>
  <c r="AK7" i="19"/>
  <c r="AL7" i="19"/>
  <c r="AK26" i="19"/>
  <c r="AL26" i="19"/>
  <c r="AL17" i="19"/>
  <c r="AK17" i="19"/>
  <c r="AL25" i="19"/>
  <c r="AK25" i="19"/>
  <c r="AL14" i="19"/>
  <c r="AK14" i="19"/>
  <c r="AK18" i="19"/>
  <c r="AL18" i="19"/>
  <c r="AL27" i="19"/>
  <c r="AK27" i="19"/>
  <c r="AL6" i="19"/>
  <c r="AK6" i="19"/>
  <c r="AL13" i="19"/>
  <c r="AK13" i="19"/>
  <c r="AL33" i="19"/>
  <c r="AK33" i="19"/>
  <c r="AL30" i="19"/>
  <c r="AK30" i="19"/>
  <c r="AK28" i="19"/>
  <c r="AL28" i="19"/>
  <c r="AL15" i="19"/>
  <c r="AK15" i="19"/>
  <c r="AL22" i="19"/>
  <c r="AK22" i="19"/>
  <c r="AL21" i="19"/>
  <c r="AK21" i="19"/>
  <c r="AL29" i="19"/>
  <c r="AK29" i="19"/>
  <c r="AW85" i="20"/>
  <c r="O85" i="20" s="1"/>
  <c r="Q85" i="20" s="1"/>
  <c r="AX85" i="20"/>
  <c r="N85" i="20" s="1"/>
  <c r="P85" i="20" s="1"/>
  <c r="AE35" i="20"/>
  <c r="AX84" i="20"/>
  <c r="N84" i="20" s="1"/>
  <c r="P84" i="20" s="1"/>
  <c r="AW87" i="20"/>
  <c r="O87" i="20" s="1"/>
  <c r="Q87" i="20" s="1"/>
  <c r="AC35" i="20"/>
  <c r="AA36" i="20" s="1"/>
  <c r="AW88" i="20"/>
  <c r="O88" i="20" s="1"/>
  <c r="Q88" i="20" s="1"/>
  <c r="AX88" i="20"/>
  <c r="N88" i="20" s="1"/>
  <c r="P88" i="20" s="1"/>
  <c r="AX74" i="20"/>
  <c r="N74" i="20" s="1"/>
  <c r="P74" i="20" s="1"/>
  <c r="AW76" i="20"/>
  <c r="O76" i="20" s="1"/>
  <c r="Q76" i="20" s="1"/>
  <c r="AW71" i="20"/>
  <c r="O71" i="20" s="1"/>
  <c r="Q71" i="20" s="1"/>
  <c r="AW69" i="20"/>
  <c r="O69" i="20" s="1"/>
  <c r="Q69" i="20" s="1"/>
  <c r="AX75" i="20"/>
  <c r="N75" i="20" s="1"/>
  <c r="P75" i="20" s="1"/>
  <c r="AX76" i="20"/>
  <c r="N76" i="20" s="1"/>
  <c r="P76" i="20" s="1"/>
  <c r="AW74" i="20"/>
  <c r="O74" i="20" s="1"/>
  <c r="Q74" i="20" s="1"/>
  <c r="AX72" i="20"/>
  <c r="N72" i="20" s="1"/>
  <c r="P72" i="20" s="1"/>
  <c r="AX73" i="20"/>
  <c r="N73" i="20" s="1"/>
  <c r="P73" i="20" s="1"/>
  <c r="AX71" i="20"/>
  <c r="N71" i="20" s="1"/>
  <c r="P71" i="20" s="1"/>
  <c r="AW72" i="20"/>
  <c r="O72" i="20" s="1"/>
  <c r="Q72" i="20" s="1"/>
  <c r="AX69" i="20"/>
  <c r="N69" i="20" s="1"/>
  <c r="P69" i="20" s="1"/>
  <c r="AW73" i="20"/>
  <c r="O73" i="20" s="1"/>
  <c r="Q73" i="20" s="1"/>
  <c r="AX68" i="20"/>
  <c r="N68" i="20" s="1"/>
  <c r="P68" i="20" s="1"/>
  <c r="AW75" i="20"/>
  <c r="O75" i="20" s="1"/>
  <c r="Q75" i="20" s="1"/>
  <c r="AX70" i="20"/>
  <c r="N70" i="20" s="1"/>
  <c r="P70" i="20" s="1"/>
  <c r="AW68" i="20"/>
  <c r="O68" i="20" s="1"/>
  <c r="Q68" i="20" s="1"/>
  <c r="AX6" i="20"/>
  <c r="N6" i="20" s="1"/>
  <c r="P6" i="20" s="1"/>
  <c r="AI6" i="20" s="1"/>
  <c r="AJ6" i="20" s="1"/>
  <c r="AW7" i="20"/>
  <c r="O7" i="20" s="1"/>
  <c r="Q7" i="20" s="1"/>
  <c r="AB7" i="20" s="1"/>
  <c r="Z8" i="20" s="1"/>
  <c r="AX39" i="20"/>
  <c r="N39" i="20" s="1"/>
  <c r="P39" i="20" s="1"/>
  <c r="AW6" i="20"/>
  <c r="O6" i="20" s="1"/>
  <c r="Q6" i="20" s="1"/>
  <c r="AB6" i="20" s="1"/>
  <c r="Z7" i="20" s="1"/>
  <c r="AW41" i="20"/>
  <c r="O41" i="20" s="1"/>
  <c r="Q41" i="20" s="1"/>
  <c r="AW33" i="20"/>
  <c r="O33" i="20" s="1"/>
  <c r="Q33" i="20" s="1"/>
  <c r="AB33" i="20" s="1"/>
  <c r="Z34" i="20" s="1"/>
  <c r="AX47" i="20"/>
  <c r="N47" i="20" s="1"/>
  <c r="P47" i="20" s="1"/>
  <c r="AW12" i="20"/>
  <c r="O12" i="20" s="1"/>
  <c r="Q12" i="20" s="1"/>
  <c r="AB12" i="20" s="1"/>
  <c r="Z13" i="20" s="1"/>
  <c r="AW35" i="20"/>
  <c r="O35" i="20" s="1"/>
  <c r="Q35" i="20" s="1"/>
  <c r="AB35" i="20" s="1"/>
  <c r="Z36" i="20" s="1"/>
  <c r="AW57" i="20"/>
  <c r="O57" i="20" s="1"/>
  <c r="Q57" i="20" s="1"/>
  <c r="AW70" i="20"/>
  <c r="O70" i="20" s="1"/>
  <c r="Q70" i="20" s="1"/>
  <c r="AW63" i="20"/>
  <c r="O63" i="20" s="1"/>
  <c r="Q63" i="20" s="1"/>
  <c r="AX33" i="20"/>
  <c r="N33" i="20" s="1"/>
  <c r="P33" i="20" s="1"/>
  <c r="AI33" i="20" s="1"/>
  <c r="AJ33" i="20" s="1"/>
  <c r="AX83" i="20"/>
  <c r="N83" i="20" s="1"/>
  <c r="P83" i="20" s="1"/>
  <c r="AX44" i="20"/>
  <c r="N44" i="20" s="1"/>
  <c r="P44" i="20" s="1"/>
  <c r="AX65" i="20"/>
  <c r="N65" i="20" s="1"/>
  <c r="P65" i="20" s="1"/>
  <c r="AW14" i="20"/>
  <c r="O14" i="20" s="1"/>
  <c r="Q14" i="20" s="1"/>
  <c r="AB14" i="20" s="1"/>
  <c r="Z15" i="20" s="1"/>
  <c r="AX51" i="20"/>
  <c r="N51" i="20" s="1"/>
  <c r="P51" i="20" s="1"/>
  <c r="AW15" i="20"/>
  <c r="O15" i="20" s="1"/>
  <c r="Q15" i="20" s="1"/>
  <c r="AB15" i="20" s="1"/>
  <c r="Z16" i="20" s="1"/>
  <c r="AW13" i="20"/>
  <c r="O13" i="20" s="1"/>
  <c r="Q13" i="20" s="1"/>
  <c r="AB13" i="20" s="1"/>
  <c r="Z14" i="20" s="1"/>
  <c r="AW78" i="20"/>
  <c r="O78" i="20" s="1"/>
  <c r="Q78" i="20" s="1"/>
  <c r="AX38" i="20"/>
  <c r="N38" i="20" s="1"/>
  <c r="P38" i="20" s="1"/>
  <c r="AW28" i="20"/>
  <c r="O28" i="20" s="1"/>
  <c r="Q28" i="20" s="1"/>
  <c r="AB28" i="20" s="1"/>
  <c r="Z29" i="20" s="1"/>
  <c r="AX17" i="20"/>
  <c r="N17" i="20" s="1"/>
  <c r="P17" i="20" s="1"/>
  <c r="AI17" i="20" s="1"/>
  <c r="AJ17" i="20" s="1"/>
  <c r="AW65" i="20"/>
  <c r="O65" i="20" s="1"/>
  <c r="Q65" i="20" s="1"/>
  <c r="AX18" i="20"/>
  <c r="N18" i="20" s="1"/>
  <c r="P18" i="20" s="1"/>
  <c r="AI18" i="20" s="1"/>
  <c r="AJ18" i="20" s="1"/>
  <c r="AW26" i="20"/>
  <c r="O26" i="20" s="1"/>
  <c r="Q26" i="20" s="1"/>
  <c r="AB26" i="20" s="1"/>
  <c r="Z27" i="20" s="1"/>
  <c r="AW19" i="20"/>
  <c r="O19" i="20" s="1"/>
  <c r="Q19" i="20" s="1"/>
  <c r="AB19" i="20" s="1"/>
  <c r="Z20" i="20" s="1"/>
  <c r="AW34" i="20"/>
  <c r="O34" i="20" s="1"/>
  <c r="Q34" i="20" s="1"/>
  <c r="AB34" i="20" s="1"/>
  <c r="Z35" i="20" s="1"/>
  <c r="AW56" i="20"/>
  <c r="O56" i="20" s="1"/>
  <c r="Q56" i="20" s="1"/>
  <c r="AX49" i="20"/>
  <c r="N49" i="20" s="1"/>
  <c r="P49" i="20" s="1"/>
  <c r="AX15" i="20"/>
  <c r="N15" i="20" s="1"/>
  <c r="P15" i="20" s="1"/>
  <c r="AI15" i="20" s="1"/>
  <c r="AJ15" i="20" s="1"/>
  <c r="AX42" i="20"/>
  <c r="N42" i="20" s="1"/>
  <c r="P42" i="20" s="1"/>
  <c r="AW29" i="20"/>
  <c r="O29" i="20" s="1"/>
  <c r="Q29" i="20" s="1"/>
  <c r="AB29" i="20" s="1"/>
  <c r="Z30" i="20" s="1"/>
  <c r="AX5" i="20"/>
  <c r="N5" i="20" s="1"/>
  <c r="P5" i="20" s="1"/>
  <c r="AI5" i="20" s="1"/>
  <c r="AJ5" i="20" s="1"/>
  <c r="AX8" i="20"/>
  <c r="N8" i="20" s="1"/>
  <c r="P8" i="20" s="1"/>
  <c r="AI8" i="20" s="1"/>
  <c r="AJ8" i="20" s="1"/>
  <c r="AW86" i="20"/>
  <c r="O86" i="20" s="1"/>
  <c r="Q86" i="20" s="1"/>
  <c r="AX81" i="20"/>
  <c r="N81" i="20" s="1"/>
  <c r="P81" i="20" s="1"/>
  <c r="AW62" i="20"/>
  <c r="O62" i="20" s="1"/>
  <c r="Q62" i="20" s="1"/>
  <c r="AW38" i="20"/>
  <c r="O38" i="20" s="1"/>
  <c r="Q38" i="20" s="1"/>
  <c r="AX34" i="20"/>
  <c r="N34" i="20" s="1"/>
  <c r="P34" i="20" s="1"/>
  <c r="AI34" i="20" s="1"/>
  <c r="AJ34" i="20" s="1"/>
  <c r="AW84" i="20"/>
  <c r="O84" i="20" s="1"/>
  <c r="Q84" i="20" s="1"/>
  <c r="AX37" i="20"/>
  <c r="N37" i="20" s="1"/>
  <c r="P37" i="20" s="1"/>
  <c r="AX43" i="20"/>
  <c r="N43" i="20" s="1"/>
  <c r="P43" i="20" s="1"/>
  <c r="AX58" i="20"/>
  <c r="N58" i="20" s="1"/>
  <c r="P58" i="20" s="1"/>
  <c r="AW52" i="20"/>
  <c r="O52" i="20" s="1"/>
  <c r="Q52" i="20" s="1"/>
  <c r="AW51" i="20"/>
  <c r="O51" i="20" s="1"/>
  <c r="Q51" i="20" s="1"/>
  <c r="AW40" i="20"/>
  <c r="O40" i="20" s="1"/>
  <c r="Q40" i="20" s="1"/>
  <c r="AX53" i="20"/>
  <c r="N53" i="20" s="1"/>
  <c r="P53" i="20" s="1"/>
  <c r="AW21" i="20"/>
  <c r="O21" i="20" s="1"/>
  <c r="Q21" i="20" s="1"/>
  <c r="AB21" i="20" s="1"/>
  <c r="Z22" i="20" s="1"/>
  <c r="AX54" i="20"/>
  <c r="N54" i="20" s="1"/>
  <c r="P54" i="20" s="1"/>
  <c r="AW42" i="20"/>
  <c r="O42" i="20" s="1"/>
  <c r="Q42" i="20" s="1"/>
  <c r="AW47" i="20"/>
  <c r="O47" i="20" s="1"/>
  <c r="Q47" i="20" s="1"/>
  <c r="AX12" i="20"/>
  <c r="N12" i="20" s="1"/>
  <c r="P12" i="20" s="1"/>
  <c r="AI12" i="20" s="1"/>
  <c r="AJ12" i="20" s="1"/>
  <c r="AW43" i="20"/>
  <c r="O43" i="20" s="1"/>
  <c r="Q43" i="20" s="1"/>
  <c r="AW79" i="20"/>
  <c r="O79" i="20" s="1"/>
  <c r="Q79" i="20" s="1"/>
  <c r="AW22" i="20"/>
  <c r="O22" i="20" s="1"/>
  <c r="Q22" i="20" s="1"/>
  <c r="AB22" i="20" s="1"/>
  <c r="Z23" i="20" s="1"/>
  <c r="AX27" i="20"/>
  <c r="N27" i="20" s="1"/>
  <c r="P27" i="20" s="1"/>
  <c r="AI27" i="20" s="1"/>
  <c r="AJ27" i="20" s="1"/>
  <c r="AX62" i="20"/>
  <c r="N62" i="20" s="1"/>
  <c r="P62" i="20" s="1"/>
  <c r="AX77" i="20"/>
  <c r="N77" i="20" s="1"/>
  <c r="P77" i="20" s="1"/>
  <c r="AX7" i="20"/>
  <c r="N7" i="20" s="1"/>
  <c r="P7" i="20" s="1"/>
  <c r="AI7" i="20" s="1"/>
  <c r="AJ7" i="20" s="1"/>
  <c r="AX41" i="20"/>
  <c r="N41" i="20" s="1"/>
  <c r="P41" i="20" s="1"/>
  <c r="AX59" i="20"/>
  <c r="N59" i="20" s="1"/>
  <c r="P59" i="20" s="1"/>
  <c r="AW20" i="20"/>
  <c r="O20" i="20" s="1"/>
  <c r="Q20" i="20" s="1"/>
  <c r="AB20" i="20" s="1"/>
  <c r="Z21" i="20" s="1"/>
  <c r="AX11" i="20"/>
  <c r="N11" i="20" s="1"/>
  <c r="P11" i="20" s="1"/>
  <c r="AI11" i="20" s="1"/>
  <c r="AJ11" i="20" s="1"/>
  <c r="AX82" i="20"/>
  <c r="N82" i="20" s="1"/>
  <c r="P82" i="20" s="1"/>
  <c r="AW30" i="20"/>
  <c r="O30" i="20" s="1"/>
  <c r="Q30" i="20" s="1"/>
  <c r="AB30" i="20" s="1"/>
  <c r="Z31" i="20" s="1"/>
  <c r="AW80" i="20"/>
  <c r="O80" i="20" s="1"/>
  <c r="Q80" i="20" s="1"/>
  <c r="AX40" i="20"/>
  <c r="N40" i="20" s="1"/>
  <c r="P40" i="20" s="1"/>
  <c r="AW10" i="20"/>
  <c r="O10" i="20" s="1"/>
  <c r="Q10" i="20" s="1"/>
  <c r="AB10" i="20" s="1"/>
  <c r="Z11" i="20" s="1"/>
  <c r="AW58" i="20"/>
  <c r="O58" i="20" s="1"/>
  <c r="Q58" i="20" s="1"/>
  <c r="AX14" i="20"/>
  <c r="N14" i="20" s="1"/>
  <c r="P14" i="20" s="1"/>
  <c r="AI14" i="20" s="1"/>
  <c r="AJ14" i="20" s="1"/>
  <c r="AX10" i="20"/>
  <c r="N10" i="20" s="1"/>
  <c r="P10" i="20" s="1"/>
  <c r="AI10" i="20" s="1"/>
  <c r="AJ10" i="20" s="1"/>
  <c r="AW48" i="20"/>
  <c r="O48" i="20" s="1"/>
  <c r="Q48" i="20" s="1"/>
  <c r="AW24" i="20"/>
  <c r="O24" i="20" s="1"/>
  <c r="Q24" i="20" s="1"/>
  <c r="AB24" i="20" s="1"/>
  <c r="Z25" i="20" s="1"/>
  <c r="AX24" i="20"/>
  <c r="N24" i="20" s="1"/>
  <c r="P24" i="20" s="1"/>
  <c r="AI24" i="20" s="1"/>
  <c r="AJ24" i="20" s="1"/>
  <c r="AX20" i="20"/>
  <c r="N20" i="20" s="1"/>
  <c r="P20" i="20" s="1"/>
  <c r="AI20" i="20" s="1"/>
  <c r="AJ20" i="20" s="1"/>
  <c r="AW53" i="20"/>
  <c r="O53" i="20" s="1"/>
  <c r="Q53" i="20" s="1"/>
  <c r="AW25" i="20"/>
  <c r="O25" i="20" s="1"/>
  <c r="Q25" i="20" s="1"/>
  <c r="AB25" i="20" s="1"/>
  <c r="Z26" i="20" s="1"/>
  <c r="AW17" i="20"/>
  <c r="O17" i="20" s="1"/>
  <c r="Q17" i="20" s="1"/>
  <c r="AB17" i="20" s="1"/>
  <c r="Z18" i="20" s="1"/>
  <c r="AW31" i="20"/>
  <c r="O31" i="20" s="1"/>
  <c r="Q31" i="20" s="1"/>
  <c r="AB31" i="20" s="1"/>
  <c r="Z32" i="20" s="1"/>
  <c r="AW8" i="20"/>
  <c r="O8" i="20" s="1"/>
  <c r="Q8" i="20" s="1"/>
  <c r="AB8" i="20" s="1"/>
  <c r="Z9" i="20" s="1"/>
  <c r="AX21" i="20"/>
  <c r="N21" i="20" s="1"/>
  <c r="P21" i="20" s="1"/>
  <c r="AI21" i="20" s="1"/>
  <c r="AJ21" i="20" s="1"/>
  <c r="AW46" i="20"/>
  <c r="O46" i="20" s="1"/>
  <c r="Q46" i="20" s="1"/>
  <c r="AX36" i="20"/>
  <c r="N36" i="20" s="1"/>
  <c r="P36" i="20" s="1"/>
  <c r="AW39" i="20"/>
  <c r="O39" i="20" s="1"/>
  <c r="Q39" i="20" s="1"/>
  <c r="AX16" i="20"/>
  <c r="N16" i="20" s="1"/>
  <c r="P16" i="20" s="1"/>
  <c r="AI16" i="20" s="1"/>
  <c r="AJ16" i="20" s="1"/>
  <c r="AW4" i="20"/>
  <c r="O4" i="20" s="1"/>
  <c r="Q4" i="20" s="1"/>
  <c r="AB4" i="20" s="1"/>
  <c r="AX55" i="20"/>
  <c r="N55" i="20" s="1"/>
  <c r="P55" i="20" s="1"/>
  <c r="AW45" i="20"/>
  <c r="O45" i="20" s="1"/>
  <c r="Q45" i="20" s="1"/>
  <c r="AX35" i="20"/>
  <c r="N35" i="20" s="1"/>
  <c r="P35" i="20" s="1"/>
  <c r="AI35" i="20" s="1"/>
  <c r="AX64" i="20"/>
  <c r="N64" i="20" s="1"/>
  <c r="P64" i="20" s="1"/>
  <c r="AW66" i="20"/>
  <c r="O66" i="20" s="1"/>
  <c r="Q66" i="20" s="1"/>
  <c r="AW23" i="20"/>
  <c r="O23" i="20" s="1"/>
  <c r="Q23" i="20" s="1"/>
  <c r="AB23" i="20" s="1"/>
  <c r="Z24" i="20" s="1"/>
  <c r="AW37" i="20"/>
  <c r="O37" i="20" s="1"/>
  <c r="Q37" i="20" s="1"/>
  <c r="AX57" i="20"/>
  <c r="N57" i="20" s="1"/>
  <c r="P57" i="20" s="1"/>
  <c r="AX52" i="20"/>
  <c r="N52" i="20" s="1"/>
  <c r="P52" i="20" s="1"/>
  <c r="AW67" i="20"/>
  <c r="O67" i="20" s="1"/>
  <c r="Q67" i="20" s="1"/>
  <c r="AX28" i="20"/>
  <c r="N28" i="20" s="1"/>
  <c r="P28" i="20" s="1"/>
  <c r="AI28" i="20" s="1"/>
  <c r="AJ28" i="20" s="1"/>
  <c r="AX78" i="20"/>
  <c r="N78" i="20" s="1"/>
  <c r="P78" i="20" s="1"/>
  <c r="AX80" i="20"/>
  <c r="N80" i="20" s="1"/>
  <c r="P80" i="20" s="1"/>
  <c r="AX9" i="20"/>
  <c r="N9" i="20" s="1"/>
  <c r="P9" i="20" s="1"/>
  <c r="AI9" i="20" s="1"/>
  <c r="AJ9" i="20" s="1"/>
  <c r="AX66" i="20"/>
  <c r="N66" i="20" s="1"/>
  <c r="P66" i="20" s="1"/>
  <c r="AW36" i="20"/>
  <c r="O36" i="20" s="1"/>
  <c r="Q36" i="20" s="1"/>
  <c r="AX29" i="20"/>
  <c r="N29" i="20" s="1"/>
  <c r="P29" i="20" s="1"/>
  <c r="AI29" i="20" s="1"/>
  <c r="AJ29" i="20" s="1"/>
  <c r="AX22" i="20"/>
  <c r="N22" i="20" s="1"/>
  <c r="P22" i="20" s="1"/>
  <c r="AI22" i="20" s="1"/>
  <c r="AJ22" i="20" s="1"/>
  <c r="AW81" i="20"/>
  <c r="O81" i="20" s="1"/>
  <c r="Q81" i="20" s="1"/>
  <c r="AX30" i="20"/>
  <c r="N30" i="20" s="1"/>
  <c r="P30" i="20" s="1"/>
  <c r="AI30" i="20" s="1"/>
  <c r="AJ30" i="20" s="1"/>
  <c r="AW18" i="20"/>
  <c r="O18" i="20" s="1"/>
  <c r="Q18" i="20" s="1"/>
  <c r="AB18" i="20" s="1"/>
  <c r="Z19" i="20" s="1"/>
  <c r="AX45" i="20"/>
  <c r="N45" i="20" s="1"/>
  <c r="P45" i="20" s="1"/>
  <c r="AW61" i="20"/>
  <c r="O61" i="20" s="1"/>
  <c r="Q61" i="20" s="1"/>
  <c r="AX56" i="20"/>
  <c r="N56" i="20" s="1"/>
  <c r="P56" i="20" s="1"/>
  <c r="AX31" i="20"/>
  <c r="N31" i="20" s="1"/>
  <c r="P31" i="20" s="1"/>
  <c r="AI31" i="20" s="1"/>
  <c r="AJ31" i="20" s="1"/>
  <c r="AW77" i="20"/>
  <c r="O77" i="20" s="1"/>
  <c r="Q77" i="20" s="1"/>
  <c r="AW11" i="20"/>
  <c r="O11" i="20" s="1"/>
  <c r="Q11" i="20" s="1"/>
  <c r="AB11" i="20" s="1"/>
  <c r="Z12" i="20" s="1"/>
  <c r="AX13" i="20"/>
  <c r="N13" i="20" s="1"/>
  <c r="P13" i="20" s="1"/>
  <c r="AI13" i="20" s="1"/>
  <c r="AJ13" i="20" s="1"/>
  <c r="AW5" i="20"/>
  <c r="O5" i="20" s="1"/>
  <c r="Q5" i="20" s="1"/>
  <c r="AB5" i="20" s="1"/>
  <c r="Z6" i="20" s="1"/>
  <c r="AW49" i="20"/>
  <c r="O49" i="20" s="1"/>
  <c r="Q49" i="20" s="1"/>
  <c r="AW82" i="20"/>
  <c r="O82" i="20" s="1"/>
  <c r="Q82" i="20" s="1"/>
  <c r="AX26" i="20"/>
  <c r="N26" i="20" s="1"/>
  <c r="P26" i="20" s="1"/>
  <c r="AI26" i="20" s="1"/>
  <c r="AJ26" i="20" s="1"/>
  <c r="AX67" i="20"/>
  <c r="N67" i="20" s="1"/>
  <c r="P67" i="20" s="1"/>
  <c r="AW64" i="20"/>
  <c r="O64" i="20" s="1"/>
  <c r="Q64" i="20" s="1"/>
  <c r="AW60" i="20"/>
  <c r="O60" i="20" s="1"/>
  <c r="Q60" i="20" s="1"/>
  <c r="AX79" i="20"/>
  <c r="N79" i="20" s="1"/>
  <c r="P79" i="20" s="1"/>
  <c r="AW27" i="20"/>
  <c r="O27" i="20" s="1"/>
  <c r="Q27" i="20" s="1"/>
  <c r="AB27" i="20" s="1"/>
  <c r="Z28" i="20" s="1"/>
  <c r="AW55" i="20"/>
  <c r="O55" i="20" s="1"/>
  <c r="Q55" i="20" s="1"/>
  <c r="AX19" i="20"/>
  <c r="N19" i="20" s="1"/>
  <c r="P19" i="20" s="1"/>
  <c r="AI19" i="20" s="1"/>
  <c r="AJ19" i="20" s="1"/>
  <c r="AW59" i="20"/>
  <c r="O59" i="20" s="1"/>
  <c r="Q59" i="20" s="1"/>
  <c r="AW54" i="20"/>
  <c r="O54" i="20" s="1"/>
  <c r="Q54" i="20" s="1"/>
  <c r="AX46" i="20"/>
  <c r="N46" i="20" s="1"/>
  <c r="P46" i="20" s="1"/>
  <c r="AX23" i="20"/>
  <c r="N23" i="20" s="1"/>
  <c r="P23" i="20" s="1"/>
  <c r="AI23" i="20" s="1"/>
  <c r="AJ23" i="20" s="1"/>
  <c r="AW16" i="20"/>
  <c r="O16" i="20" s="1"/>
  <c r="Q16" i="20" s="1"/>
  <c r="AB16" i="20" s="1"/>
  <c r="Z17" i="20" s="1"/>
  <c r="AX61" i="20"/>
  <c r="N61" i="20" s="1"/>
  <c r="P61" i="20" s="1"/>
  <c r="AW32" i="20"/>
  <c r="O32" i="20" s="1"/>
  <c r="Q32" i="20" s="1"/>
  <c r="AB32" i="20" s="1"/>
  <c r="Z33" i="20" s="1"/>
  <c r="AW9" i="20"/>
  <c r="O9" i="20" s="1"/>
  <c r="Q9" i="20" s="1"/>
  <c r="AB9" i="20" s="1"/>
  <c r="Z10" i="20" s="1"/>
  <c r="AX60" i="20"/>
  <c r="N60" i="20" s="1"/>
  <c r="P60" i="20" s="1"/>
  <c r="AX25" i="20"/>
  <c r="N25" i="20" s="1"/>
  <c r="P25" i="20" s="1"/>
  <c r="AI25" i="20" s="1"/>
  <c r="AJ25" i="20" s="1"/>
  <c r="AX4" i="20"/>
  <c r="N4" i="20" s="1"/>
  <c r="P4" i="20" s="1"/>
  <c r="AW83" i="20"/>
  <c r="O83" i="20" s="1"/>
  <c r="Q83" i="20" s="1"/>
  <c r="AX63" i="20"/>
  <c r="N63" i="20" s="1"/>
  <c r="P63" i="20" s="1"/>
  <c r="AX32" i="20"/>
  <c r="N32" i="20" s="1"/>
  <c r="P32" i="20" s="1"/>
  <c r="AI32" i="20" s="1"/>
  <c r="AJ32" i="20" s="1"/>
  <c r="AX48" i="20"/>
  <c r="N48" i="20" s="1"/>
  <c r="P48" i="20" s="1"/>
  <c r="AW44" i="20"/>
  <c r="O44" i="20" s="1"/>
  <c r="Q44" i="20" s="1"/>
  <c r="AW50" i="20"/>
  <c r="O50" i="20" s="1"/>
  <c r="Q50" i="20" s="1"/>
  <c r="AX50" i="20"/>
  <c r="N50" i="20" s="1"/>
  <c r="P50" i="20" s="1"/>
  <c r="AG35" i="20"/>
  <c r="AX86" i="20"/>
  <c r="N86" i="20" s="1"/>
  <c r="P86" i="20" s="1"/>
  <c r="V36" i="20"/>
  <c r="AH36" i="20" s="1"/>
  <c r="W36" i="19"/>
  <c r="W36" i="18"/>
  <c r="AU93" i="16"/>
  <c r="V36" i="16"/>
  <c r="AH36" i="16" s="1"/>
  <c r="AA36" i="16"/>
  <c r="AN35" i="16"/>
  <c r="AN37" i="11"/>
  <c r="W38" i="11"/>
  <c r="X38" i="11" s="1"/>
  <c r="AV87" i="11"/>
  <c r="AU88" i="11" s="1"/>
  <c r="AF36" i="10"/>
  <c r="AE36" i="10"/>
  <c r="AG36" i="10"/>
  <c r="AC36" i="10"/>
  <c r="U37" i="10"/>
  <c r="AU96" i="10"/>
  <c r="AV96" i="10" s="1"/>
  <c r="Z94" i="23" l="1"/>
  <c r="AK93" i="23"/>
  <c r="AA94" i="23"/>
  <c r="AN93" i="23"/>
  <c r="V94" i="23"/>
  <c r="AH94" i="23" s="1"/>
  <c r="AJ93" i="23"/>
  <c r="AL93" i="23"/>
  <c r="AU91" i="18"/>
  <c r="AM12" i="19"/>
  <c r="AO12" i="19" s="1"/>
  <c r="AM32" i="19"/>
  <c r="AO32" i="19" s="1"/>
  <c r="AM11" i="19"/>
  <c r="AO11" i="19" s="1"/>
  <c r="AM23" i="19"/>
  <c r="AO23" i="19" s="1"/>
  <c r="AM34" i="19"/>
  <c r="AO34" i="19" s="1"/>
  <c r="AM17" i="19"/>
  <c r="AO17" i="19" s="1"/>
  <c r="AM22" i="19"/>
  <c r="AO22" i="19" s="1"/>
  <c r="AM26" i="19"/>
  <c r="AO26" i="19" s="1"/>
  <c r="AM6" i="19"/>
  <c r="AO6" i="19" s="1"/>
  <c r="AM33" i="19"/>
  <c r="AO33" i="19" s="1"/>
  <c r="AM25" i="19"/>
  <c r="AO25" i="19" s="1"/>
  <c r="AM31" i="19"/>
  <c r="AO31" i="19" s="1"/>
  <c r="AM8" i="19"/>
  <c r="AO8" i="19" s="1"/>
  <c r="AM7" i="19"/>
  <c r="AO7" i="19" s="1"/>
  <c r="AM28" i="19"/>
  <c r="AO28" i="19" s="1"/>
  <c r="AM30" i="19"/>
  <c r="AO30" i="19" s="1"/>
  <c r="AM9" i="19"/>
  <c r="AO9" i="19" s="1"/>
  <c r="AM20" i="19"/>
  <c r="AO20" i="19" s="1"/>
  <c r="AM29" i="19"/>
  <c r="AO29" i="19" s="1"/>
  <c r="AM15" i="19"/>
  <c r="AO15" i="19" s="1"/>
  <c r="AM18" i="19"/>
  <c r="AO18" i="19" s="1"/>
  <c r="AM16" i="19"/>
  <c r="AO16" i="19" s="1"/>
  <c r="AM13" i="19"/>
  <c r="AO13" i="19" s="1"/>
  <c r="AM21" i="19"/>
  <c r="AO21" i="19" s="1"/>
  <c r="AM10" i="19"/>
  <c r="AO10" i="19" s="1"/>
  <c r="AM19" i="19"/>
  <c r="AO19" i="19" s="1"/>
  <c r="AM27" i="19"/>
  <c r="AO27" i="19" s="1"/>
  <c r="AM14" i="19"/>
  <c r="AO14" i="19" s="1"/>
  <c r="AM24" i="19"/>
  <c r="AO24" i="19" s="1"/>
  <c r="AK5" i="19"/>
  <c r="AL5" i="19"/>
  <c r="AK35" i="20"/>
  <c r="AL35" i="20"/>
  <c r="AN35" i="20"/>
  <c r="AJ35" i="20"/>
  <c r="AL28" i="20"/>
  <c r="AK28" i="20"/>
  <c r="AK6" i="20"/>
  <c r="AL6" i="20"/>
  <c r="AK19" i="20"/>
  <c r="AL19" i="20"/>
  <c r="AL17" i="20"/>
  <c r="AK17" i="20"/>
  <c r="AL20" i="20"/>
  <c r="AK20" i="20"/>
  <c r="AL14" i="20"/>
  <c r="AK14" i="20"/>
  <c r="AL7" i="20"/>
  <c r="AK7" i="20"/>
  <c r="AL12" i="20"/>
  <c r="AK12" i="20"/>
  <c r="AL25" i="20"/>
  <c r="AK25" i="20"/>
  <c r="AK31" i="20"/>
  <c r="AL31" i="20"/>
  <c r="AL27" i="20"/>
  <c r="AK27" i="20"/>
  <c r="AL16" i="20"/>
  <c r="AK16" i="20"/>
  <c r="AK9" i="20"/>
  <c r="AL9" i="20"/>
  <c r="AL22" i="20"/>
  <c r="AK22" i="20"/>
  <c r="AL30" i="20"/>
  <c r="AK30" i="20"/>
  <c r="AK8" i="20"/>
  <c r="AL8" i="20"/>
  <c r="AL32" i="20"/>
  <c r="AK32" i="20"/>
  <c r="AK23" i="20"/>
  <c r="AL23" i="20"/>
  <c r="AL15" i="20"/>
  <c r="AK15" i="20"/>
  <c r="Z5" i="20"/>
  <c r="AK4" i="20"/>
  <c r="AM4" i="20" s="1"/>
  <c r="AO4" i="20" s="1"/>
  <c r="AK18" i="20"/>
  <c r="AL18" i="20"/>
  <c r="AL21" i="20"/>
  <c r="AK21" i="20"/>
  <c r="AL13" i="20"/>
  <c r="AK13" i="20"/>
  <c r="AK26" i="20"/>
  <c r="AL26" i="20"/>
  <c r="AL29" i="20"/>
  <c r="AK29" i="20"/>
  <c r="AL10" i="20"/>
  <c r="AK10" i="20"/>
  <c r="AL33" i="20"/>
  <c r="AK33" i="20"/>
  <c r="AL24" i="20"/>
  <c r="AK24" i="20"/>
  <c r="AK11" i="20"/>
  <c r="AL11" i="20"/>
  <c r="AL34" i="20"/>
  <c r="AK34" i="20"/>
  <c r="W36" i="20"/>
  <c r="AI36" i="20" s="1"/>
  <c r="AI36" i="19"/>
  <c r="X36" i="19"/>
  <c r="X36" i="18"/>
  <c r="U37" i="18" s="1"/>
  <c r="W36" i="16"/>
  <c r="X36" i="16" s="1"/>
  <c r="AV93" i="16"/>
  <c r="AU94" i="16" s="1"/>
  <c r="AV88" i="11"/>
  <c r="U39" i="11"/>
  <c r="AG38" i="11"/>
  <c r="AE38" i="11"/>
  <c r="AC38" i="11"/>
  <c r="AA37" i="10"/>
  <c r="AN36" i="10"/>
  <c r="V37" i="10"/>
  <c r="AH37" i="10" s="1"/>
  <c r="AU97" i="10"/>
  <c r="AV97" i="10" s="1"/>
  <c r="AM93" i="23" l="1"/>
  <c r="W94" i="23"/>
  <c r="AI94" i="23" s="1"/>
  <c r="AV91" i="18"/>
  <c r="AM5" i="19"/>
  <c r="AO5" i="19" s="1"/>
  <c r="AM35" i="20"/>
  <c r="AO35" i="20" s="1"/>
  <c r="AM34" i="20"/>
  <c r="AO34" i="20" s="1"/>
  <c r="X36" i="20"/>
  <c r="AG36" i="20" s="1"/>
  <c r="AM32" i="20"/>
  <c r="AO32" i="20" s="1"/>
  <c r="AM25" i="20"/>
  <c r="AO25" i="20" s="1"/>
  <c r="AM31" i="20"/>
  <c r="AO31" i="20" s="1"/>
  <c r="AM27" i="20"/>
  <c r="AO27" i="20" s="1"/>
  <c r="AM16" i="20"/>
  <c r="AO16" i="20" s="1"/>
  <c r="AM17" i="20"/>
  <c r="AO17" i="20" s="1"/>
  <c r="AM7" i="20"/>
  <c r="AO7" i="20" s="1"/>
  <c r="AM20" i="20"/>
  <c r="AO20" i="20" s="1"/>
  <c r="AM33" i="20"/>
  <c r="AO33" i="20" s="1"/>
  <c r="AM15" i="20"/>
  <c r="AO15" i="20" s="1"/>
  <c r="AM10" i="20"/>
  <c r="AO10" i="20" s="1"/>
  <c r="AM21" i="20"/>
  <c r="AO21" i="20" s="1"/>
  <c r="AM14" i="20"/>
  <c r="AO14" i="20" s="1"/>
  <c r="AM23" i="20"/>
  <c r="AO23" i="20" s="1"/>
  <c r="AM6" i="20"/>
  <c r="AO6" i="20" s="1"/>
  <c r="AM18" i="20"/>
  <c r="AO18" i="20" s="1"/>
  <c r="AM11" i="20"/>
  <c r="AO11" i="20" s="1"/>
  <c r="AM8" i="20"/>
  <c r="AO8" i="20" s="1"/>
  <c r="AM19" i="20"/>
  <c r="AO19" i="20" s="1"/>
  <c r="AM24" i="20"/>
  <c r="AO24" i="20" s="1"/>
  <c r="AM29" i="20"/>
  <c r="AO29" i="20" s="1"/>
  <c r="AM13" i="20"/>
  <c r="AO13" i="20" s="1"/>
  <c r="AL5" i="20"/>
  <c r="AK5" i="20"/>
  <c r="AM30" i="20"/>
  <c r="AO30" i="20" s="1"/>
  <c r="AM22" i="20"/>
  <c r="AO22" i="20" s="1"/>
  <c r="AM28" i="20"/>
  <c r="AO28" i="20" s="1"/>
  <c r="AM26" i="20"/>
  <c r="AO26" i="20" s="1"/>
  <c r="AM9" i="20"/>
  <c r="AO9" i="20" s="1"/>
  <c r="AM12" i="20"/>
  <c r="AO12" i="20" s="1"/>
  <c r="U37" i="19"/>
  <c r="AE36" i="19"/>
  <c r="AG36" i="19"/>
  <c r="AC36" i="19"/>
  <c r="AB36" i="19"/>
  <c r="AC36" i="18"/>
  <c r="AN36" i="18" s="1"/>
  <c r="AG36" i="18"/>
  <c r="AE36" i="18"/>
  <c r="V37" i="18"/>
  <c r="AH37" i="18" s="1"/>
  <c r="AV94" i="16"/>
  <c r="AE36" i="16"/>
  <c r="U37" i="16"/>
  <c r="AC36" i="16"/>
  <c r="AG36" i="16"/>
  <c r="AA39" i="11"/>
  <c r="AN38" i="11"/>
  <c r="V39" i="11"/>
  <c r="AH39" i="11" s="1"/>
  <c r="AU89" i="11"/>
  <c r="W37" i="10"/>
  <c r="X37" i="10" s="1"/>
  <c r="AU98" i="10"/>
  <c r="AV98" i="10" s="1"/>
  <c r="X94" i="23" l="1"/>
  <c r="AO93" i="23"/>
  <c r="AU92" i="18"/>
  <c r="AB36" i="20"/>
  <c r="AK36" i="20" s="1"/>
  <c r="AC36" i="20"/>
  <c r="AN36" i="20" s="1"/>
  <c r="U37" i="20"/>
  <c r="V37" i="20" s="1"/>
  <c r="AH37" i="20" s="1"/>
  <c r="AE36" i="20"/>
  <c r="AJ36" i="20" s="1"/>
  <c r="AM5" i="20"/>
  <c r="AO5" i="20" s="1"/>
  <c r="Z37" i="19"/>
  <c r="AK36" i="19"/>
  <c r="AJ36" i="19"/>
  <c r="AL36" i="19"/>
  <c r="AA37" i="19"/>
  <c r="AN36" i="19"/>
  <c r="V37" i="19"/>
  <c r="AH37" i="19" s="1"/>
  <c r="AA37" i="18"/>
  <c r="W37" i="18"/>
  <c r="V37" i="16"/>
  <c r="AH37" i="16" s="1"/>
  <c r="AA37" i="16"/>
  <c r="AN36" i="16"/>
  <c r="AU95" i="16"/>
  <c r="W39" i="11"/>
  <c r="X39" i="11" s="1"/>
  <c r="AV89" i="11"/>
  <c r="AU90" i="11" s="1"/>
  <c r="AF37" i="10"/>
  <c r="AG37" i="10"/>
  <c r="AC37" i="10"/>
  <c r="AE37" i="10"/>
  <c r="U38" i="10"/>
  <c r="AU99" i="10"/>
  <c r="AV99" i="10" s="1"/>
  <c r="AG94" i="23" l="1"/>
  <c r="U95" i="23"/>
  <c r="AE94" i="23"/>
  <c r="AC94" i="23"/>
  <c r="AB94" i="23"/>
  <c r="AV92" i="18"/>
  <c r="AU93" i="18" s="1"/>
  <c r="AL36" i="20"/>
  <c r="AM36" i="20" s="1"/>
  <c r="AO36" i="20" s="1"/>
  <c r="Z37" i="20"/>
  <c r="AA37" i="20"/>
  <c r="W37" i="20"/>
  <c r="AI37" i="20" s="1"/>
  <c r="W37" i="19"/>
  <c r="AI37" i="19" s="1"/>
  <c r="AM36" i="19"/>
  <c r="AO36" i="19" s="1"/>
  <c r="X37" i="18"/>
  <c r="U38" i="18" s="1"/>
  <c r="W37" i="16"/>
  <c r="X37" i="16" s="1"/>
  <c r="AV95" i="16"/>
  <c r="AU96" i="16" s="1"/>
  <c r="AG39" i="11"/>
  <c r="U40" i="11"/>
  <c r="AC39" i="11"/>
  <c r="AE39" i="11"/>
  <c r="AV90" i="11"/>
  <c r="AA38" i="10"/>
  <c r="AN37" i="10"/>
  <c r="V38" i="10"/>
  <c r="AH38" i="10" s="1"/>
  <c r="AU100" i="10"/>
  <c r="AV100" i="10" s="1"/>
  <c r="V95" i="23" l="1"/>
  <c r="AH95" i="23" s="1"/>
  <c r="AJ94" i="23"/>
  <c r="AL94" i="23"/>
  <c r="AA95" i="23"/>
  <c r="AN94" i="23"/>
  <c r="Z95" i="23"/>
  <c r="AK94" i="23"/>
  <c r="AV93" i="18"/>
  <c r="X37" i="19"/>
  <c r="AE37" i="19" s="1"/>
  <c r="X37" i="20"/>
  <c r="AG37" i="18"/>
  <c r="AC37" i="18"/>
  <c r="AA38" i="18" s="1"/>
  <c r="AE37" i="18"/>
  <c r="V38" i="18"/>
  <c r="AH38" i="18" s="1"/>
  <c r="U38" i="16"/>
  <c r="AG37" i="16"/>
  <c r="AE37" i="16"/>
  <c r="AC37" i="16"/>
  <c r="AV96" i="16"/>
  <c r="AU97" i="16" s="1"/>
  <c r="V40" i="11"/>
  <c r="AH40" i="11" s="1"/>
  <c r="AU91" i="11"/>
  <c r="AA40" i="11"/>
  <c r="AN39" i="11"/>
  <c r="W38" i="10"/>
  <c r="X38" i="10" s="1"/>
  <c r="AU101" i="10"/>
  <c r="AV101" i="10" s="1"/>
  <c r="AM94" i="23" l="1"/>
  <c r="W95" i="23"/>
  <c r="AI95" i="23" s="1"/>
  <c r="AU94" i="18"/>
  <c r="AB37" i="19"/>
  <c r="Z38" i="19" s="1"/>
  <c r="AC37" i="19"/>
  <c r="AA38" i="19" s="1"/>
  <c r="AG37" i="19"/>
  <c r="AJ37" i="19" s="1"/>
  <c r="U38" i="19"/>
  <c r="V38" i="19" s="1"/>
  <c r="AH38" i="19" s="1"/>
  <c r="AE37" i="20"/>
  <c r="AC37" i="20"/>
  <c r="U38" i="20"/>
  <c r="AG37" i="20"/>
  <c r="AB37" i="20"/>
  <c r="AL37" i="19"/>
  <c r="AN37" i="18"/>
  <c r="W38" i="18"/>
  <c r="AV97" i="16"/>
  <c r="AA38" i="16"/>
  <c r="AN37" i="16"/>
  <c r="V38" i="16"/>
  <c r="AH38" i="16" s="1"/>
  <c r="W40" i="11"/>
  <c r="X40" i="11" s="1"/>
  <c r="AV91" i="11"/>
  <c r="AF38" i="10"/>
  <c r="AE38" i="10"/>
  <c r="AG38" i="10"/>
  <c r="AC38" i="10"/>
  <c r="U39" i="10"/>
  <c r="AU102" i="10"/>
  <c r="AV102" i="10" s="1"/>
  <c r="AO94" i="23" l="1"/>
  <c r="X95" i="23"/>
  <c r="AV94" i="18"/>
  <c r="AU95" i="18" s="1"/>
  <c r="AK37" i="19"/>
  <c r="AM37" i="19" s="1"/>
  <c r="AN37" i="19"/>
  <c r="Z38" i="20"/>
  <c r="AK37" i="20"/>
  <c r="AA38" i="20"/>
  <c r="AN37" i="20"/>
  <c r="V38" i="20"/>
  <c r="AH38" i="20" s="1"/>
  <c r="AJ37" i="20"/>
  <c r="AL37" i="20"/>
  <c r="W38" i="19"/>
  <c r="X38" i="18"/>
  <c r="W38" i="16"/>
  <c r="X38" i="16" s="1"/>
  <c r="AG38" i="16" s="1"/>
  <c r="AU98" i="16"/>
  <c r="U41" i="11"/>
  <c r="AE40" i="11"/>
  <c r="AG40" i="11"/>
  <c r="AC40" i="11"/>
  <c r="AU92" i="11"/>
  <c r="AA39" i="10"/>
  <c r="AN38" i="10"/>
  <c r="V39" i="10"/>
  <c r="AH39" i="10" s="1"/>
  <c r="AU103" i="10"/>
  <c r="AV103" i="10" s="1"/>
  <c r="AG95" i="23" l="1"/>
  <c r="U96" i="23"/>
  <c r="AE95" i="23"/>
  <c r="AC95" i="23"/>
  <c r="AB95" i="23"/>
  <c r="AV95" i="18"/>
  <c r="AO37" i="19"/>
  <c r="AM37" i="20"/>
  <c r="AO37" i="20" s="1"/>
  <c r="W38" i="20"/>
  <c r="AI38" i="20" s="1"/>
  <c r="AI38" i="19"/>
  <c r="X38" i="19"/>
  <c r="U39" i="18"/>
  <c r="AE38" i="18"/>
  <c r="AG38" i="18"/>
  <c r="AC38" i="18"/>
  <c r="U39" i="16"/>
  <c r="V39" i="16" s="1"/>
  <c r="AH39" i="16" s="1"/>
  <c r="AC38" i="16"/>
  <c r="AE38" i="16"/>
  <c r="AV98" i="16"/>
  <c r="AA41" i="11"/>
  <c r="AN40" i="11"/>
  <c r="AV92" i="11"/>
  <c r="V41" i="11"/>
  <c r="AH41" i="11" s="1"/>
  <c r="W39" i="10"/>
  <c r="X39" i="10" s="1"/>
  <c r="AU104" i="10"/>
  <c r="AA96" i="23" l="1"/>
  <c r="AN95" i="23"/>
  <c r="AJ95" i="23"/>
  <c r="AL95" i="23"/>
  <c r="Z96" i="23"/>
  <c r="AK95" i="23"/>
  <c r="V96" i="23"/>
  <c r="AH96" i="23" s="1"/>
  <c r="AU96" i="18"/>
  <c r="X38" i="20"/>
  <c r="AE38" i="20" s="1"/>
  <c r="AG38" i="19"/>
  <c r="AE38" i="19"/>
  <c r="U39" i="19"/>
  <c r="AC38" i="19"/>
  <c r="AB38" i="19"/>
  <c r="AA39" i="18"/>
  <c r="AN38" i="18"/>
  <c r="V39" i="18"/>
  <c r="AH39" i="18" s="1"/>
  <c r="AA39" i="16"/>
  <c r="AN38" i="16"/>
  <c r="W39" i="16"/>
  <c r="X39" i="16" s="1"/>
  <c r="AU99" i="16"/>
  <c r="AU93" i="11"/>
  <c r="W41" i="11"/>
  <c r="X41" i="11" s="1"/>
  <c r="AF39" i="10"/>
  <c r="AE39" i="10"/>
  <c r="AG39" i="10"/>
  <c r="AC39" i="10"/>
  <c r="U40" i="10"/>
  <c r="AV104" i="10"/>
  <c r="AU105" i="10" s="1"/>
  <c r="AM95" i="23" l="1"/>
  <c r="X96" i="23"/>
  <c r="W96" i="23"/>
  <c r="AI96" i="23" s="1"/>
  <c r="AV96" i="18"/>
  <c r="AU97" i="18"/>
  <c r="AB38" i="20"/>
  <c r="Z39" i="20" s="1"/>
  <c r="U39" i="20"/>
  <c r="V39" i="20" s="1"/>
  <c r="AH39" i="20" s="1"/>
  <c r="AC38" i="20"/>
  <c r="AN38" i="20" s="1"/>
  <c r="AG38" i="20"/>
  <c r="AJ38" i="20" s="1"/>
  <c r="AL38" i="20"/>
  <c r="AA39" i="19"/>
  <c r="AN38" i="19"/>
  <c r="V39" i="19"/>
  <c r="AH39" i="19" s="1"/>
  <c r="Z39" i="19"/>
  <c r="AK38" i="19"/>
  <c r="AJ38" i="19"/>
  <c r="AL38" i="19"/>
  <c r="W39" i="18"/>
  <c r="AE39" i="16"/>
  <c r="AC39" i="16"/>
  <c r="AG39" i="16"/>
  <c r="U40" i="16"/>
  <c r="AV99" i="16"/>
  <c r="AU100" i="16" s="1"/>
  <c r="AE41" i="11"/>
  <c r="U42" i="11"/>
  <c r="AC41" i="11"/>
  <c r="AG41" i="11"/>
  <c r="AV93" i="11"/>
  <c r="AU94" i="11" s="1"/>
  <c r="AA40" i="10"/>
  <c r="AN39" i="10"/>
  <c r="V40" i="10"/>
  <c r="AH40" i="10" s="1"/>
  <c r="AV105" i="10"/>
  <c r="AG96" i="23" l="1"/>
  <c r="AE96" i="23"/>
  <c r="AC96" i="23"/>
  <c r="U97" i="23"/>
  <c r="AB96" i="23"/>
  <c r="AO95" i="23"/>
  <c r="AV97" i="18"/>
  <c r="AA39" i="20"/>
  <c r="AK38" i="20"/>
  <c r="AM38" i="20" s="1"/>
  <c r="AO38" i="20" s="1"/>
  <c r="W39" i="20"/>
  <c r="AI39" i="20" s="1"/>
  <c r="AM38" i="19"/>
  <c r="AO38" i="19" s="1"/>
  <c r="W39" i="19"/>
  <c r="AI39" i="19" s="1"/>
  <c r="X39" i="18"/>
  <c r="AC39" i="18" s="1"/>
  <c r="AV100" i="16"/>
  <c r="V40" i="16"/>
  <c r="AH40" i="16" s="1"/>
  <c r="AA40" i="16"/>
  <c r="AN39" i="16"/>
  <c r="W40" i="10"/>
  <c r="X40" i="10" s="1"/>
  <c r="AV94" i="11"/>
  <c r="V42" i="11"/>
  <c r="AH42" i="11" s="1"/>
  <c r="AA42" i="11"/>
  <c r="AN41" i="11"/>
  <c r="AU106" i="10"/>
  <c r="V97" i="23" l="1"/>
  <c r="AH97" i="23" s="1"/>
  <c r="W97" i="23"/>
  <c r="AI97" i="23" s="1"/>
  <c r="AA97" i="23"/>
  <c r="AN96" i="23"/>
  <c r="Z97" i="23"/>
  <c r="AK96" i="23"/>
  <c r="AJ96" i="23"/>
  <c r="AL96" i="23"/>
  <c r="AU98" i="18"/>
  <c r="X39" i="20"/>
  <c r="X39" i="19"/>
  <c r="U40" i="18"/>
  <c r="V40" i="18" s="1"/>
  <c r="AH40" i="18" s="1"/>
  <c r="AG39" i="18"/>
  <c r="AE39" i="18"/>
  <c r="AA40" i="18"/>
  <c r="AN39" i="18"/>
  <c r="W40" i="16"/>
  <c r="X40" i="16" s="1"/>
  <c r="AU101" i="16"/>
  <c r="W42" i="11"/>
  <c r="X42" i="11" s="1"/>
  <c r="AU95" i="11"/>
  <c r="AG40" i="10"/>
  <c r="AF40" i="10"/>
  <c r="AE40" i="10"/>
  <c r="AC40" i="10"/>
  <c r="U41" i="10"/>
  <c r="AV106" i="10"/>
  <c r="X97" i="23" l="1"/>
  <c r="AM96" i="23"/>
  <c r="AO96" i="23" s="1"/>
  <c r="AV98" i="18"/>
  <c r="AG39" i="20"/>
  <c r="U40" i="20"/>
  <c r="AE39" i="20"/>
  <c r="AC39" i="20"/>
  <c r="AB39" i="20"/>
  <c r="AC39" i="19"/>
  <c r="AE39" i="19"/>
  <c r="U40" i="19"/>
  <c r="AG39" i="19"/>
  <c r="AB39" i="19"/>
  <c r="W40" i="18"/>
  <c r="AC40" i="16"/>
  <c r="AG40" i="16"/>
  <c r="U41" i="16"/>
  <c r="AE40" i="16"/>
  <c r="AV101" i="16"/>
  <c r="AU102" i="16" s="1"/>
  <c r="AV95" i="11"/>
  <c r="U43" i="11"/>
  <c r="AG42" i="11"/>
  <c r="AE42" i="11"/>
  <c r="AC42" i="11"/>
  <c r="AA41" i="10"/>
  <c r="AN40" i="10"/>
  <c r="V41" i="10"/>
  <c r="AH41" i="10" s="1"/>
  <c r="AU107" i="10"/>
  <c r="U98" i="23" l="1"/>
  <c r="AC97" i="23"/>
  <c r="AE97" i="23"/>
  <c r="AG97" i="23"/>
  <c r="AB97" i="23"/>
  <c r="AU99" i="18"/>
  <c r="Z40" i="20"/>
  <c r="AK39" i="20"/>
  <c r="AJ39" i="20"/>
  <c r="AL39" i="20"/>
  <c r="V40" i="20"/>
  <c r="AH40" i="20" s="1"/>
  <c r="AA40" i="20"/>
  <c r="AN39" i="20"/>
  <c r="Z40" i="19"/>
  <c r="AK39" i="19"/>
  <c r="AJ39" i="19"/>
  <c r="AL39" i="19"/>
  <c r="V40" i="19"/>
  <c r="AH40" i="19" s="1"/>
  <c r="AA40" i="19"/>
  <c r="AN39" i="19"/>
  <c r="X40" i="18"/>
  <c r="AC40" i="18" s="1"/>
  <c r="AV102" i="16"/>
  <c r="AU103" i="16" s="1"/>
  <c r="V41" i="16"/>
  <c r="AH41" i="16" s="1"/>
  <c r="AA41" i="16"/>
  <c r="AN40" i="16"/>
  <c r="V43" i="11"/>
  <c r="AH43" i="11" s="1"/>
  <c r="AA43" i="11"/>
  <c r="AN42" i="11"/>
  <c r="AU96" i="11"/>
  <c r="W41" i="10"/>
  <c r="X41" i="10" s="1"/>
  <c r="AV107" i="10"/>
  <c r="AJ97" i="23" l="1"/>
  <c r="AL97" i="23"/>
  <c r="Z98" i="23"/>
  <c r="AK97" i="23"/>
  <c r="AA98" i="23"/>
  <c r="AN97" i="23"/>
  <c r="V98" i="23"/>
  <c r="AH98" i="23" s="1"/>
  <c r="AV99" i="18"/>
  <c r="AU100" i="18" s="1"/>
  <c r="AM39" i="20"/>
  <c r="AO39" i="20" s="1"/>
  <c r="W40" i="20"/>
  <c r="AI40" i="20" s="1"/>
  <c r="AM39" i="19"/>
  <c r="AO39" i="19" s="1"/>
  <c r="W40" i="19"/>
  <c r="AI40" i="19" s="1"/>
  <c r="AG40" i="18"/>
  <c r="U41" i="18"/>
  <c r="V41" i="18" s="1"/>
  <c r="AH41" i="18" s="1"/>
  <c r="AE40" i="18"/>
  <c r="AA41" i="18"/>
  <c r="AN40" i="18"/>
  <c r="W41" i="16"/>
  <c r="X41" i="16" s="1"/>
  <c r="AV103" i="16"/>
  <c r="AU104" i="16" s="1"/>
  <c r="W43" i="11"/>
  <c r="X43" i="11" s="1"/>
  <c r="AG43" i="11" s="1"/>
  <c r="AV96" i="11"/>
  <c r="AG41" i="10"/>
  <c r="AE41" i="10"/>
  <c r="AF41" i="10"/>
  <c r="AC41" i="10"/>
  <c r="U42" i="10"/>
  <c r="AU108" i="10"/>
  <c r="W98" i="23" l="1"/>
  <c r="AI98" i="23" s="1"/>
  <c r="X98" i="23"/>
  <c r="AM97" i="23"/>
  <c r="AO97" i="23" s="1"/>
  <c r="AV100" i="18"/>
  <c r="X40" i="20"/>
  <c r="U41" i="20" s="1"/>
  <c r="X40" i="19"/>
  <c r="W41" i="18"/>
  <c r="AV104" i="16"/>
  <c r="AC41" i="16"/>
  <c r="U42" i="16"/>
  <c r="AE41" i="16"/>
  <c r="AG41" i="16"/>
  <c r="AE43" i="11"/>
  <c r="AC43" i="11"/>
  <c r="AA44" i="11" s="1"/>
  <c r="U44" i="11"/>
  <c r="V44" i="11" s="1"/>
  <c r="AH44" i="11" s="1"/>
  <c r="AU97" i="11"/>
  <c r="AA42" i="10"/>
  <c r="AN41" i="10"/>
  <c r="V42" i="10"/>
  <c r="AH42" i="10" s="1"/>
  <c r="AV108" i="10"/>
  <c r="U99" i="23" l="1"/>
  <c r="AE98" i="23"/>
  <c r="AG98" i="23"/>
  <c r="AC98" i="23"/>
  <c r="AB98" i="23"/>
  <c r="AU101" i="18"/>
  <c r="AB40" i="20"/>
  <c r="AK40" i="20" s="1"/>
  <c r="AC40" i="20"/>
  <c r="AA41" i="20" s="1"/>
  <c r="AE40" i="20"/>
  <c r="AL40" i="20" s="1"/>
  <c r="AG40" i="20"/>
  <c r="V41" i="20"/>
  <c r="AH41" i="20" s="1"/>
  <c r="AC40" i="19"/>
  <c r="AE40" i="19"/>
  <c r="U41" i="19"/>
  <c r="AG40" i="19"/>
  <c r="AB40" i="19"/>
  <c r="X41" i="18"/>
  <c r="U42" i="18" s="1"/>
  <c r="V42" i="16"/>
  <c r="AH42" i="16" s="1"/>
  <c r="AA42" i="16"/>
  <c r="AN41" i="16"/>
  <c r="AU105" i="16"/>
  <c r="AN43" i="11"/>
  <c r="W44" i="11"/>
  <c r="X44" i="11" s="1"/>
  <c r="AV97" i="11"/>
  <c r="W42" i="10"/>
  <c r="X42" i="10" s="1"/>
  <c r="AU109" i="10"/>
  <c r="AA99" i="23" l="1"/>
  <c r="AN98" i="23"/>
  <c r="AJ98" i="23"/>
  <c r="AL98" i="23"/>
  <c r="Z99" i="23"/>
  <c r="AK98" i="23"/>
  <c r="V99" i="23"/>
  <c r="AH99" i="23" s="1"/>
  <c r="AV101" i="18"/>
  <c r="AU102" i="18" s="1"/>
  <c r="Z41" i="20"/>
  <c r="AJ40" i="20"/>
  <c r="AM40" i="20" s="1"/>
  <c r="AN40" i="20"/>
  <c r="W41" i="20"/>
  <c r="AI41" i="20" s="1"/>
  <c r="AJ40" i="19"/>
  <c r="AL40" i="19"/>
  <c r="Z41" i="19"/>
  <c r="AK40" i="19"/>
  <c r="V41" i="19"/>
  <c r="AH41" i="19" s="1"/>
  <c r="AA41" i="19"/>
  <c r="AN40" i="19"/>
  <c r="AC41" i="18"/>
  <c r="AA42" i="18" s="1"/>
  <c r="AG41" i="18"/>
  <c r="AE41" i="18"/>
  <c r="V42" i="18"/>
  <c r="AH42" i="18" s="1"/>
  <c r="AV105" i="16"/>
  <c r="W42" i="16"/>
  <c r="X42" i="16" s="1"/>
  <c r="AG44" i="11"/>
  <c r="U45" i="11"/>
  <c r="AE44" i="11"/>
  <c r="AC44" i="11"/>
  <c r="AU98" i="11"/>
  <c r="AF42" i="10"/>
  <c r="AG42" i="10"/>
  <c r="AE42" i="10"/>
  <c r="AC42" i="10"/>
  <c r="U43" i="10"/>
  <c r="AV109" i="10"/>
  <c r="AM98" i="23" l="1"/>
  <c r="AO98" i="23" s="1"/>
  <c r="W99" i="23"/>
  <c r="AI99" i="23" s="1"/>
  <c r="AV102" i="18"/>
  <c r="AU103" i="18" s="1"/>
  <c r="AO40" i="20"/>
  <c r="X41" i="20"/>
  <c r="AG41" i="20" s="1"/>
  <c r="W41" i="19"/>
  <c r="AI41" i="19" s="1"/>
  <c r="AM40" i="19"/>
  <c r="AO40" i="19" s="1"/>
  <c r="AN41" i="18"/>
  <c r="W42" i="18"/>
  <c r="AG42" i="16"/>
  <c r="AC42" i="16"/>
  <c r="AE42" i="16"/>
  <c r="U43" i="16"/>
  <c r="AU106" i="16"/>
  <c r="AA45" i="11"/>
  <c r="AN44" i="11"/>
  <c r="AV98" i="11"/>
  <c r="V45" i="11"/>
  <c r="AH45" i="11" s="1"/>
  <c r="AA43" i="10"/>
  <c r="AN42" i="10"/>
  <c r="V43" i="10"/>
  <c r="AH43" i="10" s="1"/>
  <c r="AU110" i="10"/>
  <c r="AV110" i="10" s="1"/>
  <c r="X99" i="23" l="1"/>
  <c r="AV103" i="18"/>
  <c r="AB41" i="20"/>
  <c r="Z42" i="20" s="1"/>
  <c r="AC41" i="20"/>
  <c r="AA42" i="20" s="1"/>
  <c r="AE41" i="20"/>
  <c r="AJ41" i="20" s="1"/>
  <c r="U42" i="20"/>
  <c r="V42" i="20" s="1"/>
  <c r="AH42" i="20" s="1"/>
  <c r="X41" i="19"/>
  <c r="X42" i="18"/>
  <c r="AE42" i="18" s="1"/>
  <c r="AV106" i="16"/>
  <c r="V43" i="16"/>
  <c r="AH43" i="16" s="1"/>
  <c r="AA43" i="16"/>
  <c r="AN42" i="16"/>
  <c r="W43" i="10"/>
  <c r="X43" i="10" s="1"/>
  <c r="W45" i="11"/>
  <c r="X45" i="11" s="1"/>
  <c r="AU99" i="11"/>
  <c r="AU111" i="10"/>
  <c r="AV111" i="10" s="1"/>
  <c r="U100" i="23" l="1"/>
  <c r="AC99" i="23"/>
  <c r="AG99" i="23"/>
  <c r="AE99" i="23"/>
  <c r="AB99" i="23"/>
  <c r="AU104" i="18"/>
  <c r="AL41" i="20"/>
  <c r="AK41" i="20"/>
  <c r="AN41" i="20"/>
  <c r="W42" i="20"/>
  <c r="AI42" i="20" s="1"/>
  <c r="U42" i="19"/>
  <c r="AE41" i="19"/>
  <c r="AG41" i="19"/>
  <c r="AC41" i="19"/>
  <c r="AB41" i="19"/>
  <c r="AC42" i="18"/>
  <c r="AA43" i="18" s="1"/>
  <c r="AG42" i="18"/>
  <c r="U43" i="18"/>
  <c r="V43" i="18" s="1"/>
  <c r="AH43" i="18" s="1"/>
  <c r="W43" i="16"/>
  <c r="X43" i="16" s="1"/>
  <c r="AU107" i="16"/>
  <c r="AE45" i="11"/>
  <c r="U46" i="11"/>
  <c r="AG45" i="11"/>
  <c r="AC45" i="11"/>
  <c r="AV99" i="11"/>
  <c r="AE43" i="10"/>
  <c r="AF43" i="10"/>
  <c r="AG43" i="10"/>
  <c r="AC43" i="10"/>
  <c r="U44" i="10"/>
  <c r="AU112" i="10"/>
  <c r="Z100" i="23" l="1"/>
  <c r="AK99" i="23"/>
  <c r="AJ99" i="23"/>
  <c r="AL99" i="23"/>
  <c r="AA100" i="23"/>
  <c r="AN99" i="23"/>
  <c r="V100" i="23"/>
  <c r="AH100" i="23" s="1"/>
  <c r="AV104" i="18"/>
  <c r="AM41" i="20"/>
  <c r="AO41" i="20" s="1"/>
  <c r="X42" i="20"/>
  <c r="Z42" i="19"/>
  <c r="AK41" i="19"/>
  <c r="AJ41" i="19"/>
  <c r="AL41" i="19"/>
  <c r="AA42" i="19"/>
  <c r="AN41" i="19"/>
  <c r="V42" i="19"/>
  <c r="AH42" i="19" s="1"/>
  <c r="AN42" i="18"/>
  <c r="W43" i="18"/>
  <c r="AE43" i="16"/>
  <c r="U44" i="16"/>
  <c r="AC43" i="16"/>
  <c r="AG43" i="16"/>
  <c r="AV107" i="16"/>
  <c r="AU108" i="16" s="1"/>
  <c r="AA46" i="11"/>
  <c r="AN45" i="11"/>
  <c r="AU100" i="11"/>
  <c r="V46" i="11"/>
  <c r="AH46" i="11" s="1"/>
  <c r="AA44" i="10"/>
  <c r="AN43" i="10"/>
  <c r="V44" i="10"/>
  <c r="AH44" i="10" s="1"/>
  <c r="AV112" i="10"/>
  <c r="AM99" i="23" l="1"/>
  <c r="AO99" i="23" s="1"/>
  <c r="W100" i="23"/>
  <c r="AU105" i="18"/>
  <c r="W42" i="19"/>
  <c r="AI42" i="19" s="1"/>
  <c r="U43" i="20"/>
  <c r="AG42" i="20"/>
  <c r="AC42" i="20"/>
  <c r="AE42" i="20"/>
  <c r="AB42" i="20"/>
  <c r="AM41" i="19"/>
  <c r="AO41" i="19" s="1"/>
  <c r="X43" i="18"/>
  <c r="AV108" i="16"/>
  <c r="AA44" i="16"/>
  <c r="AN43" i="16"/>
  <c r="V44" i="16"/>
  <c r="AH44" i="16" s="1"/>
  <c r="W46" i="11"/>
  <c r="X46" i="11" s="1"/>
  <c r="AV100" i="11"/>
  <c r="AU101" i="11" s="1"/>
  <c r="W44" i="10"/>
  <c r="X44" i="10" s="1"/>
  <c r="AU113" i="10"/>
  <c r="AI100" i="23" l="1"/>
  <c r="X100" i="23"/>
  <c r="AV105" i="18"/>
  <c r="AU106" i="18" s="1"/>
  <c r="X42" i="19"/>
  <c r="AE42" i="19" s="1"/>
  <c r="AL42" i="19" s="1"/>
  <c r="Z43" i="20"/>
  <c r="AK42" i="20"/>
  <c r="AA43" i="20"/>
  <c r="AN42" i="20"/>
  <c r="AJ42" i="20"/>
  <c r="AL42" i="20"/>
  <c r="V43" i="20"/>
  <c r="AH43" i="20" s="1"/>
  <c r="AE43" i="18"/>
  <c r="AG43" i="18"/>
  <c r="U44" i="18"/>
  <c r="AC43" i="18"/>
  <c r="W44" i="16"/>
  <c r="X44" i="16" s="1"/>
  <c r="AU109" i="16"/>
  <c r="AG46" i="11"/>
  <c r="AE46" i="11"/>
  <c r="U47" i="11"/>
  <c r="AC46" i="11"/>
  <c r="AV101" i="11"/>
  <c r="AU102" i="11" s="1"/>
  <c r="AE44" i="10"/>
  <c r="AF44" i="10"/>
  <c r="AG44" i="10"/>
  <c r="AC44" i="10"/>
  <c r="U45" i="10"/>
  <c r="AV113" i="10"/>
  <c r="AG100" i="23" l="1"/>
  <c r="U101" i="23"/>
  <c r="AE100" i="23"/>
  <c r="AC100" i="23"/>
  <c r="AB100" i="23"/>
  <c r="AV106" i="18"/>
  <c r="AC42" i="19"/>
  <c r="AN42" i="19" s="1"/>
  <c r="AG42" i="19"/>
  <c r="AJ42" i="19" s="1"/>
  <c r="AB42" i="19"/>
  <c r="U43" i="19"/>
  <c r="V43" i="19" s="1"/>
  <c r="AH43" i="19" s="1"/>
  <c r="W43" i="20"/>
  <c r="AI43" i="20" s="1"/>
  <c r="AM42" i="20"/>
  <c r="AO42" i="20" s="1"/>
  <c r="V44" i="18"/>
  <c r="AH44" i="18" s="1"/>
  <c r="AA44" i="18"/>
  <c r="AN43" i="18"/>
  <c r="AG44" i="16"/>
  <c r="U45" i="16"/>
  <c r="AE44" i="16"/>
  <c r="AC44" i="16"/>
  <c r="AV109" i="16"/>
  <c r="AV102" i="11"/>
  <c r="AA47" i="11"/>
  <c r="AN46" i="11"/>
  <c r="V47" i="11"/>
  <c r="AH47" i="11" s="1"/>
  <c r="AA45" i="10"/>
  <c r="AN44" i="10"/>
  <c r="V45" i="10"/>
  <c r="AH45" i="10" s="1"/>
  <c r="AU114" i="10"/>
  <c r="AA101" i="23" l="1"/>
  <c r="AN100" i="23"/>
  <c r="Z101" i="23"/>
  <c r="AK100" i="23"/>
  <c r="AJ100" i="23"/>
  <c r="AL100" i="23"/>
  <c r="V101" i="23"/>
  <c r="AH101" i="23" s="1"/>
  <c r="AU107" i="18"/>
  <c r="AA43" i="19"/>
  <c r="W43" i="19"/>
  <c r="AI43" i="19" s="1"/>
  <c r="Z43" i="19"/>
  <c r="AK42" i="19"/>
  <c r="AM42" i="19" s="1"/>
  <c r="AO42" i="19" s="1"/>
  <c r="X43" i="20"/>
  <c r="W44" i="18"/>
  <c r="V45" i="16"/>
  <c r="AH45" i="16" s="1"/>
  <c r="AU110" i="16"/>
  <c r="AA45" i="16"/>
  <c r="AN44" i="16"/>
  <c r="W47" i="11"/>
  <c r="X47" i="11" s="1"/>
  <c r="AE47" i="11" s="1"/>
  <c r="AU103" i="11"/>
  <c r="W45" i="10"/>
  <c r="X45" i="10" s="1"/>
  <c r="AV114" i="10"/>
  <c r="AM100" i="23" l="1"/>
  <c r="AO100" i="23" s="1"/>
  <c r="W101" i="23"/>
  <c r="AV107" i="18"/>
  <c r="AU108" i="18" s="1"/>
  <c r="AV108" i="18" s="1"/>
  <c r="X43" i="19"/>
  <c r="AC43" i="19" s="1"/>
  <c r="AE43" i="20"/>
  <c r="AG43" i="20"/>
  <c r="U44" i="20"/>
  <c r="V44" i="20" s="1"/>
  <c r="AH44" i="20" s="1"/>
  <c r="AC43" i="20"/>
  <c r="AB43" i="20"/>
  <c r="X44" i="18"/>
  <c r="AG44" i="18" s="1"/>
  <c r="AV110" i="16"/>
  <c r="W45" i="16"/>
  <c r="X45" i="16" s="1"/>
  <c r="AG47" i="11"/>
  <c r="U48" i="11"/>
  <c r="V48" i="11" s="1"/>
  <c r="AH48" i="11" s="1"/>
  <c r="AC47" i="11"/>
  <c r="AV103" i="11"/>
  <c r="U46" i="10"/>
  <c r="AG45" i="10"/>
  <c r="AF45" i="10"/>
  <c r="AE45" i="10"/>
  <c r="AC45" i="10"/>
  <c r="AU115" i="10"/>
  <c r="AI101" i="23" l="1"/>
  <c r="X101" i="23"/>
  <c r="AU109" i="18"/>
  <c r="AG43" i="19"/>
  <c r="AE43" i="19"/>
  <c r="U44" i="19"/>
  <c r="V44" i="19" s="1"/>
  <c r="AH44" i="19" s="1"/>
  <c r="AB43" i="19"/>
  <c r="Z44" i="19" s="1"/>
  <c r="W44" i="20"/>
  <c r="AI44" i="20" s="1"/>
  <c r="Z44" i="20"/>
  <c r="AK43" i="20"/>
  <c r="AA44" i="20"/>
  <c r="AN43" i="20"/>
  <c r="AL43" i="20"/>
  <c r="AJ43" i="20"/>
  <c r="AA44" i="19"/>
  <c r="AN43" i="19"/>
  <c r="AC44" i="18"/>
  <c r="AA45" i="18" s="1"/>
  <c r="AE44" i="18"/>
  <c r="U45" i="18"/>
  <c r="V45" i="18" s="1"/>
  <c r="AH45" i="18" s="1"/>
  <c r="AC45" i="16"/>
  <c r="AG45" i="16"/>
  <c r="AE45" i="16"/>
  <c r="U46" i="16"/>
  <c r="AU111" i="16"/>
  <c r="AA48" i="11"/>
  <c r="AN47" i="11"/>
  <c r="W48" i="11"/>
  <c r="X48" i="11" s="1"/>
  <c r="AU104" i="11"/>
  <c r="AA46" i="10"/>
  <c r="AN45" i="10"/>
  <c r="V46" i="10"/>
  <c r="W46" i="10" s="1"/>
  <c r="AV115" i="10"/>
  <c r="AJ43" i="19" l="1"/>
  <c r="AL43" i="19"/>
  <c r="AG101" i="23"/>
  <c r="AC101" i="23"/>
  <c r="U102" i="23"/>
  <c r="AE101" i="23"/>
  <c r="AB101" i="23"/>
  <c r="AV109" i="18"/>
  <c r="AU110" i="18" s="1"/>
  <c r="AK43" i="19"/>
  <c r="X44" i="20"/>
  <c r="AE44" i="20" s="1"/>
  <c r="AM43" i="20"/>
  <c r="AO43" i="20" s="1"/>
  <c r="W44" i="19"/>
  <c r="AI44" i="19" s="1"/>
  <c r="AN44" i="18"/>
  <c r="W45" i="18"/>
  <c r="AV111" i="16"/>
  <c r="V46" i="16"/>
  <c r="AH46" i="16" s="1"/>
  <c r="AA46" i="16"/>
  <c r="AN45" i="16"/>
  <c r="U49" i="11"/>
  <c r="AG48" i="11"/>
  <c r="AE48" i="11"/>
  <c r="AC48" i="11"/>
  <c r="AV104" i="11"/>
  <c r="AU105" i="11" s="1"/>
  <c r="AH46" i="10"/>
  <c r="X46" i="10"/>
  <c r="AU116" i="10"/>
  <c r="AM43" i="19" l="1"/>
  <c r="AO43" i="19" s="1"/>
  <c r="AJ101" i="23"/>
  <c r="AL101" i="23"/>
  <c r="AA102" i="23"/>
  <c r="AN101" i="23"/>
  <c r="Z102" i="23"/>
  <c r="AK101" i="23"/>
  <c r="V102" i="23"/>
  <c r="AH102" i="23" s="1"/>
  <c r="AV110" i="18"/>
  <c r="AU111" i="18"/>
  <c r="AB44" i="20"/>
  <c r="AK44" i="20" s="1"/>
  <c r="AC44" i="20"/>
  <c r="AA45" i="20" s="1"/>
  <c r="U45" i="20"/>
  <c r="V45" i="20" s="1"/>
  <c r="AH45" i="20" s="1"/>
  <c r="AG44" i="20"/>
  <c r="AJ44" i="20" s="1"/>
  <c r="AL44" i="20"/>
  <c r="X44" i="19"/>
  <c r="AG44" i="19" s="1"/>
  <c r="X45" i="18"/>
  <c r="W46" i="16"/>
  <c r="X46" i="16" s="1"/>
  <c r="AU112" i="16"/>
  <c r="AV105" i="11"/>
  <c r="V49" i="11"/>
  <c r="AH49" i="11" s="1"/>
  <c r="AA49" i="11"/>
  <c r="AN48" i="11"/>
  <c r="AG46" i="10"/>
  <c r="AF46" i="10"/>
  <c r="AE46" i="10"/>
  <c r="AC46" i="10"/>
  <c r="U47" i="10"/>
  <c r="AV116" i="10"/>
  <c r="W102" i="23" l="1"/>
  <c r="AM101" i="23"/>
  <c r="AO101" i="23" s="1"/>
  <c r="AV111" i="18"/>
  <c r="AU112" i="18" s="1"/>
  <c r="AN44" i="20"/>
  <c r="AE44" i="19"/>
  <c r="AJ44" i="19" s="1"/>
  <c r="U45" i="19"/>
  <c r="V45" i="19" s="1"/>
  <c r="AH45" i="19" s="1"/>
  <c r="AB44" i="19"/>
  <c r="Z45" i="19" s="1"/>
  <c r="AC44" i="19"/>
  <c r="AN44" i="19" s="1"/>
  <c r="Z45" i="20"/>
  <c r="AM44" i="20"/>
  <c r="W45" i="20"/>
  <c r="AI45" i="20" s="1"/>
  <c r="AG45" i="18"/>
  <c r="AE45" i="18"/>
  <c r="U46" i="18"/>
  <c r="AC45" i="18"/>
  <c r="U47" i="16"/>
  <c r="AG46" i="16"/>
  <c r="AE46" i="16"/>
  <c r="AC46" i="16"/>
  <c r="AV112" i="16"/>
  <c r="W49" i="11"/>
  <c r="X49" i="11" s="1"/>
  <c r="U50" i="11" s="1"/>
  <c r="AU106" i="11"/>
  <c r="AA47" i="10"/>
  <c r="AN46" i="10"/>
  <c r="V47" i="10"/>
  <c r="W47" i="10" s="1"/>
  <c r="AU117" i="10"/>
  <c r="AI102" i="23" l="1"/>
  <c r="X102" i="23"/>
  <c r="AV112" i="18"/>
  <c r="AU113" i="18"/>
  <c r="AO44" i="20"/>
  <c r="AL44" i="19"/>
  <c r="AK44" i="19"/>
  <c r="AA45" i="19"/>
  <c r="X45" i="20"/>
  <c r="W45" i="19"/>
  <c r="AI45" i="19" s="1"/>
  <c r="AA46" i="18"/>
  <c r="AN45" i="18"/>
  <c r="V46" i="18"/>
  <c r="AH46" i="18" s="1"/>
  <c r="AA47" i="16"/>
  <c r="AN46" i="16"/>
  <c r="AU113" i="16"/>
  <c r="V47" i="16"/>
  <c r="AH47" i="16" s="1"/>
  <c r="AC49" i="11"/>
  <c r="AG49" i="11"/>
  <c r="AE49" i="11"/>
  <c r="AV106" i="11"/>
  <c r="V50" i="11"/>
  <c r="AH50" i="11" s="1"/>
  <c r="X47" i="10"/>
  <c r="U48" i="10" s="1"/>
  <c r="AH47" i="10"/>
  <c r="AV117" i="10"/>
  <c r="AE102" i="23" l="1"/>
  <c r="AC102" i="23"/>
  <c r="U103" i="23"/>
  <c r="AG102" i="23"/>
  <c r="AB102" i="23"/>
  <c r="AV113" i="18"/>
  <c r="AU114" i="18" s="1"/>
  <c r="AM44" i="19"/>
  <c r="AO44" i="19" s="1"/>
  <c r="U46" i="20"/>
  <c r="AC45" i="20"/>
  <c r="AE45" i="20"/>
  <c r="AG45" i="20"/>
  <c r="AB45" i="20"/>
  <c r="X45" i="19"/>
  <c r="W46" i="18"/>
  <c r="W47" i="16"/>
  <c r="X47" i="16" s="1"/>
  <c r="AV113" i="16"/>
  <c r="AU114" i="16" s="1"/>
  <c r="W50" i="11"/>
  <c r="X50" i="11" s="1"/>
  <c r="AG50" i="11" s="1"/>
  <c r="AA50" i="11"/>
  <c r="AN49" i="11"/>
  <c r="AU107" i="11"/>
  <c r="AG47" i="10"/>
  <c r="AF47" i="10"/>
  <c r="AE47" i="10"/>
  <c r="AC47" i="10"/>
  <c r="V48" i="10"/>
  <c r="AU118" i="10"/>
  <c r="V103" i="23" l="1"/>
  <c r="AH103" i="23" s="1"/>
  <c r="W103" i="23"/>
  <c r="AI103" i="23" s="1"/>
  <c r="X103" i="23"/>
  <c r="Z103" i="23"/>
  <c r="AK102" i="23"/>
  <c r="AA103" i="23"/>
  <c r="AN102" i="23"/>
  <c r="AJ102" i="23"/>
  <c r="AL102" i="23"/>
  <c r="AV114" i="18"/>
  <c r="Z46" i="20"/>
  <c r="AK45" i="20"/>
  <c r="AJ45" i="20"/>
  <c r="AL45" i="20"/>
  <c r="AA46" i="20"/>
  <c r="AN45" i="20"/>
  <c r="V46" i="20"/>
  <c r="AH46" i="20" s="1"/>
  <c r="AG45" i="19"/>
  <c r="U46" i="19"/>
  <c r="AE45" i="19"/>
  <c r="AC45" i="19"/>
  <c r="AB45" i="19"/>
  <c r="X46" i="18"/>
  <c r="AG46" i="18" s="1"/>
  <c r="AV114" i="16"/>
  <c r="AU115" i="16" s="1"/>
  <c r="AC47" i="16"/>
  <c r="AG47" i="16"/>
  <c r="AE47" i="16"/>
  <c r="U48" i="16"/>
  <c r="AC50" i="11"/>
  <c r="AN50" i="11" s="1"/>
  <c r="AE50" i="11"/>
  <c r="U51" i="11"/>
  <c r="V51" i="11" s="1"/>
  <c r="AH51" i="11" s="1"/>
  <c r="AV107" i="11"/>
  <c r="AA48" i="10"/>
  <c r="AN47" i="10"/>
  <c r="W48" i="10"/>
  <c r="X48" i="10" s="1"/>
  <c r="AH48" i="10"/>
  <c r="AV118" i="10"/>
  <c r="AM102" i="23" l="1"/>
  <c r="AO102" i="23" s="1"/>
  <c r="AE103" i="23"/>
  <c r="AL103" i="23" s="1"/>
  <c r="AG103" i="23"/>
  <c r="AC103" i="23"/>
  <c r="AA104" i="23" s="1"/>
  <c r="U104" i="23"/>
  <c r="AB103" i="23"/>
  <c r="Z104" i="23" s="1"/>
  <c r="AN103" i="23"/>
  <c r="AU115" i="18"/>
  <c r="W46" i="20"/>
  <c r="AI46" i="20" s="1"/>
  <c r="AM45" i="20"/>
  <c r="AO45" i="20" s="1"/>
  <c r="AA46" i="19"/>
  <c r="AN45" i="19"/>
  <c r="V46" i="19"/>
  <c r="AH46" i="19" s="1"/>
  <c r="Z46" i="19"/>
  <c r="AK45" i="19"/>
  <c r="AJ45" i="19"/>
  <c r="AL45" i="19"/>
  <c r="AC46" i="18"/>
  <c r="AN46" i="18" s="1"/>
  <c r="U47" i="18"/>
  <c r="V47" i="18" s="1"/>
  <c r="AH47" i="18" s="1"/>
  <c r="AE46" i="18"/>
  <c r="AA48" i="16"/>
  <c r="AN47" i="16"/>
  <c r="AV115" i="16"/>
  <c r="V48" i="16"/>
  <c r="AH48" i="16" s="1"/>
  <c r="AA51" i="11"/>
  <c r="AU108" i="11"/>
  <c r="W51" i="11"/>
  <c r="X51" i="11" s="1"/>
  <c r="AF48" i="10"/>
  <c r="AG48" i="10"/>
  <c r="AC48" i="10"/>
  <c r="AA49" i="10" s="1"/>
  <c r="AE48" i="10"/>
  <c r="AU119" i="10"/>
  <c r="U49" i="10"/>
  <c r="V104" i="23" l="1"/>
  <c r="AH104" i="23" s="1"/>
  <c r="AJ103" i="23"/>
  <c r="AK103" i="23"/>
  <c r="AV115" i="18"/>
  <c r="X46" i="20"/>
  <c r="U47" i="20" s="1"/>
  <c r="AM45" i="19"/>
  <c r="AO45" i="19" s="1"/>
  <c r="W46" i="19"/>
  <c r="AI46" i="19" s="1"/>
  <c r="AA47" i="18"/>
  <c r="W47" i="18"/>
  <c r="W48" i="16"/>
  <c r="X48" i="16" s="1"/>
  <c r="AU116" i="16"/>
  <c r="AE51" i="11"/>
  <c r="U52" i="11"/>
  <c r="AC51" i="11"/>
  <c r="AG51" i="11"/>
  <c r="AV108" i="11"/>
  <c r="AN48" i="10"/>
  <c r="V49" i="10"/>
  <c r="AH49" i="10" s="1"/>
  <c r="AV119" i="10"/>
  <c r="AM103" i="23" l="1"/>
  <c r="AO103" i="23" s="1"/>
  <c r="W104" i="23"/>
  <c r="AU116" i="18"/>
  <c r="AB46" i="20"/>
  <c r="Z47" i="20" s="1"/>
  <c r="AC46" i="20"/>
  <c r="AA47" i="20" s="1"/>
  <c r="AG46" i="20"/>
  <c r="AE46" i="20"/>
  <c r="AL46" i="20" s="1"/>
  <c r="V47" i="20"/>
  <c r="AH47" i="20" s="1"/>
  <c r="X46" i="19"/>
  <c r="X47" i="18"/>
  <c r="AV116" i="16"/>
  <c r="AE48" i="16"/>
  <c r="AG48" i="16"/>
  <c r="AC48" i="16"/>
  <c r="U49" i="16"/>
  <c r="AU109" i="11"/>
  <c r="AA52" i="11"/>
  <c r="AN51" i="11"/>
  <c r="V52" i="11"/>
  <c r="AH52" i="11" s="1"/>
  <c r="W49" i="10"/>
  <c r="X49" i="10" s="1"/>
  <c r="AU120" i="10"/>
  <c r="AI104" i="23" l="1"/>
  <c r="X104" i="23"/>
  <c r="AV116" i="18"/>
  <c r="AK46" i="20"/>
  <c r="AN46" i="20"/>
  <c r="AJ46" i="20"/>
  <c r="W47" i="20"/>
  <c r="AI47" i="20" s="1"/>
  <c r="AG46" i="19"/>
  <c r="AE46" i="19"/>
  <c r="U47" i="19"/>
  <c r="AC46" i="19"/>
  <c r="AB46" i="19"/>
  <c r="U48" i="18"/>
  <c r="AC47" i="18"/>
  <c r="AG47" i="18"/>
  <c r="AE47" i="18"/>
  <c r="V49" i="16"/>
  <c r="AH49" i="16" s="1"/>
  <c r="AA49" i="16"/>
  <c r="AN48" i="16"/>
  <c r="AU117" i="16"/>
  <c r="AV109" i="11"/>
  <c r="W52" i="11"/>
  <c r="X52" i="11" s="1"/>
  <c r="AF49" i="10"/>
  <c r="AE49" i="10"/>
  <c r="AG49" i="10"/>
  <c r="AC49" i="10"/>
  <c r="AV120" i="10"/>
  <c r="AE104" i="23" l="1"/>
  <c r="AC104" i="23"/>
  <c r="AG104" i="23"/>
  <c r="U105" i="23"/>
  <c r="AB104" i="23"/>
  <c r="AU117" i="18"/>
  <c r="AM46" i="20"/>
  <c r="AO46" i="20" s="1"/>
  <c r="X47" i="20"/>
  <c r="U48" i="20" s="1"/>
  <c r="Z47" i="19"/>
  <c r="AK46" i="19"/>
  <c r="V47" i="19"/>
  <c r="AH47" i="19" s="1"/>
  <c r="AJ46" i="19"/>
  <c r="AL46" i="19"/>
  <c r="AA47" i="19"/>
  <c r="AN46" i="19"/>
  <c r="V48" i="18"/>
  <c r="AH48" i="18" s="1"/>
  <c r="AA48" i="18"/>
  <c r="AN47" i="18"/>
  <c r="W49" i="16"/>
  <c r="X49" i="16" s="1"/>
  <c r="U50" i="16" s="1"/>
  <c r="AV117" i="16"/>
  <c r="AU118" i="16" s="1"/>
  <c r="AG52" i="11"/>
  <c r="U53" i="11"/>
  <c r="AC52" i="11"/>
  <c r="AE52" i="11"/>
  <c r="AU110" i="11"/>
  <c r="AA50" i="10"/>
  <c r="AN49" i="10"/>
  <c r="AU121" i="10"/>
  <c r="U50" i="10"/>
  <c r="Z105" i="23" l="1"/>
  <c r="AK104" i="23"/>
  <c r="AA105" i="23"/>
  <c r="AN104" i="23"/>
  <c r="V105" i="23"/>
  <c r="AH105" i="23" s="1"/>
  <c r="W105" i="23"/>
  <c r="AI105" i="23" s="1"/>
  <c r="AJ104" i="23"/>
  <c r="AL104" i="23"/>
  <c r="AV117" i="18"/>
  <c r="AU118" i="18" s="1"/>
  <c r="AB47" i="20"/>
  <c r="Z48" i="20" s="1"/>
  <c r="AC47" i="20"/>
  <c r="AA48" i="20" s="1"/>
  <c r="AE47" i="20"/>
  <c r="AL47" i="20" s="1"/>
  <c r="AG47" i="20"/>
  <c r="V48" i="20"/>
  <c r="AH48" i="20" s="1"/>
  <c r="W47" i="19"/>
  <c r="AI47" i="19" s="1"/>
  <c r="AM46" i="19"/>
  <c r="AO46" i="19" s="1"/>
  <c r="W48" i="18"/>
  <c r="AC49" i="16"/>
  <c r="AA50" i="16" s="1"/>
  <c r="AG49" i="16"/>
  <c r="AE49" i="16"/>
  <c r="V50" i="16"/>
  <c r="AH50" i="16" s="1"/>
  <c r="AV118" i="16"/>
  <c r="AA53" i="11"/>
  <c r="AN52" i="11"/>
  <c r="V53" i="11"/>
  <c r="AH53" i="11" s="1"/>
  <c r="AV110" i="11"/>
  <c r="AU111" i="11" s="1"/>
  <c r="V50" i="10"/>
  <c r="AH50" i="10" s="1"/>
  <c r="AV121" i="10"/>
  <c r="AM104" i="23" l="1"/>
  <c r="AO104" i="23" s="1"/>
  <c r="X105" i="23"/>
  <c r="AV118" i="18"/>
  <c r="AJ47" i="20"/>
  <c r="AK47" i="20"/>
  <c r="AN47" i="20"/>
  <c r="W48" i="20"/>
  <c r="AI48" i="20" s="1"/>
  <c r="X47" i="19"/>
  <c r="X48" i="18"/>
  <c r="AN49" i="16"/>
  <c r="AU119" i="16"/>
  <c r="W50" i="16"/>
  <c r="X50" i="16" s="1"/>
  <c r="AV111" i="11"/>
  <c r="W53" i="11"/>
  <c r="X53" i="11" s="1"/>
  <c r="W50" i="10"/>
  <c r="X50" i="10" s="1"/>
  <c r="AU122" i="10"/>
  <c r="AE105" i="23" l="1"/>
  <c r="AC105" i="23"/>
  <c r="AG105" i="23"/>
  <c r="U106" i="23"/>
  <c r="AB105" i="23"/>
  <c r="AU119" i="18"/>
  <c r="AM47" i="20"/>
  <c r="AO47" i="20" s="1"/>
  <c r="X48" i="20"/>
  <c r="AG48" i="20" s="1"/>
  <c r="AG47" i="19"/>
  <c r="U48" i="19"/>
  <c r="AE47" i="19"/>
  <c r="AC47" i="19"/>
  <c r="AB47" i="19"/>
  <c r="AG48" i="18"/>
  <c r="U49" i="18"/>
  <c r="AE48" i="18"/>
  <c r="AC48" i="18"/>
  <c r="U51" i="16"/>
  <c r="AG50" i="16"/>
  <c r="AE50" i="16"/>
  <c r="AC50" i="16"/>
  <c r="AV119" i="16"/>
  <c r="AE53" i="11"/>
  <c r="AC53" i="11"/>
  <c r="AG53" i="11"/>
  <c r="U54" i="11"/>
  <c r="AU112" i="11"/>
  <c r="AG50" i="10"/>
  <c r="AF50" i="10"/>
  <c r="AE50" i="10"/>
  <c r="AC50" i="10"/>
  <c r="AV122" i="10"/>
  <c r="Z106" i="23" l="1"/>
  <c r="AK105" i="23"/>
  <c r="AA106" i="23"/>
  <c r="AN105" i="23"/>
  <c r="V106" i="23"/>
  <c r="AH106" i="23" s="1"/>
  <c r="W106" i="23"/>
  <c r="AI106" i="23" s="1"/>
  <c r="X106" i="23"/>
  <c r="AJ105" i="23"/>
  <c r="AL105" i="23"/>
  <c r="AV119" i="18"/>
  <c r="AB48" i="20"/>
  <c r="Z49" i="20" s="1"/>
  <c r="AC48" i="20"/>
  <c r="AA49" i="20" s="1"/>
  <c r="U49" i="20"/>
  <c r="V49" i="20" s="1"/>
  <c r="AH49" i="20" s="1"/>
  <c r="AE48" i="20"/>
  <c r="AL48" i="20" s="1"/>
  <c r="Z48" i="19"/>
  <c r="AK47" i="19"/>
  <c r="V48" i="19"/>
  <c r="AH48" i="19" s="1"/>
  <c r="AA48" i="19"/>
  <c r="AN47" i="19"/>
  <c r="AJ47" i="19"/>
  <c r="AL47" i="19"/>
  <c r="AA49" i="18"/>
  <c r="AN48" i="18"/>
  <c r="V49" i="18"/>
  <c r="AH49" i="18" s="1"/>
  <c r="AU120" i="16"/>
  <c r="AA51" i="16"/>
  <c r="AN50" i="16"/>
  <c r="V51" i="16"/>
  <c r="AH51" i="16" s="1"/>
  <c r="AV112" i="11"/>
  <c r="AU113" i="11" s="1"/>
  <c r="V54" i="11"/>
  <c r="AH54" i="11" s="1"/>
  <c r="AA54" i="11"/>
  <c r="AN53" i="11"/>
  <c r="AA51" i="10"/>
  <c r="AN50" i="10"/>
  <c r="AU123" i="10"/>
  <c r="U51" i="10"/>
  <c r="AM105" i="23" l="1"/>
  <c r="AO105" i="23" s="1"/>
  <c r="AC106" i="23"/>
  <c r="AA107" i="23" s="1"/>
  <c r="AG106" i="23"/>
  <c r="U107" i="23"/>
  <c r="AE106" i="23"/>
  <c r="AL106" i="23" s="1"/>
  <c r="AB106" i="23"/>
  <c r="Z107" i="23" s="1"/>
  <c r="AN106" i="23"/>
  <c r="AK106" i="23"/>
  <c r="AU120" i="18"/>
  <c r="AK48" i="20"/>
  <c r="AN48" i="20"/>
  <c r="AJ48" i="20"/>
  <c r="W49" i="20"/>
  <c r="AI49" i="20" s="1"/>
  <c r="AM47" i="19"/>
  <c r="AO47" i="19" s="1"/>
  <c r="W48" i="19"/>
  <c r="AI48" i="19" s="1"/>
  <c r="W49" i="18"/>
  <c r="AV120" i="16"/>
  <c r="W51" i="16"/>
  <c r="X51" i="16" s="1"/>
  <c r="AV113" i="11"/>
  <c r="AU114" i="11" s="1"/>
  <c r="W54" i="11"/>
  <c r="X54" i="11" s="1"/>
  <c r="V51" i="10"/>
  <c r="W51" i="10" s="1"/>
  <c r="AV123" i="10"/>
  <c r="AJ106" i="23" l="1"/>
  <c r="AM106" i="23" s="1"/>
  <c r="AO106" i="23" s="1"/>
  <c r="V107" i="23"/>
  <c r="AH107" i="23" s="1"/>
  <c r="W107" i="23"/>
  <c r="AI107" i="23" s="1"/>
  <c r="X107" i="23"/>
  <c r="AV120" i="18"/>
  <c r="AU121" i="18" s="1"/>
  <c r="AM48" i="20"/>
  <c r="AO48" i="20" s="1"/>
  <c r="X49" i="20"/>
  <c r="AG49" i="20" s="1"/>
  <c r="X48" i="19"/>
  <c r="AG48" i="19" s="1"/>
  <c r="X49" i="18"/>
  <c r="AE49" i="18" s="1"/>
  <c r="AE51" i="16"/>
  <c r="U52" i="16"/>
  <c r="AG51" i="16"/>
  <c r="AC51" i="16"/>
  <c r="AU121" i="16"/>
  <c r="AV114" i="11"/>
  <c r="AG54" i="11"/>
  <c r="U55" i="11"/>
  <c r="AE54" i="11"/>
  <c r="AC54" i="11"/>
  <c r="X51" i="10"/>
  <c r="AH51" i="10"/>
  <c r="AU124" i="10"/>
  <c r="AV124" i="10" s="1"/>
  <c r="AW119" i="10" s="1"/>
  <c r="AC107" i="23" l="1"/>
  <c r="AE107" i="23"/>
  <c r="U108" i="23"/>
  <c r="AG107" i="23"/>
  <c r="AB107" i="23"/>
  <c r="AV121" i="18"/>
  <c r="AB48" i="19"/>
  <c r="AK48" i="19" s="1"/>
  <c r="AC48" i="19"/>
  <c r="AN48" i="19" s="1"/>
  <c r="U49" i="19"/>
  <c r="V49" i="19" s="1"/>
  <c r="AH49" i="19" s="1"/>
  <c r="AE48" i="19"/>
  <c r="AJ48" i="19" s="1"/>
  <c r="AB49" i="20"/>
  <c r="Z50" i="20" s="1"/>
  <c r="U50" i="20"/>
  <c r="V50" i="20" s="1"/>
  <c r="AH50" i="20" s="1"/>
  <c r="AE49" i="20"/>
  <c r="AJ49" i="20" s="1"/>
  <c r="AC49" i="20"/>
  <c r="AN49" i="20" s="1"/>
  <c r="AC49" i="18"/>
  <c r="AA50" i="18" s="1"/>
  <c r="AG49" i="18"/>
  <c r="U50" i="18"/>
  <c r="V50" i="18" s="1"/>
  <c r="AH50" i="18" s="1"/>
  <c r="AA52" i="16"/>
  <c r="AN51" i="16"/>
  <c r="V52" i="16"/>
  <c r="AH52" i="16" s="1"/>
  <c r="AV121" i="16"/>
  <c r="AA55" i="11"/>
  <c r="AN54" i="11"/>
  <c r="V55" i="11"/>
  <c r="AH55" i="11" s="1"/>
  <c r="AU115" i="11"/>
  <c r="AW121" i="10"/>
  <c r="O121" i="10" s="1"/>
  <c r="Q121" i="10" s="1"/>
  <c r="AW118" i="10"/>
  <c r="O118" i="10" s="1"/>
  <c r="Q118" i="10" s="1"/>
  <c r="AW120" i="10"/>
  <c r="O120" i="10" s="1"/>
  <c r="Q120" i="10" s="1"/>
  <c r="AX120" i="10"/>
  <c r="N120" i="10" s="1"/>
  <c r="P120" i="10" s="1"/>
  <c r="AF51" i="10"/>
  <c r="AG51" i="10"/>
  <c r="AC51" i="10"/>
  <c r="AE51" i="10"/>
  <c r="AX118" i="10"/>
  <c r="N118" i="10" s="1"/>
  <c r="P118" i="10" s="1"/>
  <c r="AW124" i="10"/>
  <c r="O124" i="10" s="1"/>
  <c r="Q124" i="10" s="1"/>
  <c r="AX123" i="10"/>
  <c r="N123" i="10" s="1"/>
  <c r="P123" i="10" s="1"/>
  <c r="AX124" i="10"/>
  <c r="N124" i="10" s="1"/>
  <c r="AW123" i="10"/>
  <c r="O123" i="10" s="1"/>
  <c r="Q123" i="10" s="1"/>
  <c r="AW7" i="10"/>
  <c r="O7" i="10" s="1"/>
  <c r="Q7" i="10" s="1"/>
  <c r="AB7" i="10" s="1"/>
  <c r="Z8" i="10" s="1"/>
  <c r="AW4" i="10"/>
  <c r="O4" i="10" s="1"/>
  <c r="Q4" i="10" s="1"/>
  <c r="AB4" i="10" s="1"/>
  <c r="AX5" i="10"/>
  <c r="N5" i="10" s="1"/>
  <c r="AW5" i="10"/>
  <c r="O5" i="10" s="1"/>
  <c r="Q5" i="10" s="1"/>
  <c r="AB5" i="10" s="1"/>
  <c r="Z6" i="10" s="1"/>
  <c r="AX4" i="10"/>
  <c r="N4" i="10" s="1"/>
  <c r="P4" i="10" s="1"/>
  <c r="AW6" i="10"/>
  <c r="O6" i="10" s="1"/>
  <c r="Q6" i="10" s="1"/>
  <c r="AB6" i="10" s="1"/>
  <c r="Z7" i="10" s="1"/>
  <c r="AW9" i="10"/>
  <c r="O9" i="10" s="1"/>
  <c r="Q9" i="10" s="1"/>
  <c r="AB9" i="10" s="1"/>
  <c r="Z10" i="10" s="1"/>
  <c r="AX7" i="10"/>
  <c r="N7" i="10" s="1"/>
  <c r="AX6" i="10"/>
  <c r="N6" i="10" s="1"/>
  <c r="AX9" i="10"/>
  <c r="N9" i="10" s="1"/>
  <c r="AX8" i="10"/>
  <c r="N8" i="10" s="1"/>
  <c r="AW8" i="10"/>
  <c r="O8" i="10" s="1"/>
  <c r="Q8" i="10" s="1"/>
  <c r="AB8" i="10" s="1"/>
  <c r="Z9" i="10" s="1"/>
  <c r="AX10" i="10"/>
  <c r="N10" i="10" s="1"/>
  <c r="AW13" i="10"/>
  <c r="O13" i="10" s="1"/>
  <c r="Q13" i="10" s="1"/>
  <c r="AB13" i="10" s="1"/>
  <c r="Z14" i="10" s="1"/>
  <c r="AX11" i="10"/>
  <c r="N11" i="10" s="1"/>
  <c r="AW12" i="10"/>
  <c r="O12" i="10" s="1"/>
  <c r="Q12" i="10" s="1"/>
  <c r="AB12" i="10" s="1"/>
  <c r="Z13" i="10" s="1"/>
  <c r="AW10" i="10"/>
  <c r="O10" i="10" s="1"/>
  <c r="Q10" i="10" s="1"/>
  <c r="AB10" i="10" s="1"/>
  <c r="Z11" i="10" s="1"/>
  <c r="AX13" i="10"/>
  <c r="N13" i="10" s="1"/>
  <c r="AX12" i="10"/>
  <c r="N12" i="10" s="1"/>
  <c r="AW11" i="10"/>
  <c r="O11" i="10" s="1"/>
  <c r="Q11" i="10" s="1"/>
  <c r="AB11" i="10" s="1"/>
  <c r="Z12" i="10" s="1"/>
  <c r="AW14" i="10"/>
  <c r="O14" i="10" s="1"/>
  <c r="Q14" i="10" s="1"/>
  <c r="AB14" i="10" s="1"/>
  <c r="Z15" i="10" s="1"/>
  <c r="AW15" i="10"/>
  <c r="O15" i="10" s="1"/>
  <c r="Q15" i="10" s="1"/>
  <c r="AB15" i="10" s="1"/>
  <c r="Z16" i="10" s="1"/>
  <c r="AX14" i="10"/>
  <c r="N14" i="10" s="1"/>
  <c r="AX16" i="10"/>
  <c r="N16" i="10" s="1"/>
  <c r="AX15" i="10"/>
  <c r="N15" i="10" s="1"/>
  <c r="AX18" i="10"/>
  <c r="N18" i="10" s="1"/>
  <c r="AW18" i="10"/>
  <c r="O18" i="10" s="1"/>
  <c r="Q18" i="10" s="1"/>
  <c r="AB18" i="10" s="1"/>
  <c r="Z19" i="10" s="1"/>
  <c r="AW16" i="10"/>
  <c r="O16" i="10" s="1"/>
  <c r="Q16" i="10" s="1"/>
  <c r="AB16" i="10" s="1"/>
  <c r="Z17" i="10" s="1"/>
  <c r="AW19" i="10"/>
  <c r="O19" i="10" s="1"/>
  <c r="Q19" i="10" s="1"/>
  <c r="AB19" i="10" s="1"/>
  <c r="Z20" i="10" s="1"/>
  <c r="AX21" i="10"/>
  <c r="N21" i="10" s="1"/>
  <c r="AX19" i="10"/>
  <c r="N19" i="10" s="1"/>
  <c r="AW17" i="10"/>
  <c r="O17" i="10" s="1"/>
  <c r="Q17" i="10" s="1"/>
  <c r="AB17" i="10" s="1"/>
  <c r="Z18" i="10" s="1"/>
  <c r="AW21" i="10"/>
  <c r="O21" i="10" s="1"/>
  <c r="Q21" i="10" s="1"/>
  <c r="AB21" i="10" s="1"/>
  <c r="Z22" i="10" s="1"/>
  <c r="AX17" i="10"/>
  <c r="N17" i="10" s="1"/>
  <c r="AW20" i="10"/>
  <c r="O20" i="10" s="1"/>
  <c r="Q20" i="10" s="1"/>
  <c r="AB20" i="10" s="1"/>
  <c r="Z21" i="10" s="1"/>
  <c r="AX20" i="10"/>
  <c r="N20" i="10" s="1"/>
  <c r="AW22" i="10"/>
  <c r="O22" i="10" s="1"/>
  <c r="Q22" i="10" s="1"/>
  <c r="AB22" i="10" s="1"/>
  <c r="Z23" i="10" s="1"/>
  <c r="AX22" i="10"/>
  <c r="N22" i="10" s="1"/>
  <c r="AW23" i="10"/>
  <c r="O23" i="10" s="1"/>
  <c r="Q23" i="10" s="1"/>
  <c r="AB23" i="10" s="1"/>
  <c r="Z24" i="10" s="1"/>
  <c r="AX23" i="10"/>
  <c r="N23" i="10" s="1"/>
  <c r="AW24" i="10"/>
  <c r="O24" i="10" s="1"/>
  <c r="Q24" i="10" s="1"/>
  <c r="AB24" i="10" s="1"/>
  <c r="Z25" i="10" s="1"/>
  <c r="AX24" i="10"/>
  <c r="N24" i="10" s="1"/>
  <c r="AW26" i="10"/>
  <c r="O26" i="10" s="1"/>
  <c r="Q26" i="10" s="1"/>
  <c r="AB26" i="10" s="1"/>
  <c r="Z27" i="10" s="1"/>
  <c r="AX25" i="10"/>
  <c r="N25" i="10" s="1"/>
  <c r="AW25" i="10"/>
  <c r="O25" i="10" s="1"/>
  <c r="Q25" i="10" s="1"/>
  <c r="AB25" i="10" s="1"/>
  <c r="Z26" i="10" s="1"/>
  <c r="AW27" i="10"/>
  <c r="O27" i="10" s="1"/>
  <c r="Q27" i="10" s="1"/>
  <c r="AB27" i="10" s="1"/>
  <c r="Z28" i="10" s="1"/>
  <c r="AW28" i="10"/>
  <c r="O28" i="10" s="1"/>
  <c r="Q28" i="10" s="1"/>
  <c r="AB28" i="10" s="1"/>
  <c r="Z29" i="10" s="1"/>
  <c r="AX26" i="10"/>
  <c r="N26" i="10" s="1"/>
  <c r="AX27" i="10"/>
  <c r="N27" i="10" s="1"/>
  <c r="AW29" i="10"/>
  <c r="O29" i="10" s="1"/>
  <c r="Q29" i="10" s="1"/>
  <c r="AB29" i="10" s="1"/>
  <c r="Z30" i="10" s="1"/>
  <c r="AX29" i="10"/>
  <c r="N29" i="10" s="1"/>
  <c r="AX28" i="10"/>
  <c r="N28" i="10" s="1"/>
  <c r="AX30" i="10"/>
  <c r="N30" i="10" s="1"/>
  <c r="AW30" i="10"/>
  <c r="O30" i="10" s="1"/>
  <c r="Q30" i="10" s="1"/>
  <c r="AB30" i="10" s="1"/>
  <c r="Z31" i="10" s="1"/>
  <c r="AX31" i="10"/>
  <c r="N31" i="10" s="1"/>
  <c r="AW31" i="10"/>
  <c r="O31" i="10" s="1"/>
  <c r="Q31" i="10" s="1"/>
  <c r="AB31" i="10" s="1"/>
  <c r="Z32" i="10" s="1"/>
  <c r="AW33" i="10"/>
  <c r="O33" i="10" s="1"/>
  <c r="Q33" i="10" s="1"/>
  <c r="AB33" i="10" s="1"/>
  <c r="Z34" i="10" s="1"/>
  <c r="AW32" i="10"/>
  <c r="O32" i="10" s="1"/>
  <c r="Q32" i="10" s="1"/>
  <c r="AB32" i="10" s="1"/>
  <c r="Z33" i="10" s="1"/>
  <c r="AX32" i="10"/>
  <c r="N32" i="10" s="1"/>
  <c r="AX33" i="10"/>
  <c r="N33" i="10" s="1"/>
  <c r="AW34" i="10"/>
  <c r="O34" i="10" s="1"/>
  <c r="Q34" i="10" s="1"/>
  <c r="AB34" i="10" s="1"/>
  <c r="Z35" i="10" s="1"/>
  <c r="AW35" i="10"/>
  <c r="O35" i="10" s="1"/>
  <c r="Q35" i="10" s="1"/>
  <c r="AB35" i="10" s="1"/>
  <c r="Z36" i="10" s="1"/>
  <c r="AX34" i="10"/>
  <c r="N34" i="10" s="1"/>
  <c r="AX35" i="10"/>
  <c r="N35" i="10" s="1"/>
  <c r="AX37" i="10"/>
  <c r="N37" i="10" s="1"/>
  <c r="AW36" i="10"/>
  <c r="O36" i="10" s="1"/>
  <c r="Q36" i="10" s="1"/>
  <c r="AB36" i="10" s="1"/>
  <c r="Z37" i="10" s="1"/>
  <c r="AX36" i="10"/>
  <c r="N36" i="10" s="1"/>
  <c r="AW39" i="10"/>
  <c r="O39" i="10" s="1"/>
  <c r="Q39" i="10" s="1"/>
  <c r="AB39" i="10" s="1"/>
  <c r="Z40" i="10" s="1"/>
  <c r="AW37" i="10"/>
  <c r="O37" i="10" s="1"/>
  <c r="Q37" i="10" s="1"/>
  <c r="AB37" i="10" s="1"/>
  <c r="Z38" i="10" s="1"/>
  <c r="AX38" i="10"/>
  <c r="N38" i="10" s="1"/>
  <c r="AW38" i="10"/>
  <c r="O38" i="10" s="1"/>
  <c r="Q38" i="10" s="1"/>
  <c r="AB38" i="10" s="1"/>
  <c r="Z39" i="10" s="1"/>
  <c r="AW40" i="10"/>
  <c r="O40" i="10" s="1"/>
  <c r="Q40" i="10" s="1"/>
  <c r="AB40" i="10" s="1"/>
  <c r="Z41" i="10" s="1"/>
  <c r="AX39" i="10"/>
  <c r="N39" i="10" s="1"/>
  <c r="AX40" i="10"/>
  <c r="N40" i="10" s="1"/>
  <c r="AX41" i="10"/>
  <c r="N41" i="10" s="1"/>
  <c r="AW41" i="10"/>
  <c r="O41" i="10" s="1"/>
  <c r="Q41" i="10" s="1"/>
  <c r="AB41" i="10" s="1"/>
  <c r="Z42" i="10" s="1"/>
  <c r="AX42" i="10"/>
  <c r="N42" i="10" s="1"/>
  <c r="AW42" i="10"/>
  <c r="O42" i="10" s="1"/>
  <c r="Q42" i="10" s="1"/>
  <c r="AB42" i="10" s="1"/>
  <c r="Z43" i="10" s="1"/>
  <c r="AX43" i="10"/>
  <c r="N43" i="10" s="1"/>
  <c r="AW43" i="10"/>
  <c r="O43" i="10" s="1"/>
  <c r="Q43" i="10" s="1"/>
  <c r="AB43" i="10" s="1"/>
  <c r="Z44" i="10" s="1"/>
  <c r="AX44" i="10"/>
  <c r="N44" i="10" s="1"/>
  <c r="AW44" i="10"/>
  <c r="O44" i="10" s="1"/>
  <c r="Q44" i="10" s="1"/>
  <c r="AB44" i="10" s="1"/>
  <c r="Z45" i="10" s="1"/>
  <c r="AX45" i="10"/>
  <c r="N45" i="10" s="1"/>
  <c r="AW45" i="10"/>
  <c r="O45" i="10" s="1"/>
  <c r="Q45" i="10" s="1"/>
  <c r="AB45" i="10" s="1"/>
  <c r="Z46" i="10" s="1"/>
  <c r="AX46" i="10"/>
  <c r="N46" i="10" s="1"/>
  <c r="AW47" i="10"/>
  <c r="O47" i="10" s="1"/>
  <c r="Q47" i="10" s="1"/>
  <c r="AB47" i="10" s="1"/>
  <c r="Z48" i="10" s="1"/>
  <c r="AW46" i="10"/>
  <c r="O46" i="10" s="1"/>
  <c r="Q46" i="10" s="1"/>
  <c r="AB46" i="10" s="1"/>
  <c r="Z47" i="10" s="1"/>
  <c r="AX47" i="10"/>
  <c r="N47" i="10" s="1"/>
  <c r="AW48" i="10"/>
  <c r="O48" i="10" s="1"/>
  <c r="Q48" i="10" s="1"/>
  <c r="AB48" i="10" s="1"/>
  <c r="Z49" i="10" s="1"/>
  <c r="AX48" i="10"/>
  <c r="N48" i="10" s="1"/>
  <c r="AX50" i="10"/>
  <c r="N50" i="10" s="1"/>
  <c r="AX49" i="10"/>
  <c r="N49" i="10" s="1"/>
  <c r="AW49" i="10"/>
  <c r="O49" i="10" s="1"/>
  <c r="Q49" i="10" s="1"/>
  <c r="AB49" i="10" s="1"/>
  <c r="Z50" i="10" s="1"/>
  <c r="AW51" i="10"/>
  <c r="O51" i="10" s="1"/>
  <c r="Q51" i="10" s="1"/>
  <c r="AB51" i="10" s="1"/>
  <c r="Z52" i="10" s="1"/>
  <c r="AW50" i="10"/>
  <c r="O50" i="10" s="1"/>
  <c r="Q50" i="10" s="1"/>
  <c r="AB50" i="10" s="1"/>
  <c r="Z51" i="10" s="1"/>
  <c r="AX52" i="10"/>
  <c r="N52" i="10" s="1"/>
  <c r="P52" i="10" s="1"/>
  <c r="AW54" i="10"/>
  <c r="O54" i="10" s="1"/>
  <c r="Q54" i="10" s="1"/>
  <c r="AX51" i="10"/>
  <c r="N51" i="10" s="1"/>
  <c r="P51" i="10" s="1"/>
  <c r="AI51" i="10" s="1"/>
  <c r="AW52" i="10"/>
  <c r="O52" i="10" s="1"/>
  <c r="Q52" i="10" s="1"/>
  <c r="AW56" i="10"/>
  <c r="O56" i="10" s="1"/>
  <c r="Q56" i="10" s="1"/>
  <c r="AW53" i="10"/>
  <c r="O53" i="10" s="1"/>
  <c r="Q53" i="10" s="1"/>
  <c r="AX53" i="10"/>
  <c r="N53" i="10" s="1"/>
  <c r="P53" i="10" s="1"/>
  <c r="AW55" i="10"/>
  <c r="O55" i="10" s="1"/>
  <c r="Q55" i="10" s="1"/>
  <c r="AX55" i="10"/>
  <c r="N55" i="10" s="1"/>
  <c r="P55" i="10" s="1"/>
  <c r="AX54" i="10"/>
  <c r="N54" i="10" s="1"/>
  <c r="P54" i="10" s="1"/>
  <c r="AW57" i="10"/>
  <c r="O57" i="10" s="1"/>
  <c r="Q57" i="10" s="1"/>
  <c r="AX56" i="10"/>
  <c r="N56" i="10" s="1"/>
  <c r="P56" i="10" s="1"/>
  <c r="AX57" i="10"/>
  <c r="N57" i="10" s="1"/>
  <c r="P57" i="10" s="1"/>
  <c r="AX58" i="10"/>
  <c r="N58" i="10" s="1"/>
  <c r="P58" i="10" s="1"/>
  <c r="AX60" i="10"/>
  <c r="N60" i="10" s="1"/>
  <c r="P60" i="10" s="1"/>
  <c r="AW58" i="10"/>
  <c r="O58" i="10" s="1"/>
  <c r="Q58" i="10" s="1"/>
  <c r="AX59" i="10"/>
  <c r="N59" i="10" s="1"/>
  <c r="P59" i="10" s="1"/>
  <c r="AW61" i="10"/>
  <c r="O61" i="10" s="1"/>
  <c r="Q61" i="10" s="1"/>
  <c r="AX62" i="10"/>
  <c r="N62" i="10" s="1"/>
  <c r="P62" i="10" s="1"/>
  <c r="AW60" i="10"/>
  <c r="O60" i="10" s="1"/>
  <c r="Q60" i="10" s="1"/>
  <c r="AW59" i="10"/>
  <c r="O59" i="10" s="1"/>
  <c r="Q59" i="10" s="1"/>
  <c r="AX63" i="10"/>
  <c r="N63" i="10" s="1"/>
  <c r="P63" i="10" s="1"/>
  <c r="AX61" i="10"/>
  <c r="N61" i="10" s="1"/>
  <c r="P61" i="10" s="1"/>
  <c r="AW63" i="10"/>
  <c r="O63" i="10" s="1"/>
  <c r="Q63" i="10" s="1"/>
  <c r="AW62" i="10"/>
  <c r="O62" i="10" s="1"/>
  <c r="Q62" i="10" s="1"/>
  <c r="AW64" i="10"/>
  <c r="O64" i="10" s="1"/>
  <c r="Q64" i="10" s="1"/>
  <c r="AW65" i="10"/>
  <c r="O65" i="10" s="1"/>
  <c r="Q65" i="10" s="1"/>
  <c r="AX66" i="10"/>
  <c r="N66" i="10" s="1"/>
  <c r="P66" i="10" s="1"/>
  <c r="AX64" i="10"/>
  <c r="N64" i="10" s="1"/>
  <c r="P64" i="10" s="1"/>
  <c r="AW66" i="10"/>
  <c r="O66" i="10" s="1"/>
  <c r="Q66" i="10" s="1"/>
  <c r="AX65" i="10"/>
  <c r="N65" i="10" s="1"/>
  <c r="P65" i="10" s="1"/>
  <c r="AX67" i="10"/>
  <c r="N67" i="10" s="1"/>
  <c r="P67" i="10" s="1"/>
  <c r="AW67" i="10"/>
  <c r="O67" i="10" s="1"/>
  <c r="Q67" i="10" s="1"/>
  <c r="AW68" i="10"/>
  <c r="O68" i="10" s="1"/>
  <c r="Q68" i="10" s="1"/>
  <c r="AX69" i="10"/>
  <c r="N69" i="10" s="1"/>
  <c r="P69" i="10" s="1"/>
  <c r="AX68" i="10"/>
  <c r="N68" i="10" s="1"/>
  <c r="P68" i="10" s="1"/>
  <c r="AW69" i="10"/>
  <c r="O69" i="10" s="1"/>
  <c r="Q69" i="10" s="1"/>
  <c r="AW70" i="10"/>
  <c r="O70" i="10" s="1"/>
  <c r="Q70" i="10" s="1"/>
  <c r="AX70" i="10"/>
  <c r="N70" i="10" s="1"/>
  <c r="P70" i="10" s="1"/>
  <c r="AX71" i="10"/>
  <c r="N71" i="10" s="1"/>
  <c r="P71" i="10" s="1"/>
  <c r="AW71" i="10"/>
  <c r="O71" i="10" s="1"/>
  <c r="Q71" i="10" s="1"/>
  <c r="AW73" i="10"/>
  <c r="O73" i="10" s="1"/>
  <c r="Q73" i="10" s="1"/>
  <c r="AX72" i="10"/>
  <c r="N72" i="10" s="1"/>
  <c r="P72" i="10" s="1"/>
  <c r="AW72" i="10"/>
  <c r="O72" i="10" s="1"/>
  <c r="Q72" i="10" s="1"/>
  <c r="AW74" i="10"/>
  <c r="O74" i="10" s="1"/>
  <c r="Q74" i="10" s="1"/>
  <c r="AX73" i="10"/>
  <c r="N73" i="10" s="1"/>
  <c r="P73" i="10" s="1"/>
  <c r="AX74" i="10"/>
  <c r="N74" i="10" s="1"/>
  <c r="P74" i="10" s="1"/>
  <c r="AX75" i="10"/>
  <c r="N75" i="10" s="1"/>
  <c r="P75" i="10" s="1"/>
  <c r="AW77" i="10"/>
  <c r="O77" i="10" s="1"/>
  <c r="Q77" i="10" s="1"/>
  <c r="AW76" i="10"/>
  <c r="O76" i="10" s="1"/>
  <c r="Q76" i="10" s="1"/>
  <c r="AW75" i="10"/>
  <c r="O75" i="10" s="1"/>
  <c r="Q75" i="10" s="1"/>
  <c r="AX77" i="10"/>
  <c r="N77" i="10" s="1"/>
  <c r="P77" i="10" s="1"/>
  <c r="AX76" i="10"/>
  <c r="N76" i="10" s="1"/>
  <c r="P76" i="10" s="1"/>
  <c r="AW78" i="10"/>
  <c r="O78" i="10" s="1"/>
  <c r="Q78" i="10" s="1"/>
  <c r="AX78" i="10"/>
  <c r="N78" i="10" s="1"/>
  <c r="P78" i="10" s="1"/>
  <c r="AW80" i="10"/>
  <c r="O80" i="10" s="1"/>
  <c r="Q80" i="10" s="1"/>
  <c r="AX79" i="10"/>
  <c r="N79" i="10" s="1"/>
  <c r="P79" i="10" s="1"/>
  <c r="AW79" i="10"/>
  <c r="O79" i="10" s="1"/>
  <c r="Q79" i="10" s="1"/>
  <c r="AX81" i="10"/>
  <c r="N81" i="10" s="1"/>
  <c r="P81" i="10" s="1"/>
  <c r="AX80" i="10"/>
  <c r="N80" i="10" s="1"/>
  <c r="P80" i="10" s="1"/>
  <c r="AW84" i="10"/>
  <c r="O84" i="10" s="1"/>
  <c r="Q84" i="10" s="1"/>
  <c r="AW81" i="10"/>
  <c r="O81" i="10" s="1"/>
  <c r="Q81" i="10" s="1"/>
  <c r="AX83" i="10"/>
  <c r="N83" i="10" s="1"/>
  <c r="P83" i="10" s="1"/>
  <c r="AX82" i="10"/>
  <c r="N82" i="10" s="1"/>
  <c r="P82" i="10" s="1"/>
  <c r="AW85" i="10"/>
  <c r="O85" i="10" s="1"/>
  <c r="Q85" i="10" s="1"/>
  <c r="AW83" i="10"/>
  <c r="O83" i="10" s="1"/>
  <c r="Q83" i="10" s="1"/>
  <c r="AW82" i="10"/>
  <c r="O82" i="10" s="1"/>
  <c r="Q82" i="10" s="1"/>
  <c r="AX84" i="10"/>
  <c r="N84" i="10" s="1"/>
  <c r="P84" i="10" s="1"/>
  <c r="AX86" i="10"/>
  <c r="N86" i="10" s="1"/>
  <c r="P86" i="10" s="1"/>
  <c r="AX85" i="10"/>
  <c r="N85" i="10" s="1"/>
  <c r="P85" i="10" s="1"/>
  <c r="AX87" i="10"/>
  <c r="N87" i="10" s="1"/>
  <c r="P87" i="10" s="1"/>
  <c r="AW87" i="10"/>
  <c r="O87" i="10" s="1"/>
  <c r="Q87" i="10" s="1"/>
  <c r="AW86" i="10"/>
  <c r="O86" i="10" s="1"/>
  <c r="Q86" i="10" s="1"/>
  <c r="AX89" i="10"/>
  <c r="N89" i="10" s="1"/>
  <c r="P89" i="10" s="1"/>
  <c r="AX88" i="10"/>
  <c r="N88" i="10" s="1"/>
  <c r="P88" i="10" s="1"/>
  <c r="AW89" i="10"/>
  <c r="O89" i="10" s="1"/>
  <c r="Q89" i="10" s="1"/>
  <c r="AW88" i="10"/>
  <c r="O88" i="10" s="1"/>
  <c r="Q88" i="10" s="1"/>
  <c r="AX91" i="10"/>
  <c r="N91" i="10" s="1"/>
  <c r="P91" i="10" s="1"/>
  <c r="AW92" i="10"/>
  <c r="O92" i="10" s="1"/>
  <c r="Q92" i="10" s="1"/>
  <c r="AW91" i="10"/>
  <c r="O91" i="10" s="1"/>
  <c r="Q91" i="10" s="1"/>
  <c r="AX92" i="10"/>
  <c r="N92" i="10" s="1"/>
  <c r="P92" i="10" s="1"/>
  <c r="AX90" i="10"/>
  <c r="N90" i="10" s="1"/>
  <c r="P90" i="10" s="1"/>
  <c r="AW90" i="10"/>
  <c r="O90" i="10" s="1"/>
  <c r="Q90" i="10" s="1"/>
  <c r="AW94" i="10"/>
  <c r="O94" i="10" s="1"/>
  <c r="Q94" i="10" s="1"/>
  <c r="AX93" i="10"/>
  <c r="N93" i="10" s="1"/>
  <c r="P93" i="10" s="1"/>
  <c r="AW93" i="10"/>
  <c r="O93" i="10" s="1"/>
  <c r="Q93" i="10" s="1"/>
  <c r="AX94" i="10"/>
  <c r="N94" i="10" s="1"/>
  <c r="P94" i="10" s="1"/>
  <c r="AX96" i="10"/>
  <c r="N96" i="10" s="1"/>
  <c r="P96" i="10" s="1"/>
  <c r="AW96" i="10"/>
  <c r="O96" i="10" s="1"/>
  <c r="Q96" i="10" s="1"/>
  <c r="AW95" i="10"/>
  <c r="O95" i="10" s="1"/>
  <c r="Q95" i="10" s="1"/>
  <c r="AW97" i="10"/>
  <c r="O97" i="10" s="1"/>
  <c r="Q97" i="10" s="1"/>
  <c r="AX97" i="10"/>
  <c r="N97" i="10" s="1"/>
  <c r="P97" i="10" s="1"/>
  <c r="AX95" i="10"/>
  <c r="N95" i="10" s="1"/>
  <c r="P95" i="10" s="1"/>
  <c r="AX98" i="10"/>
  <c r="N98" i="10" s="1"/>
  <c r="P98" i="10" s="1"/>
  <c r="AX99" i="10"/>
  <c r="N99" i="10" s="1"/>
  <c r="P99" i="10" s="1"/>
  <c r="AW99" i="10"/>
  <c r="O99" i="10" s="1"/>
  <c r="Q99" i="10" s="1"/>
  <c r="AX101" i="10"/>
  <c r="N101" i="10" s="1"/>
  <c r="P101" i="10" s="1"/>
  <c r="AW98" i="10"/>
  <c r="O98" i="10" s="1"/>
  <c r="Q98" i="10" s="1"/>
  <c r="AX100" i="10"/>
  <c r="N100" i="10" s="1"/>
  <c r="P100" i="10" s="1"/>
  <c r="AX102" i="10"/>
  <c r="N102" i="10" s="1"/>
  <c r="P102" i="10" s="1"/>
  <c r="AW102" i="10"/>
  <c r="O102" i="10" s="1"/>
  <c r="Q102" i="10" s="1"/>
  <c r="AW101" i="10"/>
  <c r="O101" i="10" s="1"/>
  <c r="Q101" i="10" s="1"/>
  <c r="AW100" i="10"/>
  <c r="O100" i="10" s="1"/>
  <c r="Q100" i="10" s="1"/>
  <c r="AW103" i="10"/>
  <c r="O103" i="10" s="1"/>
  <c r="Q103" i="10" s="1"/>
  <c r="AX103" i="10"/>
  <c r="N103" i="10" s="1"/>
  <c r="P103" i="10" s="1"/>
  <c r="AX104" i="10"/>
  <c r="N104" i="10" s="1"/>
  <c r="P104" i="10" s="1"/>
  <c r="AW104" i="10"/>
  <c r="O104" i="10" s="1"/>
  <c r="Q104" i="10" s="1"/>
  <c r="AX105" i="10"/>
  <c r="N105" i="10" s="1"/>
  <c r="P105" i="10" s="1"/>
  <c r="AW105" i="10"/>
  <c r="O105" i="10" s="1"/>
  <c r="Q105" i="10" s="1"/>
  <c r="AX106" i="10"/>
  <c r="N106" i="10" s="1"/>
  <c r="P106" i="10" s="1"/>
  <c r="AW106" i="10"/>
  <c r="O106" i="10" s="1"/>
  <c r="Q106" i="10" s="1"/>
  <c r="AX107" i="10"/>
  <c r="N107" i="10" s="1"/>
  <c r="P107" i="10" s="1"/>
  <c r="AW107" i="10"/>
  <c r="O107" i="10" s="1"/>
  <c r="Q107" i="10" s="1"/>
  <c r="AW108" i="10"/>
  <c r="O108" i="10" s="1"/>
  <c r="Q108" i="10" s="1"/>
  <c r="AX109" i="10"/>
  <c r="N109" i="10" s="1"/>
  <c r="P109" i="10" s="1"/>
  <c r="AX108" i="10"/>
  <c r="N108" i="10" s="1"/>
  <c r="P108" i="10" s="1"/>
  <c r="AX110" i="10"/>
  <c r="N110" i="10" s="1"/>
  <c r="P110" i="10" s="1"/>
  <c r="AW110" i="10"/>
  <c r="O110" i="10" s="1"/>
  <c r="Q110" i="10" s="1"/>
  <c r="AW109" i="10"/>
  <c r="O109" i="10" s="1"/>
  <c r="Q109" i="10" s="1"/>
  <c r="AW111" i="10"/>
  <c r="O111" i="10" s="1"/>
  <c r="Q111" i="10" s="1"/>
  <c r="AX111" i="10"/>
  <c r="N111" i="10" s="1"/>
  <c r="P111" i="10" s="1"/>
  <c r="AW112" i="10"/>
  <c r="O112" i="10" s="1"/>
  <c r="Q112" i="10" s="1"/>
  <c r="AX112" i="10"/>
  <c r="N112" i="10" s="1"/>
  <c r="P112" i="10" s="1"/>
  <c r="AX113" i="10"/>
  <c r="N113" i="10" s="1"/>
  <c r="P113" i="10" s="1"/>
  <c r="AW113" i="10"/>
  <c r="O113" i="10" s="1"/>
  <c r="Q113" i="10" s="1"/>
  <c r="AW114" i="10"/>
  <c r="O114" i="10" s="1"/>
  <c r="Q114" i="10" s="1"/>
  <c r="AX114" i="10"/>
  <c r="N114" i="10" s="1"/>
  <c r="P114" i="10" s="1"/>
  <c r="AW115" i="10"/>
  <c r="O115" i="10" s="1"/>
  <c r="Q115" i="10" s="1"/>
  <c r="AX115" i="10"/>
  <c r="N115" i="10" s="1"/>
  <c r="P115" i="10" s="1"/>
  <c r="AW116" i="10"/>
  <c r="O116" i="10" s="1"/>
  <c r="Q116" i="10" s="1"/>
  <c r="AX116" i="10"/>
  <c r="N116" i="10" s="1"/>
  <c r="P116" i="10" s="1"/>
  <c r="AW117" i="10"/>
  <c r="O117" i="10" s="1"/>
  <c r="Q117" i="10" s="1"/>
  <c r="AX117" i="10"/>
  <c r="N117" i="10" s="1"/>
  <c r="P117" i="10" s="1"/>
  <c r="AX121" i="10"/>
  <c r="N121" i="10" s="1"/>
  <c r="P121" i="10" s="1"/>
  <c r="AX122" i="10"/>
  <c r="N122" i="10" s="1"/>
  <c r="P122" i="10" s="1"/>
  <c r="AX119" i="10"/>
  <c r="N119" i="10" s="1"/>
  <c r="P119" i="10" s="1"/>
  <c r="AW122" i="10"/>
  <c r="O122" i="10" s="1"/>
  <c r="Q122" i="10" s="1"/>
  <c r="O119" i="10"/>
  <c r="Q119" i="10" s="1"/>
  <c r="AA49" i="19" l="1"/>
  <c r="Z49" i="19"/>
  <c r="Z108" i="23"/>
  <c r="AK107" i="23"/>
  <c r="V108" i="23"/>
  <c r="AH108" i="23" s="1"/>
  <c r="W108" i="23"/>
  <c r="AI108" i="23" s="1"/>
  <c r="AJ107" i="23"/>
  <c r="AL107" i="23"/>
  <c r="AA108" i="23"/>
  <c r="AN107" i="23"/>
  <c r="AU122" i="18"/>
  <c r="AL48" i="19"/>
  <c r="AM48" i="19" s="1"/>
  <c r="AO48" i="19" s="1"/>
  <c r="AA50" i="20"/>
  <c r="AK49" i="20"/>
  <c r="AL49" i="20"/>
  <c r="W50" i="20"/>
  <c r="W49" i="19"/>
  <c r="AI49" i="19" s="1"/>
  <c r="AN49" i="18"/>
  <c r="W50" i="18"/>
  <c r="W52" i="16"/>
  <c r="X52" i="16" s="1"/>
  <c r="AU122" i="16"/>
  <c r="AK47" i="10"/>
  <c r="AK21" i="10"/>
  <c r="AK27" i="10"/>
  <c r="AK33" i="10"/>
  <c r="AK30" i="10"/>
  <c r="AK39" i="10"/>
  <c r="AK8" i="10"/>
  <c r="AV115" i="11"/>
  <c r="W55" i="11"/>
  <c r="X55" i="11" s="1"/>
  <c r="AK50" i="10"/>
  <c r="AK28" i="10"/>
  <c r="AK22" i="10"/>
  <c r="AK19" i="10"/>
  <c r="AK37" i="10"/>
  <c r="AK11" i="10"/>
  <c r="AK10" i="10"/>
  <c r="AK17" i="10"/>
  <c r="AK16" i="10"/>
  <c r="AK25" i="10"/>
  <c r="AK46" i="10"/>
  <c r="AK45" i="10"/>
  <c r="AK49" i="10"/>
  <c r="AK35" i="10"/>
  <c r="AK41" i="10"/>
  <c r="AK13" i="10"/>
  <c r="AK23" i="10"/>
  <c r="AK38" i="10"/>
  <c r="P8" i="10"/>
  <c r="AI8" i="10" s="1"/>
  <c r="AJ8" i="10" s="1"/>
  <c r="P37" i="10"/>
  <c r="AI37" i="10" s="1"/>
  <c r="AJ37" i="10" s="1"/>
  <c r="AK44" i="10"/>
  <c r="P45" i="10"/>
  <c r="AI45" i="10" s="1"/>
  <c r="AJ45" i="10" s="1"/>
  <c r="P36" i="10"/>
  <c r="AI36" i="10" s="1"/>
  <c r="AJ36" i="10" s="1"/>
  <c r="P32" i="10"/>
  <c r="AI32" i="10" s="1"/>
  <c r="AJ32" i="10" s="1"/>
  <c r="P5" i="10"/>
  <c r="AI5" i="10" s="1"/>
  <c r="AJ5" i="10" s="1"/>
  <c r="P50" i="10"/>
  <c r="AI50" i="10" s="1"/>
  <c r="AJ50" i="10" s="1"/>
  <c r="P41" i="10"/>
  <c r="AI41" i="10" s="1"/>
  <c r="AJ41" i="10" s="1"/>
  <c r="P29" i="10"/>
  <c r="AI29" i="10" s="1"/>
  <c r="AJ29" i="10" s="1"/>
  <c r="AK7" i="10"/>
  <c r="P10" i="10"/>
  <c r="AI10" i="10" s="1"/>
  <c r="AJ10" i="10" s="1"/>
  <c r="P40" i="10"/>
  <c r="AI40" i="10" s="1"/>
  <c r="AJ40" i="10" s="1"/>
  <c r="P24" i="10"/>
  <c r="AI24" i="10" s="1"/>
  <c r="AJ24" i="10" s="1"/>
  <c r="Z5" i="10"/>
  <c r="AK5" i="10" s="1"/>
  <c r="AK4" i="10"/>
  <c r="AM4" i="10" s="1"/>
  <c r="AO4" i="10" s="1"/>
  <c r="P33" i="10"/>
  <c r="AI33" i="10" s="1"/>
  <c r="AJ33" i="10" s="1"/>
  <c r="AK36" i="10"/>
  <c r="P39" i="10"/>
  <c r="AI39" i="10" s="1"/>
  <c r="AJ39" i="10" s="1"/>
  <c r="P43" i="10"/>
  <c r="AI43" i="10" s="1"/>
  <c r="AJ43" i="10" s="1"/>
  <c r="AK40" i="10"/>
  <c r="P23" i="10"/>
  <c r="AI23" i="10" s="1"/>
  <c r="AJ23" i="10" s="1"/>
  <c r="P7" i="10"/>
  <c r="AI7" i="10" s="1"/>
  <c r="AJ7" i="10" s="1"/>
  <c r="P25" i="10"/>
  <c r="AI25" i="10" s="1"/>
  <c r="AJ25" i="10" s="1"/>
  <c r="P31" i="10"/>
  <c r="AI31" i="10" s="1"/>
  <c r="AJ31" i="10" s="1"/>
  <c r="P20" i="10"/>
  <c r="AI20" i="10" s="1"/>
  <c r="AJ20" i="10" s="1"/>
  <c r="P19" i="10"/>
  <c r="AI19" i="10" s="1"/>
  <c r="AJ19" i="10" s="1"/>
  <c r="P34" i="10"/>
  <c r="AI34" i="10" s="1"/>
  <c r="AJ34" i="10" s="1"/>
  <c r="AK15" i="10"/>
  <c r="AK6" i="10"/>
  <c r="AK9" i="10"/>
  <c r="AK42" i="10"/>
  <c r="AK51" i="10"/>
  <c r="AK24" i="10"/>
  <c r="AK43" i="10"/>
  <c r="P9" i="10"/>
  <c r="AI9" i="10" s="1"/>
  <c r="AJ9" i="10" s="1"/>
  <c r="P44" i="10"/>
  <c r="AI44" i="10" s="1"/>
  <c r="AJ44" i="10" s="1"/>
  <c r="P27" i="10"/>
  <c r="AI27" i="10" s="1"/>
  <c r="AJ27" i="10" s="1"/>
  <c r="P6" i="10"/>
  <c r="AI6" i="10" s="1"/>
  <c r="AJ6" i="10" s="1"/>
  <c r="P28" i="10"/>
  <c r="AI28" i="10" s="1"/>
  <c r="AJ28" i="10" s="1"/>
  <c r="AK20" i="10"/>
  <c r="P35" i="10"/>
  <c r="AI35" i="10" s="1"/>
  <c r="AJ35" i="10" s="1"/>
  <c r="AK48" i="10"/>
  <c r="AK31" i="10"/>
  <c r="P12" i="10"/>
  <c r="AI12" i="10" s="1"/>
  <c r="AJ12" i="10" s="1"/>
  <c r="P21" i="10"/>
  <c r="AI21" i="10" s="1"/>
  <c r="AJ21" i="10" s="1"/>
  <c r="P17" i="10"/>
  <c r="AI17" i="10" s="1"/>
  <c r="AJ17" i="10" s="1"/>
  <c r="P18" i="10"/>
  <c r="AI18" i="10" s="1"/>
  <c r="AJ18" i="10" s="1"/>
  <c r="P15" i="10"/>
  <c r="AI15" i="10" s="1"/>
  <c r="AJ15" i="10" s="1"/>
  <c r="AA52" i="10"/>
  <c r="AN51" i="10"/>
  <c r="P49" i="10"/>
  <c r="AI49" i="10" s="1"/>
  <c r="AJ49" i="10" s="1"/>
  <c r="P26" i="10"/>
  <c r="AI26" i="10" s="1"/>
  <c r="AJ26" i="10" s="1"/>
  <c r="AK18" i="10"/>
  <c r="AK12" i="10"/>
  <c r="P46" i="10"/>
  <c r="AI46" i="10" s="1"/>
  <c r="AJ46" i="10" s="1"/>
  <c r="P42" i="10"/>
  <c r="AI42" i="10" s="1"/>
  <c r="AJ42" i="10" s="1"/>
  <c r="P30" i="10"/>
  <c r="AI30" i="10" s="1"/>
  <c r="AJ30" i="10" s="1"/>
  <c r="P48" i="10"/>
  <c r="AI48" i="10" s="1"/>
  <c r="AJ48" i="10" s="1"/>
  <c r="P13" i="10"/>
  <c r="AI13" i="10" s="1"/>
  <c r="AJ13" i="10" s="1"/>
  <c r="AK34" i="10"/>
  <c r="P47" i="10"/>
  <c r="AI47" i="10" s="1"/>
  <c r="AJ47" i="10" s="1"/>
  <c r="AK32" i="10"/>
  <c r="P16" i="10"/>
  <c r="AI16" i="10" s="1"/>
  <c r="AJ16" i="10" s="1"/>
  <c r="P38" i="10"/>
  <c r="AI38" i="10" s="1"/>
  <c r="AJ38" i="10" s="1"/>
  <c r="P14" i="10"/>
  <c r="AI14" i="10" s="1"/>
  <c r="AJ14" i="10" s="1"/>
  <c r="P11" i="10"/>
  <c r="AI11" i="10" s="1"/>
  <c r="AJ11" i="10" s="1"/>
  <c r="P22" i="10"/>
  <c r="AI22" i="10" s="1"/>
  <c r="AJ22" i="10" s="1"/>
  <c r="AK29" i="10"/>
  <c r="AK26" i="10"/>
  <c r="AK14" i="10"/>
  <c r="AL30" i="10"/>
  <c r="AL12" i="10"/>
  <c r="AL21" i="10"/>
  <c r="AL41" i="10"/>
  <c r="AL28" i="10"/>
  <c r="AL19" i="10"/>
  <c r="AL29" i="10"/>
  <c r="AL43" i="10"/>
  <c r="AL47" i="10"/>
  <c r="AL35" i="10"/>
  <c r="AL9" i="10"/>
  <c r="AL10" i="10"/>
  <c r="AL38" i="10"/>
  <c r="AL26" i="10"/>
  <c r="AL39" i="10"/>
  <c r="AL14" i="10"/>
  <c r="AL37" i="10"/>
  <c r="AL8" i="10"/>
  <c r="AL49" i="10"/>
  <c r="AL15" i="10"/>
  <c r="AL25" i="10"/>
  <c r="AL36" i="10"/>
  <c r="AL7" i="10"/>
  <c r="AL13" i="10"/>
  <c r="AL40" i="10"/>
  <c r="AL48" i="10"/>
  <c r="AL32" i="10"/>
  <c r="AL16" i="10"/>
  <c r="AL17" i="10"/>
  <c r="AL20" i="10"/>
  <c r="AL18" i="10"/>
  <c r="AL34" i="10"/>
  <c r="AL46" i="10"/>
  <c r="AL42" i="10"/>
  <c r="AL33" i="10"/>
  <c r="AL45" i="10"/>
  <c r="AL27" i="10"/>
  <c r="AL6" i="10"/>
  <c r="AL44" i="10"/>
  <c r="AL23" i="10"/>
  <c r="AL11" i="10"/>
  <c r="AL50" i="10"/>
  <c r="AL31" i="10"/>
  <c r="AL24" i="10"/>
  <c r="AL22" i="10"/>
  <c r="U52" i="10"/>
  <c r="AM107" i="23" l="1"/>
  <c r="AO107" i="23" s="1"/>
  <c r="X108" i="23"/>
  <c r="AV122" i="18"/>
  <c r="X49" i="19"/>
  <c r="U50" i="19" s="1"/>
  <c r="AM49" i="20"/>
  <c r="AO49" i="20" s="1"/>
  <c r="AI50" i="20"/>
  <c r="X50" i="20"/>
  <c r="X50" i="18"/>
  <c r="AC50" i="18" s="1"/>
  <c r="AE52" i="16"/>
  <c r="AC52" i="16"/>
  <c r="AG52" i="16"/>
  <c r="U53" i="16"/>
  <c r="AV122" i="16"/>
  <c r="AU123" i="16" s="1"/>
  <c r="AE55" i="11"/>
  <c r="AG55" i="11"/>
  <c r="AC55" i="11"/>
  <c r="U56" i="11"/>
  <c r="AU116" i="11"/>
  <c r="AM15" i="10"/>
  <c r="AO15" i="10" s="1"/>
  <c r="AM22" i="10"/>
  <c r="AO22" i="10" s="1"/>
  <c r="AM49" i="10"/>
  <c r="AO49" i="10" s="1"/>
  <c r="AM7" i="10"/>
  <c r="AO7" i="10" s="1"/>
  <c r="AM39" i="10"/>
  <c r="AO39" i="10" s="1"/>
  <c r="AM32" i="10"/>
  <c r="AO32" i="10" s="1"/>
  <c r="AM8" i="10"/>
  <c r="AO8" i="10" s="1"/>
  <c r="AM26" i="10"/>
  <c r="AO26" i="10" s="1"/>
  <c r="AM35" i="10"/>
  <c r="AO35" i="10" s="1"/>
  <c r="V52" i="10"/>
  <c r="AM27" i="10"/>
  <c r="AO27" i="10" s="1"/>
  <c r="AM21" i="10"/>
  <c r="AO21" i="10" s="1"/>
  <c r="AM50" i="10"/>
  <c r="AO50" i="10" s="1"/>
  <c r="AM6" i="10"/>
  <c r="AO6" i="10" s="1"/>
  <c r="AM12" i="10"/>
  <c r="AO12" i="10" s="1"/>
  <c r="AM40" i="10"/>
  <c r="AO40" i="10" s="1"/>
  <c r="AM25" i="10"/>
  <c r="AO25" i="10" s="1"/>
  <c r="AM38" i="10"/>
  <c r="AO38" i="10" s="1"/>
  <c r="AM42" i="10"/>
  <c r="AO42" i="10" s="1"/>
  <c r="AM46" i="10"/>
  <c r="AO46" i="10" s="1"/>
  <c r="AM48" i="10"/>
  <c r="AO48" i="10" s="1"/>
  <c r="AM41" i="10"/>
  <c r="AO41" i="10" s="1"/>
  <c r="AM36" i="10"/>
  <c r="AO36" i="10" s="1"/>
  <c r="AM34" i="10"/>
  <c r="AO34" i="10" s="1"/>
  <c r="AM28" i="10"/>
  <c r="AO28" i="10" s="1"/>
  <c r="AM10" i="10"/>
  <c r="AO10" i="10" s="1"/>
  <c r="AM31" i="10"/>
  <c r="AO31" i="10" s="1"/>
  <c r="AM16" i="10"/>
  <c r="AO16" i="10" s="1"/>
  <c r="AM13" i="10"/>
  <c r="AO13" i="10" s="1"/>
  <c r="AM45" i="10"/>
  <c r="AO45" i="10" s="1"/>
  <c r="AM19" i="10"/>
  <c r="AO19" i="10" s="1"/>
  <c r="AM33" i="10"/>
  <c r="AO33" i="10" s="1"/>
  <c r="AM11" i="10"/>
  <c r="AO11" i="10" s="1"/>
  <c r="AM20" i="10"/>
  <c r="AO20" i="10" s="1"/>
  <c r="AM47" i="10"/>
  <c r="AO47" i="10" s="1"/>
  <c r="AM30" i="10"/>
  <c r="AO30" i="10" s="1"/>
  <c r="AM23" i="10"/>
  <c r="AO23" i="10" s="1"/>
  <c r="AM17" i="10"/>
  <c r="AO17" i="10" s="1"/>
  <c r="AM44" i="10"/>
  <c r="AO44" i="10" s="1"/>
  <c r="AM37" i="10"/>
  <c r="AO37" i="10" s="1"/>
  <c r="AM43" i="10"/>
  <c r="AO43" i="10" s="1"/>
  <c r="AM14" i="10"/>
  <c r="AO14" i="10" s="1"/>
  <c r="AM9" i="10"/>
  <c r="AO9" i="10" s="1"/>
  <c r="AM29" i="10"/>
  <c r="AO29" i="10" s="1"/>
  <c r="AL5" i="10"/>
  <c r="AM24" i="10"/>
  <c r="AO24" i="10" s="1"/>
  <c r="AM18" i="10"/>
  <c r="AO18" i="10" s="1"/>
  <c r="U109" i="23" l="1"/>
  <c r="AG108" i="23"/>
  <c r="AE108" i="23"/>
  <c r="AC108" i="23"/>
  <c r="AB108" i="23"/>
  <c r="AU123" i="18"/>
  <c r="AB49" i="19"/>
  <c r="Z50" i="19" s="1"/>
  <c r="AG49" i="19"/>
  <c r="AE49" i="19"/>
  <c r="AC49" i="19"/>
  <c r="AN49" i="19" s="1"/>
  <c r="AG50" i="20"/>
  <c r="U51" i="20"/>
  <c r="AC50" i="20"/>
  <c r="AE50" i="20"/>
  <c r="AB50" i="20"/>
  <c r="V50" i="19"/>
  <c r="AH50" i="19" s="1"/>
  <c r="U51" i="18"/>
  <c r="V51" i="18" s="1"/>
  <c r="AH51" i="18" s="1"/>
  <c r="AE50" i="18"/>
  <c r="AG50" i="18"/>
  <c r="AA51" i="18"/>
  <c r="AN50" i="18"/>
  <c r="AV123" i="16"/>
  <c r="AU124" i="16" s="1"/>
  <c r="AV124" i="16" s="1"/>
  <c r="AA53" i="16"/>
  <c r="AN52" i="16"/>
  <c r="V53" i="16"/>
  <c r="AH53" i="16" s="1"/>
  <c r="AV116" i="11"/>
  <c r="V56" i="11"/>
  <c r="AH56" i="11" s="1"/>
  <c r="AA56" i="11"/>
  <c r="AN55" i="11"/>
  <c r="W52" i="10"/>
  <c r="AI52" i="10" s="1"/>
  <c r="AH52" i="10"/>
  <c r="AM5" i="10"/>
  <c r="AO5" i="10" s="1"/>
  <c r="AJ51" i="10"/>
  <c r="AL51" i="10"/>
  <c r="AJ108" i="23" l="1"/>
  <c r="AL108" i="23"/>
  <c r="Z109" i="23"/>
  <c r="AK108" i="23"/>
  <c r="AA109" i="23"/>
  <c r="AN108" i="23"/>
  <c r="V109" i="23"/>
  <c r="AH109" i="23" s="1"/>
  <c r="AV123" i="18"/>
  <c r="AU124" i="18"/>
  <c r="AU2" i="18" s="1"/>
  <c r="AJ49" i="19"/>
  <c r="AL49" i="19"/>
  <c r="AA50" i="19"/>
  <c r="AK49" i="19"/>
  <c r="W50" i="19"/>
  <c r="AI50" i="19" s="1"/>
  <c r="AJ50" i="20"/>
  <c r="AL50" i="20"/>
  <c r="Z51" i="20"/>
  <c r="AK50" i="20"/>
  <c r="AA51" i="20"/>
  <c r="AN50" i="20"/>
  <c r="V51" i="20"/>
  <c r="AH51" i="20" s="1"/>
  <c r="W51" i="18"/>
  <c r="AW58" i="16"/>
  <c r="O58" i="16" s="1"/>
  <c r="Q58" i="16" s="1"/>
  <c r="AX103" i="16"/>
  <c r="N103" i="16" s="1"/>
  <c r="P103" i="16" s="1"/>
  <c r="AW18" i="16"/>
  <c r="O18" i="16" s="1"/>
  <c r="Q18" i="16" s="1"/>
  <c r="AB18" i="16" s="1"/>
  <c r="Z19" i="16" s="1"/>
  <c r="AL19" i="16" s="1"/>
  <c r="AX39" i="16"/>
  <c r="N39" i="16" s="1"/>
  <c r="P39" i="16" s="1"/>
  <c r="AI39" i="16" s="1"/>
  <c r="AJ39" i="16" s="1"/>
  <c r="AX43" i="16"/>
  <c r="N43" i="16" s="1"/>
  <c r="P43" i="16" s="1"/>
  <c r="AI43" i="16" s="1"/>
  <c r="AJ43" i="16" s="1"/>
  <c r="AW7" i="16"/>
  <c r="O7" i="16" s="1"/>
  <c r="Q7" i="16" s="1"/>
  <c r="AB7" i="16" s="1"/>
  <c r="Z8" i="16" s="1"/>
  <c r="AL8" i="16" s="1"/>
  <c r="AW117" i="16"/>
  <c r="O117" i="16" s="1"/>
  <c r="Q117" i="16" s="1"/>
  <c r="AX116" i="16"/>
  <c r="N116" i="16" s="1"/>
  <c r="P116" i="16" s="1"/>
  <c r="AW111" i="16"/>
  <c r="O111" i="16" s="1"/>
  <c r="Q111" i="16" s="1"/>
  <c r="AX108" i="16"/>
  <c r="N108" i="16" s="1"/>
  <c r="P108" i="16" s="1"/>
  <c r="AX104" i="16"/>
  <c r="N104" i="16" s="1"/>
  <c r="P104" i="16" s="1"/>
  <c r="AW101" i="16"/>
  <c r="O101" i="16" s="1"/>
  <c r="Q101" i="16" s="1"/>
  <c r="AX96" i="16"/>
  <c r="N96" i="16" s="1"/>
  <c r="P96" i="16" s="1"/>
  <c r="AX91" i="16"/>
  <c r="N91" i="16" s="1"/>
  <c r="P91" i="16" s="1"/>
  <c r="AX87" i="16"/>
  <c r="N87" i="16" s="1"/>
  <c r="P87" i="16" s="1"/>
  <c r="AX84" i="16"/>
  <c r="N84" i="16" s="1"/>
  <c r="P84" i="16" s="1"/>
  <c r="AW60" i="16"/>
  <c r="O60" i="16" s="1"/>
  <c r="Q60" i="16" s="1"/>
  <c r="AX4" i="16"/>
  <c r="N4" i="16" s="1"/>
  <c r="P4" i="16" s="1"/>
  <c r="AW75" i="16"/>
  <c r="O75" i="16" s="1"/>
  <c r="Q75" i="16" s="1"/>
  <c r="AW52" i="16"/>
  <c r="O52" i="16" s="1"/>
  <c r="Q52" i="16" s="1"/>
  <c r="AB52" i="16" s="1"/>
  <c r="Z53" i="16" s="1"/>
  <c r="AX54" i="16"/>
  <c r="N54" i="16" s="1"/>
  <c r="P54" i="16" s="1"/>
  <c r="AW15" i="16"/>
  <c r="O15" i="16" s="1"/>
  <c r="Q15" i="16" s="1"/>
  <c r="AB15" i="16" s="1"/>
  <c r="Z16" i="16" s="1"/>
  <c r="AL16" i="16" s="1"/>
  <c r="AW26" i="16"/>
  <c r="O26" i="16" s="1"/>
  <c r="Q26" i="16" s="1"/>
  <c r="AB26" i="16" s="1"/>
  <c r="Z27" i="16" s="1"/>
  <c r="AL27" i="16" s="1"/>
  <c r="AX48" i="16"/>
  <c r="N48" i="16" s="1"/>
  <c r="P48" i="16" s="1"/>
  <c r="AI48" i="16" s="1"/>
  <c r="AJ48" i="16" s="1"/>
  <c r="AX24" i="16"/>
  <c r="N24" i="16" s="1"/>
  <c r="P24" i="16" s="1"/>
  <c r="AI24" i="16" s="1"/>
  <c r="AJ24" i="16" s="1"/>
  <c r="AW57" i="16"/>
  <c r="O57" i="16" s="1"/>
  <c r="Q57" i="16" s="1"/>
  <c r="AW11" i="16"/>
  <c r="AX36" i="16"/>
  <c r="N36" i="16" s="1"/>
  <c r="P36" i="16" s="1"/>
  <c r="AI36" i="16" s="1"/>
  <c r="AJ36" i="16" s="1"/>
  <c r="AX70" i="16"/>
  <c r="N70" i="16" s="1"/>
  <c r="P70" i="16" s="1"/>
  <c r="AX69" i="16"/>
  <c r="N69" i="16" s="1"/>
  <c r="P69" i="16" s="1"/>
  <c r="AX59" i="16"/>
  <c r="N59" i="16" s="1"/>
  <c r="P59" i="16" s="1"/>
  <c r="AW40" i="16"/>
  <c r="O40" i="16" s="1"/>
  <c r="Q40" i="16" s="1"/>
  <c r="AB40" i="16" s="1"/>
  <c r="Z41" i="16" s="1"/>
  <c r="AX58" i="16"/>
  <c r="N58" i="16" s="1"/>
  <c r="P58" i="16" s="1"/>
  <c r="AW47" i="16"/>
  <c r="O47" i="16" s="1"/>
  <c r="Q47" i="16" s="1"/>
  <c r="AB47" i="16" s="1"/>
  <c r="Z48" i="16" s="1"/>
  <c r="AL48" i="16" s="1"/>
  <c r="AX32" i="16"/>
  <c r="N32" i="16" s="1"/>
  <c r="P32" i="16" s="1"/>
  <c r="AI32" i="16" s="1"/>
  <c r="AJ32" i="16" s="1"/>
  <c r="AW119" i="16"/>
  <c r="O119" i="16" s="1"/>
  <c r="Q119" i="16" s="1"/>
  <c r="AX93" i="16"/>
  <c r="N93" i="16" s="1"/>
  <c r="P93" i="16" s="1"/>
  <c r="AX12" i="16"/>
  <c r="N12" i="16" s="1"/>
  <c r="P12" i="16" s="1"/>
  <c r="AI12" i="16" s="1"/>
  <c r="AJ12" i="16" s="1"/>
  <c r="AW33" i="16"/>
  <c r="O33" i="16" s="1"/>
  <c r="Q33" i="16" s="1"/>
  <c r="AB33" i="16" s="1"/>
  <c r="Z34" i="16" s="1"/>
  <c r="AL34" i="16" s="1"/>
  <c r="AW78" i="16"/>
  <c r="O78" i="16" s="1"/>
  <c r="Q78" i="16" s="1"/>
  <c r="AX117" i="16"/>
  <c r="N117" i="16" s="1"/>
  <c r="P117" i="16" s="1"/>
  <c r="AW116" i="16"/>
  <c r="O116" i="16" s="1"/>
  <c r="Q116" i="16" s="1"/>
  <c r="AX111" i="16"/>
  <c r="N111" i="16" s="1"/>
  <c r="P111" i="16" s="1"/>
  <c r="AW108" i="16"/>
  <c r="O108" i="16" s="1"/>
  <c r="Q108" i="16" s="1"/>
  <c r="AW104" i="16"/>
  <c r="O104" i="16" s="1"/>
  <c r="Q104" i="16" s="1"/>
  <c r="AW100" i="16"/>
  <c r="O100" i="16" s="1"/>
  <c r="Q100" i="16" s="1"/>
  <c r="AW97" i="16"/>
  <c r="O97" i="16" s="1"/>
  <c r="Q97" i="16" s="1"/>
  <c r="AW92" i="16"/>
  <c r="O92" i="16" s="1"/>
  <c r="Q92" i="16" s="1"/>
  <c r="AW87" i="16"/>
  <c r="O87" i="16" s="1"/>
  <c r="Q87" i="16" s="1"/>
  <c r="AW85" i="16"/>
  <c r="O85" i="16" s="1"/>
  <c r="Q85" i="16" s="1"/>
  <c r="AW71" i="16"/>
  <c r="O71" i="16" s="1"/>
  <c r="Q71" i="16" s="1"/>
  <c r="AW81" i="16"/>
  <c r="O81" i="16" s="1"/>
  <c r="Q81" i="16" s="1"/>
  <c r="AX11" i="16"/>
  <c r="N11" i="16" s="1"/>
  <c r="P11" i="16" s="1"/>
  <c r="AI11" i="16" s="1"/>
  <c r="AJ11" i="16" s="1"/>
  <c r="AX23" i="16"/>
  <c r="N23" i="16" s="1"/>
  <c r="P23" i="16" s="1"/>
  <c r="AI23" i="16" s="1"/>
  <c r="AJ23" i="16" s="1"/>
  <c r="AW49" i="16"/>
  <c r="O49" i="16" s="1"/>
  <c r="Q49" i="16" s="1"/>
  <c r="AB49" i="16" s="1"/>
  <c r="Z50" i="16" s="1"/>
  <c r="AL50" i="16" s="1"/>
  <c r="AW24" i="16"/>
  <c r="O24" i="16" s="1"/>
  <c r="Q24" i="16" s="1"/>
  <c r="AB24" i="16" s="1"/>
  <c r="Z25" i="16" s="1"/>
  <c r="AL25" i="16" s="1"/>
  <c r="AX81" i="16"/>
  <c r="N81" i="16" s="1"/>
  <c r="P81" i="16" s="1"/>
  <c r="AW23" i="16"/>
  <c r="O23" i="16" s="1"/>
  <c r="Q23" i="16" s="1"/>
  <c r="AB23" i="16" s="1"/>
  <c r="Z24" i="16" s="1"/>
  <c r="AL24" i="16" s="1"/>
  <c r="AX72" i="16"/>
  <c r="N72" i="16" s="1"/>
  <c r="P72" i="16" s="1"/>
  <c r="AW36" i="16"/>
  <c r="O36" i="16" s="1"/>
  <c r="Q36" i="16" s="1"/>
  <c r="AB36" i="16" s="1"/>
  <c r="Z37" i="16" s="1"/>
  <c r="AL37" i="16" s="1"/>
  <c r="AW48" i="16"/>
  <c r="O48" i="16" s="1"/>
  <c r="Q48" i="16" s="1"/>
  <c r="AB48" i="16" s="1"/>
  <c r="Z49" i="16" s="1"/>
  <c r="AL49" i="16" s="1"/>
  <c r="AW46" i="16"/>
  <c r="O46" i="16" s="1"/>
  <c r="Q46" i="16" s="1"/>
  <c r="AB46" i="16" s="1"/>
  <c r="Z47" i="16" s="1"/>
  <c r="AL47" i="16" s="1"/>
  <c r="AW37" i="16"/>
  <c r="O37" i="16" s="1"/>
  <c r="Q37" i="16" s="1"/>
  <c r="AB37" i="16" s="1"/>
  <c r="Z38" i="16" s="1"/>
  <c r="AL38" i="16" s="1"/>
  <c r="AX35" i="16"/>
  <c r="N35" i="16" s="1"/>
  <c r="P35" i="16" s="1"/>
  <c r="AI35" i="16" s="1"/>
  <c r="AJ35" i="16" s="1"/>
  <c r="AX38" i="16"/>
  <c r="N38" i="16" s="1"/>
  <c r="P38" i="16" s="1"/>
  <c r="AI38" i="16" s="1"/>
  <c r="AJ38" i="16" s="1"/>
  <c r="AW45" i="16"/>
  <c r="O45" i="16" s="1"/>
  <c r="Q45" i="16" s="1"/>
  <c r="AB45" i="16" s="1"/>
  <c r="Z46" i="16" s="1"/>
  <c r="AL46" i="16" s="1"/>
  <c r="AW17" i="16"/>
  <c r="O17" i="16" s="1"/>
  <c r="Q17" i="16" s="1"/>
  <c r="AB17" i="16" s="1"/>
  <c r="Z18" i="16" s="1"/>
  <c r="AW14" i="16"/>
  <c r="O14" i="16" s="1"/>
  <c r="Q14" i="16" s="1"/>
  <c r="AB14" i="16" s="1"/>
  <c r="Z15" i="16" s="1"/>
  <c r="AL15" i="16" s="1"/>
  <c r="AX5" i="16"/>
  <c r="N5" i="16" s="1"/>
  <c r="P5" i="16" s="1"/>
  <c r="AI5" i="16" s="1"/>
  <c r="AJ5" i="16" s="1"/>
  <c r="AX113" i="16"/>
  <c r="N113" i="16" s="1"/>
  <c r="P113" i="16" s="1"/>
  <c r="AW35" i="16"/>
  <c r="O35" i="16" s="1"/>
  <c r="Q35" i="16" s="1"/>
  <c r="AB35" i="16" s="1"/>
  <c r="Z36" i="16" s="1"/>
  <c r="AL36" i="16" s="1"/>
  <c r="AW112" i="16"/>
  <c r="O112" i="16" s="1"/>
  <c r="Q112" i="16" s="1"/>
  <c r="AW103" i="16"/>
  <c r="O103" i="16" s="1"/>
  <c r="Q103" i="16" s="1"/>
  <c r="AW88" i="16"/>
  <c r="O88" i="16" s="1"/>
  <c r="Q88" i="16" s="1"/>
  <c r="AX83" i="16"/>
  <c r="N83" i="16" s="1"/>
  <c r="P83" i="16" s="1"/>
  <c r="AW76" i="16"/>
  <c r="O76" i="16" s="1"/>
  <c r="Q76" i="16" s="1"/>
  <c r="AW83" i="16"/>
  <c r="O83" i="16" s="1"/>
  <c r="Q83" i="16" s="1"/>
  <c r="AX6" i="16"/>
  <c r="N6" i="16" s="1"/>
  <c r="P6" i="16" s="1"/>
  <c r="AI6" i="16" s="1"/>
  <c r="AJ6" i="16" s="1"/>
  <c r="AX41" i="16"/>
  <c r="N41" i="16" s="1"/>
  <c r="P41" i="16" s="1"/>
  <c r="AI41" i="16" s="1"/>
  <c r="AJ41" i="16" s="1"/>
  <c r="AW63" i="16"/>
  <c r="O63" i="16" s="1"/>
  <c r="Q63" i="16" s="1"/>
  <c r="AX27" i="16"/>
  <c r="N27" i="16" s="1"/>
  <c r="P27" i="16" s="1"/>
  <c r="AI27" i="16" s="1"/>
  <c r="AJ27" i="16" s="1"/>
  <c r="AW56" i="16"/>
  <c r="O56" i="16" s="1"/>
  <c r="Q56" i="16" s="1"/>
  <c r="AW10" i="16"/>
  <c r="O10" i="16" s="1"/>
  <c r="Q10" i="16" s="1"/>
  <c r="AB10" i="16" s="1"/>
  <c r="Z11" i="16" s="1"/>
  <c r="AL11" i="16" s="1"/>
  <c r="AX8" i="16"/>
  <c r="N8" i="16" s="1"/>
  <c r="P8" i="16" s="1"/>
  <c r="AI8" i="16" s="1"/>
  <c r="AJ8" i="16" s="1"/>
  <c r="AW42" i="16"/>
  <c r="O42" i="16" s="1"/>
  <c r="Q42" i="16" s="1"/>
  <c r="AB42" i="16" s="1"/>
  <c r="Z43" i="16" s="1"/>
  <c r="AL43" i="16" s="1"/>
  <c r="AW39" i="16"/>
  <c r="O39" i="16" s="1"/>
  <c r="Q39" i="16" s="1"/>
  <c r="AB39" i="16" s="1"/>
  <c r="Z40" i="16" s="1"/>
  <c r="AL40" i="16" s="1"/>
  <c r="AW32" i="16"/>
  <c r="O32" i="16" s="1"/>
  <c r="Q32" i="16" s="1"/>
  <c r="AB32" i="16" s="1"/>
  <c r="Z33" i="16" s="1"/>
  <c r="AL33" i="16" s="1"/>
  <c r="AW27" i="16"/>
  <c r="O27" i="16" s="1"/>
  <c r="Q27" i="16" s="1"/>
  <c r="AB27" i="16" s="1"/>
  <c r="Z28" i="16" s="1"/>
  <c r="AL28" i="16" s="1"/>
  <c r="AW43" i="16"/>
  <c r="O43" i="16" s="1"/>
  <c r="Q43" i="16" s="1"/>
  <c r="AB43" i="16" s="1"/>
  <c r="Z44" i="16" s="1"/>
  <c r="AL44" i="16" s="1"/>
  <c r="AW16" i="16"/>
  <c r="O16" i="16" s="1"/>
  <c r="Q16" i="16" s="1"/>
  <c r="AB16" i="16" s="1"/>
  <c r="Z17" i="16" s="1"/>
  <c r="AL17" i="16" s="1"/>
  <c r="AX89" i="16"/>
  <c r="N89" i="16" s="1"/>
  <c r="P89" i="16" s="1"/>
  <c r="AW22" i="16"/>
  <c r="O22" i="16" s="1"/>
  <c r="Q22" i="16" s="1"/>
  <c r="AB22" i="16" s="1"/>
  <c r="Z23" i="16" s="1"/>
  <c r="AL23" i="16" s="1"/>
  <c r="AX107" i="16"/>
  <c r="N107" i="16" s="1"/>
  <c r="P107" i="16" s="1"/>
  <c r="AX92" i="16"/>
  <c r="N92" i="16" s="1"/>
  <c r="P92" i="16" s="1"/>
  <c r="AX46" i="16"/>
  <c r="N46" i="16" s="1"/>
  <c r="P46" i="16" s="1"/>
  <c r="AI46" i="16" s="1"/>
  <c r="AJ46" i="16" s="1"/>
  <c r="AW44" i="16"/>
  <c r="O44" i="16" s="1"/>
  <c r="Q44" i="16" s="1"/>
  <c r="AB44" i="16" s="1"/>
  <c r="Z45" i="16" s="1"/>
  <c r="AL45" i="16" s="1"/>
  <c r="AX120" i="16"/>
  <c r="N120" i="16" s="1"/>
  <c r="P120" i="16" s="1"/>
  <c r="AX114" i="16"/>
  <c r="N114" i="16" s="1"/>
  <c r="P114" i="16" s="1"/>
  <c r="AX110" i="16"/>
  <c r="N110" i="16" s="1"/>
  <c r="P110" i="16" s="1"/>
  <c r="AW107" i="16"/>
  <c r="O107" i="16" s="1"/>
  <c r="Q107" i="16" s="1"/>
  <c r="AX101" i="16"/>
  <c r="N101" i="16" s="1"/>
  <c r="P101" i="16" s="1"/>
  <c r="AW99" i="16"/>
  <c r="O99" i="16" s="1"/>
  <c r="Q99" i="16" s="1"/>
  <c r="AX94" i="16"/>
  <c r="N94" i="16" s="1"/>
  <c r="P94" i="16" s="1"/>
  <c r="AW91" i="16"/>
  <c r="O91" i="16" s="1"/>
  <c r="Q91" i="16" s="1"/>
  <c r="AX88" i="16"/>
  <c r="N88" i="16" s="1"/>
  <c r="P88" i="16" s="1"/>
  <c r="AW69" i="16"/>
  <c r="O69" i="16" s="1"/>
  <c r="Q69" i="16" s="1"/>
  <c r="AW73" i="16"/>
  <c r="O73" i="16" s="1"/>
  <c r="Q73" i="16" s="1"/>
  <c r="AW28" i="16"/>
  <c r="O28" i="16" s="1"/>
  <c r="Q28" i="16" s="1"/>
  <c r="AB28" i="16" s="1"/>
  <c r="Z29" i="16" s="1"/>
  <c r="AL29" i="16" s="1"/>
  <c r="AX56" i="16"/>
  <c r="N56" i="16" s="1"/>
  <c r="P56" i="16" s="1"/>
  <c r="AW61" i="16"/>
  <c r="O61" i="16" s="1"/>
  <c r="Q61" i="16" s="1"/>
  <c r="AX22" i="16"/>
  <c r="N22" i="16" s="1"/>
  <c r="P22" i="16" s="1"/>
  <c r="AI22" i="16" s="1"/>
  <c r="AJ22" i="16" s="1"/>
  <c r="AX74" i="16"/>
  <c r="N74" i="16" s="1"/>
  <c r="P74" i="16" s="1"/>
  <c r="AX66" i="16"/>
  <c r="N66" i="16" s="1"/>
  <c r="P66" i="16" s="1"/>
  <c r="AW64" i="16"/>
  <c r="O64" i="16" s="1"/>
  <c r="Q64" i="16" s="1"/>
  <c r="AX18" i="16"/>
  <c r="N18" i="16" s="1"/>
  <c r="P18" i="16" s="1"/>
  <c r="AI18" i="16" s="1"/>
  <c r="AJ18" i="16" s="1"/>
  <c r="AW4" i="16"/>
  <c r="O4" i="16" s="1"/>
  <c r="Q4" i="16" s="1"/>
  <c r="AB4" i="16" s="1"/>
  <c r="Z5" i="16" s="1"/>
  <c r="AX71" i="16"/>
  <c r="N71" i="16" s="1"/>
  <c r="P71" i="16" s="1"/>
  <c r="AX42" i="16"/>
  <c r="N42" i="16" s="1"/>
  <c r="P42" i="16" s="1"/>
  <c r="AI42" i="16" s="1"/>
  <c r="AJ42" i="16" s="1"/>
  <c r="AX57" i="16"/>
  <c r="N57" i="16" s="1"/>
  <c r="P57" i="16" s="1"/>
  <c r="AW68" i="16"/>
  <c r="O68" i="16" s="1"/>
  <c r="Q68" i="16" s="1"/>
  <c r="AX31" i="16"/>
  <c r="N31" i="16" s="1"/>
  <c r="P31" i="16" s="1"/>
  <c r="AI31" i="16" s="1"/>
  <c r="AJ31" i="16" s="1"/>
  <c r="AX60" i="16"/>
  <c r="N60" i="16" s="1"/>
  <c r="P60" i="16" s="1"/>
  <c r="AW54" i="16"/>
  <c r="O54" i="16" s="1"/>
  <c r="Q54" i="16" s="1"/>
  <c r="AX79" i="16"/>
  <c r="N79" i="16" s="1"/>
  <c r="P79" i="16" s="1"/>
  <c r="AX50" i="16"/>
  <c r="N50" i="16" s="1"/>
  <c r="P50" i="16" s="1"/>
  <c r="AI50" i="16" s="1"/>
  <c r="AJ50" i="16" s="1"/>
  <c r="AW109" i="16"/>
  <c r="O109" i="16" s="1"/>
  <c r="Q109" i="16" s="1"/>
  <c r="AX85" i="16"/>
  <c r="N85" i="16" s="1"/>
  <c r="P85" i="16" s="1"/>
  <c r="AX28" i="16"/>
  <c r="N28" i="16" s="1"/>
  <c r="P28" i="16" s="1"/>
  <c r="AI28" i="16" s="1"/>
  <c r="AJ28" i="16" s="1"/>
  <c r="AW118" i="16"/>
  <c r="O118" i="16" s="1"/>
  <c r="Q118" i="16" s="1"/>
  <c r="AW94" i="16"/>
  <c r="O94" i="16" s="1"/>
  <c r="Q94" i="16" s="1"/>
  <c r="AW59" i="16"/>
  <c r="O59" i="16" s="1"/>
  <c r="Q59" i="16" s="1"/>
  <c r="AX119" i="16"/>
  <c r="N119" i="16" s="1"/>
  <c r="P119" i="16" s="1"/>
  <c r="AW110" i="16"/>
  <c r="O110" i="16" s="1"/>
  <c r="Q110" i="16" s="1"/>
  <c r="AX105" i="16"/>
  <c r="N105" i="16" s="1"/>
  <c r="P105" i="16" s="1"/>
  <c r="AW102" i="16"/>
  <c r="O102" i="16" s="1"/>
  <c r="Q102" i="16" s="1"/>
  <c r="AX98" i="16"/>
  <c r="N98" i="16" s="1"/>
  <c r="P98" i="16" s="1"/>
  <c r="AW95" i="16"/>
  <c r="O95" i="16" s="1"/>
  <c r="Q95" i="16" s="1"/>
  <c r="AW90" i="16"/>
  <c r="O90" i="16" s="1"/>
  <c r="Q90" i="16" s="1"/>
  <c r="AX86" i="16"/>
  <c r="N86" i="16" s="1"/>
  <c r="P86" i="16" s="1"/>
  <c r="AX52" i="16"/>
  <c r="N52" i="16" s="1"/>
  <c r="P52" i="16" s="1"/>
  <c r="AI52" i="16" s="1"/>
  <c r="AJ52" i="16" s="1"/>
  <c r="AX61" i="16"/>
  <c r="N61" i="16" s="1"/>
  <c r="P61" i="16" s="1"/>
  <c r="AX45" i="16"/>
  <c r="N45" i="16" s="1"/>
  <c r="P45" i="16" s="1"/>
  <c r="AI45" i="16" s="1"/>
  <c r="AJ45" i="16" s="1"/>
  <c r="AX19" i="16"/>
  <c r="N19" i="16" s="1"/>
  <c r="P19" i="16" s="1"/>
  <c r="AI19" i="16" s="1"/>
  <c r="AJ19" i="16" s="1"/>
  <c r="AW25" i="16"/>
  <c r="O25" i="16" s="1"/>
  <c r="Q25" i="16" s="1"/>
  <c r="AB25" i="16" s="1"/>
  <c r="Z26" i="16" s="1"/>
  <c r="AL26" i="16" s="1"/>
  <c r="AW13" i="16"/>
  <c r="O13" i="16" s="1"/>
  <c r="Q13" i="16" s="1"/>
  <c r="AB13" i="16" s="1"/>
  <c r="Z14" i="16" s="1"/>
  <c r="AL14" i="16" s="1"/>
  <c r="AW9" i="16"/>
  <c r="O9" i="16" s="1"/>
  <c r="Q9" i="16" s="1"/>
  <c r="AB9" i="16" s="1"/>
  <c r="Z10" i="16" s="1"/>
  <c r="AL10" i="16" s="1"/>
  <c r="AX33" i="16"/>
  <c r="N33" i="16" s="1"/>
  <c r="P33" i="16" s="1"/>
  <c r="AI33" i="16" s="1"/>
  <c r="AJ33" i="16" s="1"/>
  <c r="AX13" i="16"/>
  <c r="N13" i="16" s="1"/>
  <c r="P13" i="16" s="1"/>
  <c r="AI13" i="16" s="1"/>
  <c r="AJ13" i="16" s="1"/>
  <c r="AW38" i="16"/>
  <c r="O38" i="16" s="1"/>
  <c r="Q38" i="16" s="1"/>
  <c r="AB38" i="16" s="1"/>
  <c r="Z39" i="16" s="1"/>
  <c r="AL39" i="16" s="1"/>
  <c r="AW55" i="16"/>
  <c r="O55" i="16" s="1"/>
  <c r="Q55" i="16" s="1"/>
  <c r="AW62" i="16"/>
  <c r="O62" i="16" s="1"/>
  <c r="Q62" i="16" s="1"/>
  <c r="AW6" i="16"/>
  <c r="O6" i="16" s="1"/>
  <c r="Q6" i="16" s="1"/>
  <c r="AB6" i="16" s="1"/>
  <c r="Z7" i="16" s="1"/>
  <c r="AL7" i="16" s="1"/>
  <c r="AW12" i="16"/>
  <c r="O12" i="16" s="1"/>
  <c r="Q12" i="16" s="1"/>
  <c r="AB12" i="16" s="1"/>
  <c r="Z13" i="16" s="1"/>
  <c r="AL13" i="16" s="1"/>
  <c r="AX49" i="16"/>
  <c r="N49" i="16" s="1"/>
  <c r="P49" i="16" s="1"/>
  <c r="AI49" i="16" s="1"/>
  <c r="AJ49" i="16" s="1"/>
  <c r="AX17" i="16"/>
  <c r="N17" i="16" s="1"/>
  <c r="P17" i="16" s="1"/>
  <c r="AI17" i="16" s="1"/>
  <c r="AJ17" i="16" s="1"/>
  <c r="AW65" i="16"/>
  <c r="O65" i="16" s="1"/>
  <c r="Q65" i="16" s="1"/>
  <c r="AX34" i="16"/>
  <c r="N34" i="16" s="1"/>
  <c r="P34" i="16" s="1"/>
  <c r="AI34" i="16" s="1"/>
  <c r="AJ34" i="16" s="1"/>
  <c r="AX7" i="16"/>
  <c r="N7" i="16" s="1"/>
  <c r="P7" i="16" s="1"/>
  <c r="AI7" i="16" s="1"/>
  <c r="AJ7" i="16" s="1"/>
  <c r="AW29" i="16"/>
  <c r="O29" i="16" s="1"/>
  <c r="Q29" i="16" s="1"/>
  <c r="AB29" i="16" s="1"/>
  <c r="Z30" i="16" s="1"/>
  <c r="AL30" i="16" s="1"/>
  <c r="AW106" i="16"/>
  <c r="O106" i="16" s="1"/>
  <c r="Q106" i="16" s="1"/>
  <c r="AX55" i="16"/>
  <c r="N55" i="16" s="1"/>
  <c r="P55" i="16" s="1"/>
  <c r="AX51" i="16"/>
  <c r="N51" i="16" s="1"/>
  <c r="P51" i="16" s="1"/>
  <c r="AI51" i="16" s="1"/>
  <c r="AJ51" i="16" s="1"/>
  <c r="AW115" i="16"/>
  <c r="O115" i="16" s="1"/>
  <c r="Q115" i="16" s="1"/>
  <c r="AX100" i="16"/>
  <c r="N100" i="16" s="1"/>
  <c r="P100" i="16" s="1"/>
  <c r="AW31" i="16"/>
  <c r="O31" i="16" s="1"/>
  <c r="Q31" i="16" s="1"/>
  <c r="AB31" i="16" s="1"/>
  <c r="Z32" i="16" s="1"/>
  <c r="AL32" i="16" s="1"/>
  <c r="AW114" i="16"/>
  <c r="O114" i="16" s="1"/>
  <c r="Q114" i="16" s="1"/>
  <c r="AX118" i="16"/>
  <c r="N118" i="16" s="1"/>
  <c r="P118" i="16" s="1"/>
  <c r="AX115" i="16"/>
  <c r="N115" i="16" s="1"/>
  <c r="P115" i="16" s="1"/>
  <c r="AX112" i="16"/>
  <c r="N112" i="16" s="1"/>
  <c r="P112" i="16" s="1"/>
  <c r="AX106" i="16"/>
  <c r="N106" i="16" s="1"/>
  <c r="P106" i="16" s="1"/>
  <c r="AX102" i="16"/>
  <c r="N102" i="16" s="1"/>
  <c r="P102" i="16" s="1"/>
  <c r="AW98" i="16"/>
  <c r="O98" i="16" s="1"/>
  <c r="Q98" i="16" s="1"/>
  <c r="AX95" i="16"/>
  <c r="N95" i="16" s="1"/>
  <c r="P95" i="16" s="1"/>
  <c r="AX90" i="16"/>
  <c r="N90" i="16" s="1"/>
  <c r="P90" i="16" s="1"/>
  <c r="AW86" i="16"/>
  <c r="O86" i="16" s="1"/>
  <c r="Q86" i="16" s="1"/>
  <c r="AX26" i="16"/>
  <c r="N26" i="16" s="1"/>
  <c r="P26" i="16" s="1"/>
  <c r="AI26" i="16" s="1"/>
  <c r="AJ26" i="16" s="1"/>
  <c r="AW66" i="16"/>
  <c r="O66" i="16" s="1"/>
  <c r="Q66" i="16" s="1"/>
  <c r="AW80" i="16"/>
  <c r="O80" i="16" s="1"/>
  <c r="Q80" i="16" s="1"/>
  <c r="AW30" i="16"/>
  <c r="O30" i="16" s="1"/>
  <c r="Q30" i="16" s="1"/>
  <c r="AB30" i="16" s="1"/>
  <c r="Z31" i="16" s="1"/>
  <c r="AL31" i="16" s="1"/>
  <c r="AW51" i="16"/>
  <c r="O51" i="16" s="1"/>
  <c r="Q51" i="16" s="1"/>
  <c r="AB51" i="16" s="1"/>
  <c r="Z52" i="16" s="1"/>
  <c r="AL52" i="16" s="1"/>
  <c r="AX77" i="16"/>
  <c r="N77" i="16" s="1"/>
  <c r="P77" i="16" s="1"/>
  <c r="AX25" i="16"/>
  <c r="N25" i="16" s="1"/>
  <c r="P25" i="16" s="1"/>
  <c r="AI25" i="16" s="1"/>
  <c r="AJ25" i="16" s="1"/>
  <c r="AX10" i="16"/>
  <c r="AX62" i="16"/>
  <c r="N62" i="16" s="1"/>
  <c r="P62" i="16" s="1"/>
  <c r="AX30" i="16"/>
  <c r="N30" i="16" s="1"/>
  <c r="P30" i="16" s="1"/>
  <c r="AI30" i="16" s="1"/>
  <c r="AJ30" i="16" s="1"/>
  <c r="AW74" i="16"/>
  <c r="O74" i="16" s="1"/>
  <c r="Q74" i="16" s="1"/>
  <c r="AX21" i="16"/>
  <c r="N21" i="16" s="1"/>
  <c r="P21" i="16" s="1"/>
  <c r="AI21" i="16" s="1"/>
  <c r="AJ21" i="16" s="1"/>
  <c r="AX82" i="16"/>
  <c r="N82" i="16" s="1"/>
  <c r="P82" i="16" s="1"/>
  <c r="AW34" i="16"/>
  <c r="O34" i="16" s="1"/>
  <c r="Q34" i="16" s="1"/>
  <c r="AB34" i="16" s="1"/>
  <c r="Z35" i="16" s="1"/>
  <c r="AL35" i="16" s="1"/>
  <c r="AW19" i="16"/>
  <c r="O19" i="16" s="1"/>
  <c r="Q19" i="16" s="1"/>
  <c r="AB19" i="16" s="1"/>
  <c r="Z20" i="16" s="1"/>
  <c r="AL20" i="16" s="1"/>
  <c r="AX75" i="16"/>
  <c r="N75" i="16" s="1"/>
  <c r="P75" i="16" s="1"/>
  <c r="AX65" i="16"/>
  <c r="N65" i="16" s="1"/>
  <c r="P65" i="16" s="1"/>
  <c r="AX9" i="16"/>
  <c r="N9" i="16" s="1"/>
  <c r="P9" i="16" s="1"/>
  <c r="AI9" i="16" s="1"/>
  <c r="AJ9" i="16" s="1"/>
  <c r="AW77" i="16"/>
  <c r="O77" i="16" s="1"/>
  <c r="Q77" i="16" s="1"/>
  <c r="AW41" i="16"/>
  <c r="O41" i="16" s="1"/>
  <c r="Q41" i="16" s="1"/>
  <c r="AB41" i="16" s="1"/>
  <c r="Z42" i="16" s="1"/>
  <c r="AL42" i="16" s="1"/>
  <c r="AW96" i="16"/>
  <c r="O96" i="16" s="1"/>
  <c r="Q96" i="16" s="1"/>
  <c r="AX14" i="16"/>
  <c r="N14" i="16" s="1"/>
  <c r="P14" i="16" s="1"/>
  <c r="AI14" i="16" s="1"/>
  <c r="AJ14" i="16" s="1"/>
  <c r="AW82" i="16"/>
  <c r="O82" i="16" s="1"/>
  <c r="Q82" i="16" s="1"/>
  <c r="AX40" i="16"/>
  <c r="N40" i="16" s="1"/>
  <c r="P40" i="16" s="1"/>
  <c r="AI40" i="16" s="1"/>
  <c r="AJ40" i="16" s="1"/>
  <c r="AX16" i="16"/>
  <c r="N16" i="16" s="1"/>
  <c r="P16" i="16" s="1"/>
  <c r="AI16" i="16" s="1"/>
  <c r="AJ16" i="16" s="1"/>
  <c r="AX73" i="16"/>
  <c r="N73" i="16" s="1"/>
  <c r="P73" i="16" s="1"/>
  <c r="AX76" i="16"/>
  <c r="N76" i="16" s="1"/>
  <c r="P76" i="16" s="1"/>
  <c r="AX47" i="16"/>
  <c r="N47" i="16" s="1"/>
  <c r="P47" i="16" s="1"/>
  <c r="AI47" i="16" s="1"/>
  <c r="AJ47" i="16" s="1"/>
  <c r="AW120" i="16"/>
  <c r="O120" i="16" s="1"/>
  <c r="Q120" i="16" s="1"/>
  <c r="AW113" i="16"/>
  <c r="O113" i="16" s="1"/>
  <c r="Q113" i="16" s="1"/>
  <c r="AX109" i="16"/>
  <c r="N109" i="16" s="1"/>
  <c r="P109" i="16" s="1"/>
  <c r="AW105" i="16"/>
  <c r="O105" i="16" s="1"/>
  <c r="Q105" i="16" s="1"/>
  <c r="AX99" i="16"/>
  <c r="N99" i="16" s="1"/>
  <c r="P99" i="16" s="1"/>
  <c r="AX97" i="16"/>
  <c r="N97" i="16" s="1"/>
  <c r="P97" i="16" s="1"/>
  <c r="AW93" i="16"/>
  <c r="O93" i="16" s="1"/>
  <c r="Q93" i="16" s="1"/>
  <c r="AW89" i="16"/>
  <c r="O89" i="16" s="1"/>
  <c r="Q89" i="16" s="1"/>
  <c r="AW84" i="16"/>
  <c r="O84" i="16" s="1"/>
  <c r="Q84" i="16" s="1"/>
  <c r="AX64" i="16"/>
  <c r="N64" i="16" s="1"/>
  <c r="P64" i="16" s="1"/>
  <c r="AW79" i="16"/>
  <c r="O79" i="16" s="1"/>
  <c r="Q79" i="16" s="1"/>
  <c r="AX80" i="16"/>
  <c r="N80" i="16" s="1"/>
  <c r="P80" i="16" s="1"/>
  <c r="AW53" i="16"/>
  <c r="O53" i="16" s="1"/>
  <c r="Q53" i="16" s="1"/>
  <c r="AW8" i="16"/>
  <c r="O8" i="16" s="1"/>
  <c r="Q8" i="16" s="1"/>
  <c r="AB8" i="16" s="1"/>
  <c r="Z9" i="16" s="1"/>
  <c r="AL9" i="16" s="1"/>
  <c r="AW20" i="16"/>
  <c r="O20" i="16" s="1"/>
  <c r="Q20" i="16" s="1"/>
  <c r="AB20" i="16" s="1"/>
  <c r="Z21" i="16" s="1"/>
  <c r="AL21" i="16" s="1"/>
  <c r="AX67" i="16"/>
  <c r="N67" i="16" s="1"/>
  <c r="P67" i="16" s="1"/>
  <c r="AX29" i="16"/>
  <c r="N29" i="16" s="1"/>
  <c r="P29" i="16" s="1"/>
  <c r="AI29" i="16" s="1"/>
  <c r="AJ29" i="16" s="1"/>
  <c r="AX78" i="16"/>
  <c r="N78" i="16" s="1"/>
  <c r="P78" i="16" s="1"/>
  <c r="AX37" i="16"/>
  <c r="N37" i="16" s="1"/>
  <c r="P37" i="16" s="1"/>
  <c r="AI37" i="16" s="1"/>
  <c r="AJ37" i="16" s="1"/>
  <c r="AW21" i="16"/>
  <c r="O21" i="16" s="1"/>
  <c r="Q21" i="16" s="1"/>
  <c r="AB21" i="16" s="1"/>
  <c r="Z22" i="16" s="1"/>
  <c r="AL22" i="16" s="1"/>
  <c r="AX53" i="16"/>
  <c r="N53" i="16" s="1"/>
  <c r="P53" i="16" s="1"/>
  <c r="AW67" i="16"/>
  <c r="O67" i="16" s="1"/>
  <c r="Q67" i="16" s="1"/>
  <c r="AX63" i="16"/>
  <c r="N63" i="16" s="1"/>
  <c r="P63" i="16" s="1"/>
  <c r="AX15" i="16"/>
  <c r="N15" i="16" s="1"/>
  <c r="P15" i="16" s="1"/>
  <c r="AI15" i="16" s="1"/>
  <c r="AJ15" i="16" s="1"/>
  <c r="AW72" i="16"/>
  <c r="O72" i="16" s="1"/>
  <c r="Q72" i="16" s="1"/>
  <c r="AX20" i="16"/>
  <c r="N20" i="16" s="1"/>
  <c r="P20" i="16" s="1"/>
  <c r="AI20" i="16" s="1"/>
  <c r="AJ20" i="16" s="1"/>
  <c r="AW70" i="16"/>
  <c r="O70" i="16" s="1"/>
  <c r="Q70" i="16" s="1"/>
  <c r="AW5" i="16"/>
  <c r="O5" i="16" s="1"/>
  <c r="Q5" i="16" s="1"/>
  <c r="AB5" i="16" s="1"/>
  <c r="Z6" i="16" s="1"/>
  <c r="AL6" i="16" s="1"/>
  <c r="AX68" i="16"/>
  <c r="N68" i="16" s="1"/>
  <c r="P68" i="16" s="1"/>
  <c r="AW50" i="16"/>
  <c r="O50" i="16" s="1"/>
  <c r="Q50" i="16" s="1"/>
  <c r="AB50" i="16" s="1"/>
  <c r="Z51" i="16" s="1"/>
  <c r="AL51" i="16" s="1"/>
  <c r="AX44" i="16"/>
  <c r="N44" i="16" s="1"/>
  <c r="P44" i="16" s="1"/>
  <c r="AI44" i="16" s="1"/>
  <c r="AJ44" i="16" s="1"/>
  <c r="AX124" i="16"/>
  <c r="N124" i="16" s="1"/>
  <c r="P124" i="16" s="1"/>
  <c r="AX123" i="16"/>
  <c r="N123" i="16" s="1"/>
  <c r="P123" i="16" s="1"/>
  <c r="AW123" i="16"/>
  <c r="O123" i="16" s="1"/>
  <c r="Q123" i="16" s="1"/>
  <c r="AW124" i="16"/>
  <c r="O124" i="16" s="1"/>
  <c r="Q124" i="16" s="1"/>
  <c r="AW122" i="16"/>
  <c r="O122" i="16" s="1"/>
  <c r="Q122" i="16" s="1"/>
  <c r="AX122" i="16"/>
  <c r="N122" i="16" s="1"/>
  <c r="P122" i="16" s="1"/>
  <c r="AW121" i="16"/>
  <c r="O121" i="16" s="1"/>
  <c r="Q121" i="16" s="1"/>
  <c r="AX121" i="16"/>
  <c r="N121" i="16" s="1"/>
  <c r="P121" i="16" s="1"/>
  <c r="W53" i="16"/>
  <c r="X53" i="16" s="1"/>
  <c r="AG53" i="16" s="1"/>
  <c r="W56" i="11"/>
  <c r="X56" i="11" s="1"/>
  <c r="AU117" i="11"/>
  <c r="X52" i="10"/>
  <c r="AE52" i="10" s="1"/>
  <c r="AM51" i="10"/>
  <c r="W109" i="23" l="1"/>
  <c r="AI109" i="23" s="1"/>
  <c r="X109" i="23"/>
  <c r="AM108" i="23"/>
  <c r="AO108" i="23" s="1"/>
  <c r="AV124" i="18"/>
  <c r="AU1" i="18"/>
  <c r="AW1" i="18" s="1"/>
  <c r="AW2" i="18"/>
  <c r="AX41" i="18"/>
  <c r="N41" i="18" s="1"/>
  <c r="P41" i="18" s="1"/>
  <c r="AI41" i="18" s="1"/>
  <c r="AJ41" i="18" s="1"/>
  <c r="AM49" i="19"/>
  <c r="AO49" i="19" s="1"/>
  <c r="X50" i="19"/>
  <c r="AG50" i="19" s="1"/>
  <c r="W51" i="20"/>
  <c r="AI51" i="20" s="1"/>
  <c r="AM50" i="20"/>
  <c r="AO50" i="20" s="1"/>
  <c r="X51" i="18"/>
  <c r="N10" i="16"/>
  <c r="P10" i="16" s="1"/>
  <c r="AI10" i="16" s="1"/>
  <c r="AJ10" i="16" s="1"/>
  <c r="O11" i="16"/>
  <c r="Q11" i="16" s="1"/>
  <c r="AB11" i="16" s="1"/>
  <c r="AK18" i="16"/>
  <c r="AL18" i="16"/>
  <c r="AK33" i="16"/>
  <c r="AM33" i="16" s="1"/>
  <c r="AO33" i="16" s="1"/>
  <c r="AK23" i="16"/>
  <c r="AM23" i="16" s="1"/>
  <c r="AO23" i="16" s="1"/>
  <c r="AK37" i="16"/>
  <c r="AM37" i="16" s="1"/>
  <c r="AO37" i="16" s="1"/>
  <c r="AK46" i="16"/>
  <c r="AM46" i="16" s="1"/>
  <c r="AO46" i="16" s="1"/>
  <c r="AK4" i="16"/>
  <c r="AM4" i="16" s="1"/>
  <c r="AK47" i="16"/>
  <c r="AM47" i="16" s="1"/>
  <c r="AO47" i="16" s="1"/>
  <c r="AK17" i="16"/>
  <c r="AM17" i="16" s="1"/>
  <c r="AO17" i="16" s="1"/>
  <c r="AK49" i="16"/>
  <c r="AM49" i="16" s="1"/>
  <c r="AO49" i="16" s="1"/>
  <c r="AK48" i="16"/>
  <c r="AM48" i="16" s="1"/>
  <c r="AO48" i="16" s="1"/>
  <c r="AK10" i="16"/>
  <c r="AK34" i="16"/>
  <c r="AM34" i="16" s="1"/>
  <c r="AO34" i="16" s="1"/>
  <c r="AK16" i="16"/>
  <c r="AM16" i="16" s="1"/>
  <c r="AO16" i="16" s="1"/>
  <c r="AK15" i="16"/>
  <c r="AM15" i="16" s="1"/>
  <c r="AO15" i="16" s="1"/>
  <c r="AK39" i="16"/>
  <c r="AM39" i="16" s="1"/>
  <c r="AO39" i="16" s="1"/>
  <c r="AK29" i="16"/>
  <c r="AM29" i="16" s="1"/>
  <c r="AO29" i="16" s="1"/>
  <c r="AK36" i="16"/>
  <c r="AM36" i="16" s="1"/>
  <c r="AO36" i="16" s="1"/>
  <c r="AK38" i="16"/>
  <c r="AM38" i="16" s="1"/>
  <c r="AO38" i="16" s="1"/>
  <c r="AK35" i="16"/>
  <c r="AM35" i="16" s="1"/>
  <c r="AO35" i="16" s="1"/>
  <c r="AK32" i="16"/>
  <c r="AM32" i="16" s="1"/>
  <c r="AO32" i="16" s="1"/>
  <c r="AK30" i="16"/>
  <c r="AM30" i="16" s="1"/>
  <c r="AO30" i="16" s="1"/>
  <c r="AK52" i="16"/>
  <c r="AM52" i="16" s="1"/>
  <c r="AO52" i="16" s="1"/>
  <c r="AK31" i="16"/>
  <c r="AM31" i="16" s="1"/>
  <c r="AO31" i="16" s="1"/>
  <c r="AK14" i="16"/>
  <c r="AM14" i="16" s="1"/>
  <c r="AO14" i="16" s="1"/>
  <c r="AK43" i="16"/>
  <c r="AM43" i="16" s="1"/>
  <c r="AO43" i="16" s="1"/>
  <c r="AK42" i="16"/>
  <c r="AM42" i="16" s="1"/>
  <c r="AO42" i="16" s="1"/>
  <c r="AK13" i="16"/>
  <c r="AM13" i="16" s="1"/>
  <c r="AO13" i="16" s="1"/>
  <c r="AK8" i="16"/>
  <c r="AM8" i="16" s="1"/>
  <c r="AO8" i="16" s="1"/>
  <c r="AK20" i="16"/>
  <c r="AM20" i="16" s="1"/>
  <c r="AO20" i="16" s="1"/>
  <c r="AK9" i="16"/>
  <c r="AM9" i="16" s="1"/>
  <c r="AO9" i="16" s="1"/>
  <c r="AK27" i="16"/>
  <c r="AM27" i="16" s="1"/>
  <c r="AO27" i="16" s="1"/>
  <c r="AK24" i="16"/>
  <c r="AM24" i="16" s="1"/>
  <c r="AO24" i="16" s="1"/>
  <c r="AK19" i="16"/>
  <c r="AM19" i="16" s="1"/>
  <c r="AO19" i="16" s="1"/>
  <c r="AK21" i="16"/>
  <c r="AM21" i="16" s="1"/>
  <c r="AO21" i="16" s="1"/>
  <c r="AK51" i="16"/>
  <c r="AM51" i="16" s="1"/>
  <c r="AO51" i="16" s="1"/>
  <c r="AK50" i="16"/>
  <c r="AM50" i="16" s="1"/>
  <c r="AO50" i="16" s="1"/>
  <c r="AK22" i="16"/>
  <c r="AM22" i="16" s="1"/>
  <c r="AO22" i="16" s="1"/>
  <c r="AK41" i="16"/>
  <c r="AL41" i="16"/>
  <c r="AK44" i="16"/>
  <c r="AM44" i="16" s="1"/>
  <c r="AO44" i="16" s="1"/>
  <c r="AK28" i="16"/>
  <c r="AM28" i="16" s="1"/>
  <c r="AO28" i="16" s="1"/>
  <c r="AK25" i="16"/>
  <c r="AM25" i="16" s="1"/>
  <c r="AO25" i="16" s="1"/>
  <c r="AK7" i="16"/>
  <c r="AM7" i="16" s="1"/>
  <c r="AO7" i="16" s="1"/>
  <c r="AK45" i="16"/>
  <c r="AM45" i="16" s="1"/>
  <c r="AO45" i="16" s="1"/>
  <c r="AK26" i="16"/>
  <c r="AM26" i="16" s="1"/>
  <c r="AO26" i="16" s="1"/>
  <c r="AK40" i="16"/>
  <c r="AM40" i="16" s="1"/>
  <c r="AO40" i="16" s="1"/>
  <c r="AK6" i="16"/>
  <c r="AM6" i="16" s="1"/>
  <c r="AO6" i="16" s="1"/>
  <c r="AI53" i="16"/>
  <c r="AB53" i="16"/>
  <c r="Z54" i="16" s="1"/>
  <c r="AE53" i="16"/>
  <c r="AL53" i="16" s="1"/>
  <c r="AC53" i="16"/>
  <c r="U54" i="16"/>
  <c r="AL5" i="16"/>
  <c r="AK5" i="16"/>
  <c r="AE56" i="11"/>
  <c r="U57" i="11"/>
  <c r="AC56" i="11"/>
  <c r="AG56" i="11"/>
  <c r="AV117" i="11"/>
  <c r="AB52" i="10"/>
  <c r="Z53" i="10" s="1"/>
  <c r="AF52" i="10"/>
  <c r="AC52" i="10"/>
  <c r="AN52" i="10" s="1"/>
  <c r="AG52" i="10"/>
  <c r="AO51" i="10"/>
  <c r="U53" i="10"/>
  <c r="AX20" i="18" l="1"/>
  <c r="N20" i="18" s="1"/>
  <c r="P20" i="18" s="1"/>
  <c r="AI20" i="18" s="1"/>
  <c r="AJ20" i="18" s="1"/>
  <c r="AE109" i="23"/>
  <c r="AC109" i="23"/>
  <c r="U110" i="23"/>
  <c r="AG109" i="23"/>
  <c r="AB109" i="23"/>
  <c r="AW103" i="18"/>
  <c r="O103" i="18" s="1"/>
  <c r="Q103" i="18" s="1"/>
  <c r="AX21" i="18"/>
  <c r="N21" i="18" s="1"/>
  <c r="P21" i="18" s="1"/>
  <c r="AI21" i="18" s="1"/>
  <c r="AJ21" i="18" s="1"/>
  <c r="AW22" i="18"/>
  <c r="O22" i="18" s="1"/>
  <c r="Q22" i="18" s="1"/>
  <c r="AB22" i="18" s="1"/>
  <c r="Z23" i="18" s="1"/>
  <c r="AL23" i="18" s="1"/>
  <c r="AX47" i="18"/>
  <c r="N47" i="18" s="1"/>
  <c r="P47" i="18" s="1"/>
  <c r="AI47" i="18" s="1"/>
  <c r="AJ47" i="18" s="1"/>
  <c r="AX13" i="18"/>
  <c r="N13" i="18" s="1"/>
  <c r="P13" i="18" s="1"/>
  <c r="AI13" i="18" s="1"/>
  <c r="AJ13" i="18" s="1"/>
  <c r="AX34" i="18"/>
  <c r="N34" i="18" s="1"/>
  <c r="P34" i="18" s="1"/>
  <c r="AI34" i="18" s="1"/>
  <c r="AJ34" i="18" s="1"/>
  <c r="AX68" i="18"/>
  <c r="N68" i="18" s="1"/>
  <c r="P68" i="18" s="1"/>
  <c r="AX54" i="18"/>
  <c r="N54" i="18" s="1"/>
  <c r="P54" i="18" s="1"/>
  <c r="AX124" i="18"/>
  <c r="N124" i="18" s="1"/>
  <c r="P124" i="18" s="1"/>
  <c r="AX6" i="18"/>
  <c r="N6" i="18" s="1"/>
  <c r="P6" i="18" s="1"/>
  <c r="AI6" i="18" s="1"/>
  <c r="AJ6" i="18" s="1"/>
  <c r="AW123" i="18"/>
  <c r="O123" i="18" s="1"/>
  <c r="Q123" i="18" s="1"/>
  <c r="AX30" i="18"/>
  <c r="N30" i="18" s="1"/>
  <c r="P30" i="18" s="1"/>
  <c r="AI30" i="18" s="1"/>
  <c r="AJ30" i="18" s="1"/>
  <c r="AX43" i="18"/>
  <c r="N43" i="18" s="1"/>
  <c r="P43" i="18" s="1"/>
  <c r="AI43" i="18" s="1"/>
  <c r="AJ43" i="18" s="1"/>
  <c r="AX73" i="18"/>
  <c r="N73" i="18" s="1"/>
  <c r="P73" i="18" s="1"/>
  <c r="AW83" i="18"/>
  <c r="O83" i="18" s="1"/>
  <c r="Q83" i="18" s="1"/>
  <c r="AX123" i="18"/>
  <c r="N123" i="18" s="1"/>
  <c r="P123" i="18" s="1"/>
  <c r="AX122" i="18"/>
  <c r="N122" i="18" s="1"/>
  <c r="P122" i="18" s="1"/>
  <c r="AX62" i="18"/>
  <c r="N62" i="18" s="1"/>
  <c r="P62" i="18" s="1"/>
  <c r="AX17" i="18"/>
  <c r="N17" i="18" s="1"/>
  <c r="P17" i="18" s="1"/>
  <c r="AI17" i="18" s="1"/>
  <c r="AJ17" i="18" s="1"/>
  <c r="AW47" i="18"/>
  <c r="O47" i="18" s="1"/>
  <c r="Q47" i="18" s="1"/>
  <c r="AB47" i="18" s="1"/>
  <c r="Z48" i="18" s="1"/>
  <c r="AL48" i="18" s="1"/>
  <c r="AX57" i="18"/>
  <c r="N57" i="18" s="1"/>
  <c r="P57" i="18" s="1"/>
  <c r="AX23" i="18"/>
  <c r="N23" i="18" s="1"/>
  <c r="P23" i="18" s="1"/>
  <c r="AI23" i="18" s="1"/>
  <c r="AJ23" i="18" s="1"/>
  <c r="AX78" i="18"/>
  <c r="N78" i="18" s="1"/>
  <c r="P78" i="18" s="1"/>
  <c r="AX100" i="18"/>
  <c r="N100" i="18" s="1"/>
  <c r="P100" i="18" s="1"/>
  <c r="AX63" i="18"/>
  <c r="N63" i="18" s="1"/>
  <c r="P63" i="18" s="1"/>
  <c r="AX92" i="18"/>
  <c r="N92" i="18" s="1"/>
  <c r="P92" i="18" s="1"/>
  <c r="AX79" i="18"/>
  <c r="N79" i="18" s="1"/>
  <c r="P79" i="18" s="1"/>
  <c r="AX69" i="18"/>
  <c r="N69" i="18" s="1"/>
  <c r="P69" i="18" s="1"/>
  <c r="AX7" i="18"/>
  <c r="N7" i="18" s="1"/>
  <c r="P7" i="18" s="1"/>
  <c r="AI7" i="18" s="1"/>
  <c r="AJ7" i="18" s="1"/>
  <c r="AX71" i="18"/>
  <c r="N71" i="18" s="1"/>
  <c r="P71" i="18" s="1"/>
  <c r="AW86" i="18"/>
  <c r="O86" i="18" s="1"/>
  <c r="Q86" i="18" s="1"/>
  <c r="AW104" i="18"/>
  <c r="O104" i="18" s="1"/>
  <c r="Q104" i="18" s="1"/>
  <c r="AX9" i="18"/>
  <c r="N9" i="18" s="1"/>
  <c r="P9" i="18" s="1"/>
  <c r="AI9" i="18" s="1"/>
  <c r="AJ9" i="18" s="1"/>
  <c r="AX91" i="18"/>
  <c r="N91" i="18" s="1"/>
  <c r="P91" i="18" s="1"/>
  <c r="AW24" i="18"/>
  <c r="O24" i="18" s="1"/>
  <c r="Q24" i="18" s="1"/>
  <c r="AB24" i="18" s="1"/>
  <c r="Z25" i="18" s="1"/>
  <c r="AL25" i="18" s="1"/>
  <c r="AW62" i="18"/>
  <c r="O62" i="18" s="1"/>
  <c r="Q62" i="18" s="1"/>
  <c r="AX60" i="18"/>
  <c r="N60" i="18" s="1"/>
  <c r="P60" i="18" s="1"/>
  <c r="AX38" i="18"/>
  <c r="N38" i="18" s="1"/>
  <c r="P38" i="18" s="1"/>
  <c r="AI38" i="18" s="1"/>
  <c r="AJ38" i="18" s="1"/>
  <c r="AW11" i="18"/>
  <c r="O11" i="18" s="1"/>
  <c r="Q11" i="18" s="1"/>
  <c r="AB11" i="18" s="1"/>
  <c r="Z12" i="18" s="1"/>
  <c r="AL12" i="18" s="1"/>
  <c r="AX45" i="18"/>
  <c r="N45" i="18" s="1"/>
  <c r="P45" i="18" s="1"/>
  <c r="AI45" i="18" s="1"/>
  <c r="AJ45" i="18" s="1"/>
  <c r="AW97" i="18"/>
  <c r="O97" i="18" s="1"/>
  <c r="Q97" i="18" s="1"/>
  <c r="AX56" i="18"/>
  <c r="N56" i="18" s="1"/>
  <c r="P56" i="18" s="1"/>
  <c r="AX49" i="18"/>
  <c r="N49" i="18" s="1"/>
  <c r="P49" i="18" s="1"/>
  <c r="AI49" i="18" s="1"/>
  <c r="AJ49" i="18" s="1"/>
  <c r="AX105" i="18"/>
  <c r="N105" i="18" s="1"/>
  <c r="P105" i="18" s="1"/>
  <c r="AX70" i="18"/>
  <c r="N70" i="18" s="1"/>
  <c r="P70" i="18" s="1"/>
  <c r="AX74" i="18"/>
  <c r="N74" i="18" s="1"/>
  <c r="P74" i="18" s="1"/>
  <c r="AW101" i="18"/>
  <c r="O101" i="18" s="1"/>
  <c r="Q101" i="18" s="1"/>
  <c r="AX117" i="18"/>
  <c r="N117" i="18" s="1"/>
  <c r="P117" i="18" s="1"/>
  <c r="AW64" i="18"/>
  <c r="O64" i="18" s="1"/>
  <c r="Q64" i="18" s="1"/>
  <c r="AW77" i="18"/>
  <c r="O77" i="18" s="1"/>
  <c r="Q77" i="18" s="1"/>
  <c r="AX40" i="18"/>
  <c r="N40" i="18" s="1"/>
  <c r="P40" i="18" s="1"/>
  <c r="AI40" i="18" s="1"/>
  <c r="AJ40" i="18" s="1"/>
  <c r="AX44" i="18"/>
  <c r="N44" i="18" s="1"/>
  <c r="P44" i="18" s="1"/>
  <c r="AI44" i="18" s="1"/>
  <c r="AJ44" i="18" s="1"/>
  <c r="AX81" i="18"/>
  <c r="N81" i="18" s="1"/>
  <c r="P81" i="18" s="1"/>
  <c r="AX98" i="18"/>
  <c r="N98" i="18" s="1"/>
  <c r="P98" i="18" s="1"/>
  <c r="AW42" i="18"/>
  <c r="O42" i="18" s="1"/>
  <c r="Q42" i="18" s="1"/>
  <c r="AB42" i="18" s="1"/>
  <c r="Z43" i="18" s="1"/>
  <c r="AL43" i="18" s="1"/>
  <c r="AX118" i="18"/>
  <c r="N118" i="18" s="1"/>
  <c r="P118" i="18" s="1"/>
  <c r="AX99" i="18"/>
  <c r="N99" i="18" s="1"/>
  <c r="P99" i="18" s="1"/>
  <c r="AW63" i="18"/>
  <c r="O63" i="18" s="1"/>
  <c r="Q63" i="18" s="1"/>
  <c r="AW124" i="18"/>
  <c r="O124" i="18" s="1"/>
  <c r="Q124" i="18" s="1"/>
  <c r="AX46" i="18"/>
  <c r="N46" i="18" s="1"/>
  <c r="P46" i="18" s="1"/>
  <c r="AI46" i="18" s="1"/>
  <c r="AJ46" i="18" s="1"/>
  <c r="AX96" i="18"/>
  <c r="N96" i="18" s="1"/>
  <c r="P96" i="18" s="1"/>
  <c r="AX5" i="18"/>
  <c r="N5" i="18" s="1"/>
  <c r="P5" i="18" s="1"/>
  <c r="AI5" i="18" s="1"/>
  <c r="AJ5" i="18" s="1"/>
  <c r="AX102" i="18"/>
  <c r="N102" i="18" s="1"/>
  <c r="P102" i="18" s="1"/>
  <c r="AW57" i="18"/>
  <c r="O57" i="18" s="1"/>
  <c r="Q57" i="18" s="1"/>
  <c r="AW69" i="18"/>
  <c r="O69" i="18" s="1"/>
  <c r="Q69" i="18" s="1"/>
  <c r="AX26" i="18"/>
  <c r="N26" i="18" s="1"/>
  <c r="P26" i="18" s="1"/>
  <c r="AI26" i="18" s="1"/>
  <c r="AJ26" i="18" s="1"/>
  <c r="AX103" i="18"/>
  <c r="N103" i="18" s="1"/>
  <c r="P103" i="18" s="1"/>
  <c r="AX84" i="18"/>
  <c r="N84" i="18" s="1"/>
  <c r="P84" i="18" s="1"/>
  <c r="AX65" i="18"/>
  <c r="N65" i="18" s="1"/>
  <c r="P65" i="18" s="1"/>
  <c r="AW81" i="18"/>
  <c r="O81" i="18" s="1"/>
  <c r="Q81" i="18" s="1"/>
  <c r="AW95" i="18"/>
  <c r="O95" i="18" s="1"/>
  <c r="Q95" i="18" s="1"/>
  <c r="AW29" i="18"/>
  <c r="O29" i="18" s="1"/>
  <c r="Q29" i="18" s="1"/>
  <c r="AB29" i="18" s="1"/>
  <c r="Z30" i="18" s="1"/>
  <c r="AL30" i="18" s="1"/>
  <c r="AW41" i="18"/>
  <c r="O41" i="18" s="1"/>
  <c r="Q41" i="18" s="1"/>
  <c r="AB41" i="18" s="1"/>
  <c r="Z42" i="18" s="1"/>
  <c r="AL42" i="18" s="1"/>
  <c r="AW122" i="18"/>
  <c r="O122" i="18" s="1"/>
  <c r="Q122" i="18" s="1"/>
  <c r="AW13" i="18"/>
  <c r="O13" i="18" s="1"/>
  <c r="Q13" i="18" s="1"/>
  <c r="AB13" i="18" s="1"/>
  <c r="Z14" i="18" s="1"/>
  <c r="AL14" i="18" s="1"/>
  <c r="AW105" i="18"/>
  <c r="O105" i="18" s="1"/>
  <c r="Q105" i="18" s="1"/>
  <c r="AW92" i="18"/>
  <c r="O92" i="18" s="1"/>
  <c r="Q92" i="18" s="1"/>
  <c r="AW19" i="18"/>
  <c r="O19" i="18" s="1"/>
  <c r="Q19" i="18" s="1"/>
  <c r="AB19" i="18" s="1"/>
  <c r="Z20" i="18" s="1"/>
  <c r="AL20" i="18" s="1"/>
  <c r="AW79" i="18"/>
  <c r="O79" i="18" s="1"/>
  <c r="Q79" i="18" s="1"/>
  <c r="AW102" i="18"/>
  <c r="O102" i="18" s="1"/>
  <c r="Q102" i="18" s="1"/>
  <c r="AW53" i="18"/>
  <c r="O53" i="18" s="1"/>
  <c r="Q53" i="18" s="1"/>
  <c r="AW99" i="18"/>
  <c r="O99" i="18" s="1"/>
  <c r="Q99" i="18" s="1"/>
  <c r="AW36" i="18"/>
  <c r="O36" i="18" s="1"/>
  <c r="Q36" i="18" s="1"/>
  <c r="AB36" i="18" s="1"/>
  <c r="Z37" i="18" s="1"/>
  <c r="AL37" i="18" s="1"/>
  <c r="AW34" i="18"/>
  <c r="O34" i="18" s="1"/>
  <c r="Q34" i="18" s="1"/>
  <c r="AB34" i="18" s="1"/>
  <c r="Z35" i="18" s="1"/>
  <c r="AL35" i="18" s="1"/>
  <c r="AW84" i="18"/>
  <c r="O84" i="18" s="1"/>
  <c r="Q84" i="18" s="1"/>
  <c r="AW4" i="18"/>
  <c r="O4" i="18" s="1"/>
  <c r="Q4" i="18" s="1"/>
  <c r="AB4" i="18" s="1"/>
  <c r="AK4" i="18" s="1"/>
  <c r="AM4" i="18" s="1"/>
  <c r="AO4" i="18" s="1"/>
  <c r="AW74" i="18"/>
  <c r="O74" i="18" s="1"/>
  <c r="Q74" i="18" s="1"/>
  <c r="AW44" i="18"/>
  <c r="O44" i="18" s="1"/>
  <c r="Q44" i="18" s="1"/>
  <c r="AB44" i="18" s="1"/>
  <c r="Z45" i="18" s="1"/>
  <c r="AW18" i="18"/>
  <c r="O18" i="18" s="1"/>
  <c r="Q18" i="18" s="1"/>
  <c r="AB18" i="18" s="1"/>
  <c r="Z19" i="18" s="1"/>
  <c r="AW17" i="18"/>
  <c r="O17" i="18" s="1"/>
  <c r="Q17" i="18" s="1"/>
  <c r="AB17" i="18" s="1"/>
  <c r="Z18" i="18" s="1"/>
  <c r="AL18" i="18" s="1"/>
  <c r="AW76" i="18"/>
  <c r="O76" i="18" s="1"/>
  <c r="Q76" i="18" s="1"/>
  <c r="AW85" i="18"/>
  <c r="O85" i="18" s="1"/>
  <c r="Q85" i="18" s="1"/>
  <c r="AW15" i="18"/>
  <c r="O15" i="18" s="1"/>
  <c r="Q15" i="18" s="1"/>
  <c r="AB15" i="18" s="1"/>
  <c r="Z16" i="18" s="1"/>
  <c r="AL16" i="18" s="1"/>
  <c r="AX48" i="18"/>
  <c r="N48" i="18" s="1"/>
  <c r="P48" i="18" s="1"/>
  <c r="AI48" i="18" s="1"/>
  <c r="AJ48" i="18" s="1"/>
  <c r="AX85" i="18"/>
  <c r="N85" i="18" s="1"/>
  <c r="P85" i="18" s="1"/>
  <c r="AW10" i="18"/>
  <c r="O10" i="18" s="1"/>
  <c r="Q10" i="18" s="1"/>
  <c r="AB10" i="18" s="1"/>
  <c r="Z11" i="18" s="1"/>
  <c r="AL11" i="18" s="1"/>
  <c r="AW98" i="18"/>
  <c r="O98" i="18" s="1"/>
  <c r="Q98" i="18" s="1"/>
  <c r="AX104" i="18"/>
  <c r="N104" i="18" s="1"/>
  <c r="P104" i="18" s="1"/>
  <c r="AW100" i="18"/>
  <c r="O100" i="18" s="1"/>
  <c r="Q100" i="18" s="1"/>
  <c r="AX90" i="18"/>
  <c r="N90" i="18" s="1"/>
  <c r="P90" i="18" s="1"/>
  <c r="AX101" i="18"/>
  <c r="N101" i="18" s="1"/>
  <c r="P101" i="18" s="1"/>
  <c r="AX11" i="18"/>
  <c r="N11" i="18" s="1"/>
  <c r="P11" i="18" s="1"/>
  <c r="AI11" i="18" s="1"/>
  <c r="AJ11" i="18" s="1"/>
  <c r="AX14" i="18"/>
  <c r="N14" i="18" s="1"/>
  <c r="P14" i="18" s="1"/>
  <c r="AI14" i="18" s="1"/>
  <c r="AJ14" i="18" s="1"/>
  <c r="AX27" i="18"/>
  <c r="N27" i="18" s="1"/>
  <c r="P27" i="18" s="1"/>
  <c r="AI27" i="18" s="1"/>
  <c r="AJ27" i="18" s="1"/>
  <c r="AW89" i="18"/>
  <c r="O89" i="18" s="1"/>
  <c r="Q89" i="18" s="1"/>
  <c r="AX22" i="18"/>
  <c r="N22" i="18" s="1"/>
  <c r="P22" i="18" s="1"/>
  <c r="AI22" i="18" s="1"/>
  <c r="AJ22" i="18" s="1"/>
  <c r="AX4" i="18"/>
  <c r="N4" i="18" s="1"/>
  <c r="P4" i="18" s="1"/>
  <c r="AW7" i="18"/>
  <c r="O7" i="18" s="1"/>
  <c r="Q7" i="18" s="1"/>
  <c r="AB7" i="18" s="1"/>
  <c r="Z8" i="18" s="1"/>
  <c r="AL8" i="18" s="1"/>
  <c r="AX35" i="18"/>
  <c r="N35" i="18" s="1"/>
  <c r="P35" i="18" s="1"/>
  <c r="AI35" i="18" s="1"/>
  <c r="AJ35" i="18" s="1"/>
  <c r="AX61" i="18"/>
  <c r="N61" i="18" s="1"/>
  <c r="P61" i="18" s="1"/>
  <c r="AX82" i="18"/>
  <c r="N82" i="18" s="1"/>
  <c r="P82" i="18" s="1"/>
  <c r="AX83" i="18"/>
  <c r="N83" i="18" s="1"/>
  <c r="P83" i="18" s="1"/>
  <c r="AX120" i="18"/>
  <c r="N120" i="18" s="1"/>
  <c r="P120" i="18" s="1"/>
  <c r="AX10" i="18"/>
  <c r="N10" i="18" s="1"/>
  <c r="P10" i="18" s="1"/>
  <c r="AI10" i="18" s="1"/>
  <c r="AJ10" i="18" s="1"/>
  <c r="AX88" i="18"/>
  <c r="N88" i="18" s="1"/>
  <c r="P88" i="18" s="1"/>
  <c r="AW23" i="18"/>
  <c r="O23" i="18" s="1"/>
  <c r="Q23" i="18" s="1"/>
  <c r="AB23" i="18" s="1"/>
  <c r="Z24" i="18" s="1"/>
  <c r="AL24" i="18" s="1"/>
  <c r="AW70" i="18"/>
  <c r="O70" i="18" s="1"/>
  <c r="Q70" i="18" s="1"/>
  <c r="AW54" i="18"/>
  <c r="O54" i="18" s="1"/>
  <c r="Q54" i="18" s="1"/>
  <c r="AW32" i="18"/>
  <c r="O32" i="18" s="1"/>
  <c r="Q32" i="18" s="1"/>
  <c r="AB32" i="18" s="1"/>
  <c r="Z33" i="18" s="1"/>
  <c r="AL33" i="18" s="1"/>
  <c r="AX109" i="18"/>
  <c r="N109" i="18" s="1"/>
  <c r="P109" i="18" s="1"/>
  <c r="AW68" i="18"/>
  <c r="O68" i="18" s="1"/>
  <c r="Q68" i="18" s="1"/>
  <c r="AW106" i="18"/>
  <c r="O106" i="18" s="1"/>
  <c r="Q106" i="18" s="1"/>
  <c r="AX95" i="18"/>
  <c r="N95" i="18" s="1"/>
  <c r="P95" i="18" s="1"/>
  <c r="AX112" i="18"/>
  <c r="N112" i="18" s="1"/>
  <c r="P112" i="18" s="1"/>
  <c r="AW75" i="18"/>
  <c r="O75" i="18" s="1"/>
  <c r="Q75" i="18" s="1"/>
  <c r="AW115" i="18"/>
  <c r="O115" i="18" s="1"/>
  <c r="Q115" i="18" s="1"/>
  <c r="AW65" i="18"/>
  <c r="O65" i="18" s="1"/>
  <c r="Q65" i="18" s="1"/>
  <c r="AW56" i="18"/>
  <c r="O56" i="18" s="1"/>
  <c r="Q56" i="18" s="1"/>
  <c r="AW82" i="18"/>
  <c r="O82" i="18" s="1"/>
  <c r="Q82" i="18" s="1"/>
  <c r="AX37" i="18"/>
  <c r="N37" i="18" s="1"/>
  <c r="P37" i="18" s="1"/>
  <c r="AI37" i="18" s="1"/>
  <c r="AJ37" i="18" s="1"/>
  <c r="AW25" i="18"/>
  <c r="O25" i="18" s="1"/>
  <c r="Q25" i="18" s="1"/>
  <c r="AB25" i="18" s="1"/>
  <c r="Z26" i="18" s="1"/>
  <c r="AL26" i="18" s="1"/>
  <c r="AX58" i="18"/>
  <c r="N58" i="18" s="1"/>
  <c r="P58" i="18" s="1"/>
  <c r="AX59" i="18"/>
  <c r="N59" i="18" s="1"/>
  <c r="P59" i="18" s="1"/>
  <c r="AW46" i="18"/>
  <c r="O46" i="18" s="1"/>
  <c r="Q46" i="18" s="1"/>
  <c r="AB46" i="18" s="1"/>
  <c r="Z47" i="18" s="1"/>
  <c r="AL47" i="18" s="1"/>
  <c r="AX33" i="18"/>
  <c r="N33" i="18" s="1"/>
  <c r="P33" i="18" s="1"/>
  <c r="AI33" i="18" s="1"/>
  <c r="AJ33" i="18" s="1"/>
  <c r="AW59" i="18"/>
  <c r="O59" i="18" s="1"/>
  <c r="Q59" i="18" s="1"/>
  <c r="AW48" i="18"/>
  <c r="O48" i="18" s="1"/>
  <c r="Q48" i="18" s="1"/>
  <c r="AB48" i="18" s="1"/>
  <c r="Z49" i="18" s="1"/>
  <c r="AL49" i="18" s="1"/>
  <c r="AX66" i="18"/>
  <c r="N66" i="18" s="1"/>
  <c r="P66" i="18" s="1"/>
  <c r="AW121" i="18"/>
  <c r="O121" i="18" s="1"/>
  <c r="Q121" i="18" s="1"/>
  <c r="AW30" i="18"/>
  <c r="O30" i="18" s="1"/>
  <c r="Q30" i="18" s="1"/>
  <c r="AB30" i="18" s="1"/>
  <c r="Z31" i="18" s="1"/>
  <c r="AL31" i="18" s="1"/>
  <c r="AW27" i="18"/>
  <c r="O27" i="18" s="1"/>
  <c r="Q27" i="18" s="1"/>
  <c r="AB27" i="18" s="1"/>
  <c r="Z28" i="18" s="1"/>
  <c r="AL28" i="18" s="1"/>
  <c r="AW5" i="18"/>
  <c r="O5" i="18" s="1"/>
  <c r="Q5" i="18" s="1"/>
  <c r="AB5" i="18" s="1"/>
  <c r="Z6" i="18" s="1"/>
  <c r="AL6" i="18" s="1"/>
  <c r="AX72" i="18"/>
  <c r="N72" i="18" s="1"/>
  <c r="P72" i="18" s="1"/>
  <c r="AW52" i="18"/>
  <c r="O52" i="18" s="1"/>
  <c r="Q52" i="18" s="1"/>
  <c r="AX111" i="18"/>
  <c r="N111" i="18" s="1"/>
  <c r="P111" i="18" s="1"/>
  <c r="AW94" i="18"/>
  <c r="O94" i="18" s="1"/>
  <c r="Q94" i="18" s="1"/>
  <c r="AW16" i="18"/>
  <c r="O16" i="18" s="1"/>
  <c r="Q16" i="18" s="1"/>
  <c r="AB16" i="18" s="1"/>
  <c r="Z17" i="18" s="1"/>
  <c r="AL17" i="18" s="1"/>
  <c r="AX15" i="18"/>
  <c r="N15" i="18" s="1"/>
  <c r="P15" i="18" s="1"/>
  <c r="AI15" i="18" s="1"/>
  <c r="AJ15" i="18" s="1"/>
  <c r="AW14" i="18"/>
  <c r="O14" i="18" s="1"/>
  <c r="Q14" i="18" s="1"/>
  <c r="AB14" i="18" s="1"/>
  <c r="Z15" i="18" s="1"/>
  <c r="AL15" i="18" s="1"/>
  <c r="AW8" i="18"/>
  <c r="O8" i="18" s="1"/>
  <c r="Q8" i="18" s="1"/>
  <c r="AB8" i="18" s="1"/>
  <c r="Z9" i="18" s="1"/>
  <c r="AL9" i="18" s="1"/>
  <c r="AX86" i="18"/>
  <c r="N86" i="18" s="1"/>
  <c r="P86" i="18" s="1"/>
  <c r="AW114" i="18"/>
  <c r="O114" i="18" s="1"/>
  <c r="Q114" i="18" s="1"/>
  <c r="AW37" i="18"/>
  <c r="O37" i="18" s="1"/>
  <c r="Q37" i="18" s="1"/>
  <c r="AB37" i="18" s="1"/>
  <c r="Z38" i="18" s="1"/>
  <c r="AL38" i="18" s="1"/>
  <c r="AW91" i="18"/>
  <c r="O91" i="18" s="1"/>
  <c r="Q91" i="18" s="1"/>
  <c r="AX110" i="18"/>
  <c r="N110" i="18" s="1"/>
  <c r="P110" i="18" s="1"/>
  <c r="AW6" i="18"/>
  <c r="O6" i="18" s="1"/>
  <c r="Q6" i="18" s="1"/>
  <c r="AB6" i="18" s="1"/>
  <c r="Z7" i="18" s="1"/>
  <c r="AL7" i="18" s="1"/>
  <c r="AW9" i="18"/>
  <c r="O9" i="18" s="1"/>
  <c r="Q9" i="18" s="1"/>
  <c r="AB9" i="18" s="1"/>
  <c r="Z10" i="18" s="1"/>
  <c r="AL10" i="18" s="1"/>
  <c r="AX52" i="18"/>
  <c r="N52" i="18" s="1"/>
  <c r="P52" i="18" s="1"/>
  <c r="AW88" i="18"/>
  <c r="O88" i="18" s="1"/>
  <c r="Q88" i="18" s="1"/>
  <c r="AW71" i="18"/>
  <c r="O71" i="18" s="1"/>
  <c r="Q71" i="18" s="1"/>
  <c r="AW110" i="18"/>
  <c r="O110" i="18" s="1"/>
  <c r="Q110" i="18" s="1"/>
  <c r="AX106" i="18"/>
  <c r="N106" i="18" s="1"/>
  <c r="P106" i="18" s="1"/>
  <c r="AW67" i="18"/>
  <c r="O67" i="18" s="1"/>
  <c r="Q67" i="18" s="1"/>
  <c r="AW120" i="18"/>
  <c r="O120" i="18" s="1"/>
  <c r="Q120" i="18" s="1"/>
  <c r="AW118" i="18"/>
  <c r="O118" i="18" s="1"/>
  <c r="Q118" i="18" s="1"/>
  <c r="AW12" i="18"/>
  <c r="O12" i="18" s="1"/>
  <c r="Q12" i="18" s="1"/>
  <c r="AB12" i="18" s="1"/>
  <c r="Z13" i="18" s="1"/>
  <c r="AL13" i="18" s="1"/>
  <c r="AW66" i="18"/>
  <c r="O66" i="18" s="1"/>
  <c r="Q66" i="18" s="1"/>
  <c r="AX32" i="18"/>
  <c r="N32" i="18" s="1"/>
  <c r="P32" i="18" s="1"/>
  <c r="AI32" i="18" s="1"/>
  <c r="AJ32" i="18" s="1"/>
  <c r="AX51" i="18"/>
  <c r="N51" i="18" s="1"/>
  <c r="P51" i="18" s="1"/>
  <c r="AI51" i="18" s="1"/>
  <c r="AW43" i="18"/>
  <c r="O43" i="18" s="1"/>
  <c r="Q43" i="18" s="1"/>
  <c r="AB43" i="18" s="1"/>
  <c r="Z44" i="18" s="1"/>
  <c r="AL44" i="18" s="1"/>
  <c r="AW61" i="18"/>
  <c r="O61" i="18" s="1"/>
  <c r="Q61" i="18" s="1"/>
  <c r="AX93" i="18"/>
  <c r="N93" i="18" s="1"/>
  <c r="P93" i="18" s="1"/>
  <c r="AX107" i="18"/>
  <c r="N107" i="18" s="1"/>
  <c r="P107" i="18" s="1"/>
  <c r="AW31" i="18"/>
  <c r="O31" i="18" s="1"/>
  <c r="Q31" i="18" s="1"/>
  <c r="AB31" i="18" s="1"/>
  <c r="Z32" i="18" s="1"/>
  <c r="AL32" i="18" s="1"/>
  <c r="AX94" i="18"/>
  <c r="N94" i="18" s="1"/>
  <c r="P94" i="18" s="1"/>
  <c r="AW49" i="18"/>
  <c r="O49" i="18" s="1"/>
  <c r="Q49" i="18" s="1"/>
  <c r="AB49" i="18" s="1"/>
  <c r="Z50" i="18" s="1"/>
  <c r="AL50" i="18" s="1"/>
  <c r="AX39" i="18"/>
  <c r="N39" i="18" s="1"/>
  <c r="P39" i="18" s="1"/>
  <c r="AI39" i="18" s="1"/>
  <c r="AJ39" i="18" s="1"/>
  <c r="AX31" i="18"/>
  <c r="N31" i="18" s="1"/>
  <c r="P31" i="18" s="1"/>
  <c r="AI31" i="18" s="1"/>
  <c r="AJ31" i="18" s="1"/>
  <c r="AW39" i="18"/>
  <c r="O39" i="18" s="1"/>
  <c r="Q39" i="18" s="1"/>
  <c r="AB39" i="18" s="1"/>
  <c r="Z40" i="18" s="1"/>
  <c r="AL40" i="18" s="1"/>
  <c r="AW73" i="18"/>
  <c r="O73" i="18" s="1"/>
  <c r="Q73" i="18" s="1"/>
  <c r="AW78" i="18"/>
  <c r="O78" i="18" s="1"/>
  <c r="Q78" i="18" s="1"/>
  <c r="AW20" i="18"/>
  <c r="O20" i="18" s="1"/>
  <c r="Q20" i="18" s="1"/>
  <c r="AB20" i="18" s="1"/>
  <c r="Z21" i="18" s="1"/>
  <c r="AL21" i="18" s="1"/>
  <c r="AX8" i="18"/>
  <c r="N8" i="18" s="1"/>
  <c r="P8" i="18" s="1"/>
  <c r="AI8" i="18" s="1"/>
  <c r="AJ8" i="18" s="1"/>
  <c r="AX64" i="18"/>
  <c r="N64" i="18" s="1"/>
  <c r="P64" i="18" s="1"/>
  <c r="AX28" i="18"/>
  <c r="N28" i="18" s="1"/>
  <c r="P28" i="18" s="1"/>
  <c r="AI28" i="18" s="1"/>
  <c r="AJ28" i="18" s="1"/>
  <c r="AX18" i="18"/>
  <c r="N18" i="18" s="1"/>
  <c r="P18" i="18" s="1"/>
  <c r="AI18" i="18" s="1"/>
  <c r="AJ18" i="18" s="1"/>
  <c r="AX75" i="18"/>
  <c r="N75" i="18" s="1"/>
  <c r="P75" i="18" s="1"/>
  <c r="AX16" i="18"/>
  <c r="N16" i="18" s="1"/>
  <c r="P16" i="18" s="1"/>
  <c r="AI16" i="18" s="1"/>
  <c r="AJ16" i="18" s="1"/>
  <c r="AX119" i="18"/>
  <c r="N119" i="18" s="1"/>
  <c r="P119" i="18" s="1"/>
  <c r="AX67" i="18"/>
  <c r="N67" i="18" s="1"/>
  <c r="P67" i="18" s="1"/>
  <c r="AW58" i="18"/>
  <c r="O58" i="18" s="1"/>
  <c r="Q58" i="18" s="1"/>
  <c r="AX80" i="18"/>
  <c r="N80" i="18" s="1"/>
  <c r="P80" i="18" s="1"/>
  <c r="AW80" i="18"/>
  <c r="O80" i="18" s="1"/>
  <c r="Q80" i="18" s="1"/>
  <c r="AW21" i="18"/>
  <c r="O21" i="18" s="1"/>
  <c r="Q21" i="18" s="1"/>
  <c r="AB21" i="18" s="1"/>
  <c r="Z22" i="18" s="1"/>
  <c r="AL22" i="18" s="1"/>
  <c r="AW116" i="18"/>
  <c r="O116" i="18" s="1"/>
  <c r="Q116" i="18" s="1"/>
  <c r="AW50" i="18"/>
  <c r="O50" i="18" s="1"/>
  <c r="Q50" i="18" s="1"/>
  <c r="AB50" i="18" s="1"/>
  <c r="Z51" i="18" s="1"/>
  <c r="AX113" i="18"/>
  <c r="N113" i="18" s="1"/>
  <c r="P113" i="18" s="1"/>
  <c r="AX121" i="18"/>
  <c r="N121" i="18" s="1"/>
  <c r="P121" i="18" s="1"/>
  <c r="AX19" i="18"/>
  <c r="N19" i="18" s="1"/>
  <c r="P19" i="18" s="1"/>
  <c r="AI19" i="18" s="1"/>
  <c r="AJ19" i="18" s="1"/>
  <c r="AW108" i="18"/>
  <c r="O108" i="18" s="1"/>
  <c r="Q108" i="18" s="1"/>
  <c r="AX116" i="18"/>
  <c r="N116" i="18" s="1"/>
  <c r="P116" i="18" s="1"/>
  <c r="AX77" i="18"/>
  <c r="N77" i="18" s="1"/>
  <c r="P77" i="18" s="1"/>
  <c r="AX36" i="18"/>
  <c r="N36" i="18" s="1"/>
  <c r="P36" i="18" s="1"/>
  <c r="AI36" i="18" s="1"/>
  <c r="AJ36" i="18" s="1"/>
  <c r="AW55" i="18"/>
  <c r="O55" i="18" s="1"/>
  <c r="Q55" i="18" s="1"/>
  <c r="AX50" i="18"/>
  <c r="N50" i="18" s="1"/>
  <c r="P50" i="18" s="1"/>
  <c r="AI50" i="18" s="1"/>
  <c r="AJ50" i="18" s="1"/>
  <c r="AW35" i="18"/>
  <c r="O35" i="18" s="1"/>
  <c r="Q35" i="18" s="1"/>
  <c r="AB35" i="18" s="1"/>
  <c r="Z36" i="18" s="1"/>
  <c r="AL36" i="18" s="1"/>
  <c r="AX25" i="18"/>
  <c r="N25" i="18" s="1"/>
  <c r="P25" i="18" s="1"/>
  <c r="AI25" i="18" s="1"/>
  <c r="AJ25" i="18" s="1"/>
  <c r="AX24" i="18"/>
  <c r="N24" i="18" s="1"/>
  <c r="P24" i="18" s="1"/>
  <c r="AI24" i="18" s="1"/>
  <c r="AJ24" i="18" s="1"/>
  <c r="AW45" i="18"/>
  <c r="O45" i="18" s="1"/>
  <c r="Q45" i="18" s="1"/>
  <c r="AB45" i="18" s="1"/>
  <c r="Z46" i="18" s="1"/>
  <c r="AL46" i="18" s="1"/>
  <c r="AW113" i="18"/>
  <c r="O113" i="18" s="1"/>
  <c r="Q113" i="18" s="1"/>
  <c r="AW111" i="18"/>
  <c r="O111" i="18" s="1"/>
  <c r="Q111" i="18" s="1"/>
  <c r="AW40" i="18"/>
  <c r="O40" i="18" s="1"/>
  <c r="Q40" i="18" s="1"/>
  <c r="AB40" i="18" s="1"/>
  <c r="Z41" i="18" s="1"/>
  <c r="AL41" i="18" s="1"/>
  <c r="AW60" i="18"/>
  <c r="O60" i="18" s="1"/>
  <c r="Q60" i="18" s="1"/>
  <c r="AX89" i="18"/>
  <c r="N89" i="18" s="1"/>
  <c r="P89" i="18" s="1"/>
  <c r="AW33" i="18"/>
  <c r="O33" i="18" s="1"/>
  <c r="Q33" i="18" s="1"/>
  <c r="AB33" i="18" s="1"/>
  <c r="Z34" i="18" s="1"/>
  <c r="AL34" i="18" s="1"/>
  <c r="AW87" i="18"/>
  <c r="O87" i="18" s="1"/>
  <c r="Q87" i="18" s="1"/>
  <c r="AX87" i="18"/>
  <c r="N87" i="18" s="1"/>
  <c r="P87" i="18" s="1"/>
  <c r="AX53" i="18"/>
  <c r="N53" i="18" s="1"/>
  <c r="P53" i="18" s="1"/>
  <c r="AW112" i="18"/>
  <c r="O112" i="18" s="1"/>
  <c r="Q112" i="18" s="1"/>
  <c r="AW38" i="18"/>
  <c r="O38" i="18" s="1"/>
  <c r="Q38" i="18" s="1"/>
  <c r="AB38" i="18" s="1"/>
  <c r="Z39" i="18" s="1"/>
  <c r="AL39" i="18" s="1"/>
  <c r="AW26" i="18"/>
  <c r="O26" i="18" s="1"/>
  <c r="Q26" i="18" s="1"/>
  <c r="AB26" i="18" s="1"/>
  <c r="Z27" i="18" s="1"/>
  <c r="AL27" i="18" s="1"/>
  <c r="AW28" i="18"/>
  <c r="O28" i="18" s="1"/>
  <c r="Q28" i="18" s="1"/>
  <c r="AB28" i="18" s="1"/>
  <c r="Z29" i="18" s="1"/>
  <c r="AL29" i="18" s="1"/>
  <c r="AW93" i="18"/>
  <c r="O93" i="18" s="1"/>
  <c r="Q93" i="18" s="1"/>
  <c r="AW107" i="18"/>
  <c r="O107" i="18" s="1"/>
  <c r="Q107" i="18" s="1"/>
  <c r="AW51" i="18"/>
  <c r="O51" i="18" s="1"/>
  <c r="Q51" i="18" s="1"/>
  <c r="AB51" i="18" s="1"/>
  <c r="AW117" i="18"/>
  <c r="O117" i="18" s="1"/>
  <c r="Q117" i="18" s="1"/>
  <c r="AX12" i="18"/>
  <c r="N12" i="18" s="1"/>
  <c r="P12" i="18" s="1"/>
  <c r="AI12" i="18" s="1"/>
  <c r="AJ12" i="18" s="1"/>
  <c r="AX115" i="18"/>
  <c r="N115" i="18" s="1"/>
  <c r="P115" i="18" s="1"/>
  <c r="AW72" i="18"/>
  <c r="O72" i="18" s="1"/>
  <c r="Q72" i="18" s="1"/>
  <c r="AX29" i="18"/>
  <c r="N29" i="18" s="1"/>
  <c r="P29" i="18" s="1"/>
  <c r="AI29" i="18" s="1"/>
  <c r="AJ29" i="18" s="1"/>
  <c r="AX114" i="18"/>
  <c r="N114" i="18" s="1"/>
  <c r="P114" i="18" s="1"/>
  <c r="AX42" i="18"/>
  <c r="N42" i="18" s="1"/>
  <c r="P42" i="18" s="1"/>
  <c r="AI42" i="18" s="1"/>
  <c r="AJ42" i="18" s="1"/>
  <c r="AX76" i="18"/>
  <c r="N76" i="18" s="1"/>
  <c r="P76" i="18" s="1"/>
  <c r="AX55" i="18"/>
  <c r="N55" i="18" s="1"/>
  <c r="P55" i="18" s="1"/>
  <c r="AX108" i="18"/>
  <c r="N108" i="18" s="1"/>
  <c r="P108" i="18" s="1"/>
  <c r="AW90" i="18"/>
  <c r="O90" i="18" s="1"/>
  <c r="Q90" i="18" s="1"/>
  <c r="AW109" i="18"/>
  <c r="O109" i="18" s="1"/>
  <c r="Q109" i="18" s="1"/>
  <c r="AX97" i="18"/>
  <c r="N97" i="18" s="1"/>
  <c r="P97" i="18" s="1"/>
  <c r="AW96" i="18"/>
  <c r="O96" i="18" s="1"/>
  <c r="Q96" i="18" s="1"/>
  <c r="AW119" i="18"/>
  <c r="O119" i="18" s="1"/>
  <c r="Q119" i="18" s="1"/>
  <c r="AM5" i="16"/>
  <c r="AO5" i="16" s="1"/>
  <c r="U51" i="19"/>
  <c r="V51" i="19" s="1"/>
  <c r="AH51" i="19" s="1"/>
  <c r="AB50" i="19"/>
  <c r="Z51" i="19" s="1"/>
  <c r="AC50" i="19"/>
  <c r="AA51" i="19" s="1"/>
  <c r="AE50" i="19"/>
  <c r="AJ50" i="19" s="1"/>
  <c r="X51" i="20"/>
  <c r="U52" i="20" s="1"/>
  <c r="AE51" i="18"/>
  <c r="AG51" i="18"/>
  <c r="U52" i="18"/>
  <c r="AC51" i="18"/>
  <c r="Z12" i="16"/>
  <c r="AK11" i="16"/>
  <c r="AM11" i="16" s="1"/>
  <c r="AO11" i="16" s="1"/>
  <c r="AM10" i="16"/>
  <c r="AO10" i="16" s="1"/>
  <c r="AM18" i="16"/>
  <c r="AO18" i="16" s="1"/>
  <c r="AK53" i="16"/>
  <c r="AM41" i="16"/>
  <c r="AO41" i="16" s="1"/>
  <c r="AJ53" i="16"/>
  <c r="AA54" i="16"/>
  <c r="AN53" i="16"/>
  <c r="V54" i="16"/>
  <c r="AH54" i="16" s="1"/>
  <c r="AO4" i="16"/>
  <c r="AA53" i="10"/>
  <c r="V57" i="11"/>
  <c r="AH57" i="11" s="1"/>
  <c r="AU118" i="11"/>
  <c r="AA57" i="11"/>
  <c r="AN56" i="11"/>
  <c r="AK52" i="10"/>
  <c r="V53" i="10"/>
  <c r="W53" i="10" s="1"/>
  <c r="AI53" i="10" s="1"/>
  <c r="Z110" i="23" l="1"/>
  <c r="AK109" i="23"/>
  <c r="V110" i="23"/>
  <c r="AH110" i="23" s="1"/>
  <c r="W110" i="23"/>
  <c r="AI110" i="23" s="1"/>
  <c r="X110" i="23"/>
  <c r="AA110" i="23"/>
  <c r="AN109" i="23"/>
  <c r="AJ109" i="23"/>
  <c r="AL109" i="23"/>
  <c r="AK42" i="18"/>
  <c r="Z5" i="18"/>
  <c r="AL5" i="18" s="1"/>
  <c r="AK19" i="18"/>
  <c r="AL19" i="18"/>
  <c r="AK18" i="18"/>
  <c r="AM18" i="18" s="1"/>
  <c r="AO18" i="18" s="1"/>
  <c r="AK11" i="18"/>
  <c r="AM11" i="18" s="1"/>
  <c r="AO11" i="18" s="1"/>
  <c r="AK16" i="18"/>
  <c r="AM16" i="18" s="1"/>
  <c r="AO16" i="18" s="1"/>
  <c r="AK30" i="18"/>
  <c r="AM30" i="18" s="1"/>
  <c r="AO30" i="18" s="1"/>
  <c r="AK49" i="18"/>
  <c r="AM49" i="18" s="1"/>
  <c r="AO49" i="18" s="1"/>
  <c r="AK7" i="18"/>
  <c r="AM7" i="18" s="1"/>
  <c r="AO7" i="18" s="1"/>
  <c r="AK24" i="18"/>
  <c r="AM24" i="18" s="1"/>
  <c r="AO24" i="18" s="1"/>
  <c r="AK23" i="18"/>
  <c r="AM23" i="18" s="1"/>
  <c r="AO23" i="18" s="1"/>
  <c r="AK50" i="18"/>
  <c r="AM50" i="18" s="1"/>
  <c r="AO50" i="18" s="1"/>
  <c r="AK37" i="18"/>
  <c r="AM37" i="18" s="1"/>
  <c r="AO37" i="18" s="1"/>
  <c r="AK25" i="18"/>
  <c r="AM25" i="18" s="1"/>
  <c r="AO25" i="18" s="1"/>
  <c r="AK48" i="18"/>
  <c r="AM48" i="18" s="1"/>
  <c r="AO48" i="18" s="1"/>
  <c r="AK17" i="18"/>
  <c r="AM17" i="18" s="1"/>
  <c r="AO17" i="18" s="1"/>
  <c r="AK6" i="18"/>
  <c r="AM6" i="18" s="1"/>
  <c r="AO6" i="18" s="1"/>
  <c r="AK14" i="18"/>
  <c r="AM14" i="18" s="1"/>
  <c r="AO14" i="18" s="1"/>
  <c r="AK15" i="18"/>
  <c r="AM15" i="18" s="1"/>
  <c r="AO15" i="18" s="1"/>
  <c r="AK10" i="18"/>
  <c r="AM10" i="18" s="1"/>
  <c r="AO10" i="18" s="1"/>
  <c r="AK44" i="18"/>
  <c r="AM44" i="18" s="1"/>
  <c r="AO44" i="18" s="1"/>
  <c r="AK9" i="18"/>
  <c r="AM9" i="18" s="1"/>
  <c r="AO9" i="18" s="1"/>
  <c r="AK8" i="18"/>
  <c r="AM8" i="18" s="1"/>
  <c r="AO8" i="18" s="1"/>
  <c r="AK12" i="18"/>
  <c r="AM12" i="18" s="1"/>
  <c r="AO12" i="18" s="1"/>
  <c r="AK43" i="18"/>
  <c r="AM43" i="18" s="1"/>
  <c r="AO43" i="18" s="1"/>
  <c r="AK31" i="18"/>
  <c r="AM31" i="18" s="1"/>
  <c r="AO31" i="18" s="1"/>
  <c r="AK13" i="18"/>
  <c r="AM13" i="18" s="1"/>
  <c r="AO13" i="18" s="1"/>
  <c r="AK32" i="18"/>
  <c r="AM32" i="18" s="1"/>
  <c r="AO32" i="18" s="1"/>
  <c r="AK20" i="18"/>
  <c r="AM20" i="18" s="1"/>
  <c r="AO20" i="18" s="1"/>
  <c r="AK27" i="18"/>
  <c r="AM27" i="18" s="1"/>
  <c r="AO27" i="18" s="1"/>
  <c r="AK22" i="18"/>
  <c r="AM22" i="18" s="1"/>
  <c r="AO22" i="18" s="1"/>
  <c r="AK21" i="18"/>
  <c r="AM21" i="18" s="1"/>
  <c r="AO21" i="18" s="1"/>
  <c r="AK40" i="18"/>
  <c r="AM40" i="18" s="1"/>
  <c r="AO40" i="18" s="1"/>
  <c r="AK41" i="18"/>
  <c r="AM41" i="18" s="1"/>
  <c r="AO41" i="18" s="1"/>
  <c r="AK46" i="18"/>
  <c r="AM46" i="18" s="1"/>
  <c r="AO46" i="18" s="1"/>
  <c r="AK38" i="18"/>
  <c r="AM38" i="18" s="1"/>
  <c r="AO38" i="18" s="1"/>
  <c r="AK45" i="18"/>
  <c r="AK39" i="18"/>
  <c r="AM39" i="18" s="1"/>
  <c r="AO39" i="18" s="1"/>
  <c r="AK29" i="18"/>
  <c r="AM29" i="18" s="1"/>
  <c r="AO29" i="18" s="1"/>
  <c r="AK34" i="18"/>
  <c r="AM34" i="18" s="1"/>
  <c r="AO34" i="18" s="1"/>
  <c r="AK36" i="18"/>
  <c r="AM36" i="18" s="1"/>
  <c r="AO36" i="18" s="1"/>
  <c r="AK28" i="18"/>
  <c r="AM28" i="18" s="1"/>
  <c r="AO28" i="18" s="1"/>
  <c r="AK33" i="18"/>
  <c r="AM33" i="18" s="1"/>
  <c r="AO33" i="18" s="1"/>
  <c r="AK26" i="18"/>
  <c r="AM26" i="18" s="1"/>
  <c r="AO26" i="18" s="1"/>
  <c r="AK35" i="18"/>
  <c r="AM35" i="18" s="1"/>
  <c r="AO35" i="18" s="1"/>
  <c r="AM42" i="18"/>
  <c r="AO42" i="18" s="1"/>
  <c r="AK47" i="18"/>
  <c r="AM47" i="18" s="1"/>
  <c r="AO47" i="18" s="1"/>
  <c r="AL45" i="18"/>
  <c r="AK5" i="18"/>
  <c r="AN50" i="19"/>
  <c r="AK50" i="19"/>
  <c r="AL50" i="19"/>
  <c r="AB51" i="20"/>
  <c r="Z52" i="20" s="1"/>
  <c r="AC51" i="20"/>
  <c r="AA52" i="20" s="1"/>
  <c r="AE51" i="20"/>
  <c r="AL51" i="20" s="1"/>
  <c r="AG51" i="20"/>
  <c r="V52" i="20"/>
  <c r="AH52" i="20" s="1"/>
  <c r="W51" i="19"/>
  <c r="AI51" i="19" s="1"/>
  <c r="V52" i="18"/>
  <c r="AH52" i="18" s="1"/>
  <c r="Z52" i="18"/>
  <c r="AK51" i="18"/>
  <c r="AA52" i="18"/>
  <c r="AN51" i="18"/>
  <c r="AJ51" i="18"/>
  <c r="AL51" i="18"/>
  <c r="AL12" i="16"/>
  <c r="AK12" i="16"/>
  <c r="AM53" i="16"/>
  <c r="AO53" i="16" s="1"/>
  <c r="W54" i="16"/>
  <c r="AV118" i="11"/>
  <c r="W57" i="11"/>
  <c r="X57" i="11" s="1"/>
  <c r="X53" i="10"/>
  <c r="AH53" i="10"/>
  <c r="AJ52" i="10"/>
  <c r="AL52" i="10"/>
  <c r="AM109" i="23" l="1"/>
  <c r="AO109" i="23" s="1"/>
  <c r="AM5" i="18"/>
  <c r="AO5" i="18" s="1"/>
  <c r="AM19" i="18"/>
  <c r="AO19" i="18" s="1"/>
  <c r="U111" i="23"/>
  <c r="AE110" i="23"/>
  <c r="AL110" i="23" s="1"/>
  <c r="AC110" i="23"/>
  <c r="AA111" i="23" s="1"/>
  <c r="AG110" i="23"/>
  <c r="AB110" i="23"/>
  <c r="Z111" i="23" s="1"/>
  <c r="AK110" i="23"/>
  <c r="AM45" i="18"/>
  <c r="AO45" i="18" s="1"/>
  <c r="AM50" i="19"/>
  <c r="AO50" i="19" s="1"/>
  <c r="AK51" i="20"/>
  <c r="AJ51" i="20"/>
  <c r="AN51" i="20"/>
  <c r="W52" i="20"/>
  <c r="AI52" i="20" s="1"/>
  <c r="X51" i="19"/>
  <c r="AG51" i="19" s="1"/>
  <c r="AM51" i="18"/>
  <c r="AO51" i="18" s="1"/>
  <c r="W52" i="18"/>
  <c r="AM12" i="16"/>
  <c r="AO12" i="16" s="1"/>
  <c r="AI54" i="16"/>
  <c r="X54" i="16"/>
  <c r="AE57" i="11"/>
  <c r="AC57" i="11"/>
  <c r="U58" i="11"/>
  <c r="AG57" i="11"/>
  <c r="AU119" i="11"/>
  <c r="AE53" i="10"/>
  <c r="AG53" i="10"/>
  <c r="AF53" i="10"/>
  <c r="AC53" i="10"/>
  <c r="AB53" i="10"/>
  <c r="AM52" i="10"/>
  <c r="AO52" i="10" s="1"/>
  <c r="AJ110" i="23" l="1"/>
  <c r="AM110" i="23" s="1"/>
  <c r="V111" i="23"/>
  <c r="AH111" i="23" s="1"/>
  <c r="W111" i="23"/>
  <c r="AI111" i="23" s="1"/>
  <c r="AN110" i="23"/>
  <c r="AE51" i="19"/>
  <c r="AJ51" i="19" s="1"/>
  <c r="AC51" i="19"/>
  <c r="AA52" i="19" s="1"/>
  <c r="U52" i="19"/>
  <c r="V52" i="19" s="1"/>
  <c r="AH52" i="19" s="1"/>
  <c r="AB51" i="19"/>
  <c r="Z52" i="19" s="1"/>
  <c r="AM51" i="20"/>
  <c r="AO51" i="20" s="1"/>
  <c r="X52" i="20"/>
  <c r="AG52" i="20" s="1"/>
  <c r="AI52" i="18"/>
  <c r="X52" i="18"/>
  <c r="U55" i="16"/>
  <c r="AC54" i="16"/>
  <c r="AE54" i="16"/>
  <c r="AB54" i="16"/>
  <c r="AG54" i="16"/>
  <c r="AV119" i="11"/>
  <c r="V58" i="11"/>
  <c r="AH58" i="11" s="1"/>
  <c r="AA58" i="11"/>
  <c r="AN57" i="11"/>
  <c r="AA54" i="10"/>
  <c r="AN53" i="10"/>
  <c r="Z54" i="10"/>
  <c r="AK53" i="10"/>
  <c r="AL51" i="19" l="1"/>
  <c r="X111" i="23"/>
  <c r="AO110" i="23"/>
  <c r="AK51" i="19"/>
  <c r="AN51" i="19"/>
  <c r="W52" i="19"/>
  <c r="AI52" i="19" s="1"/>
  <c r="AB52" i="20"/>
  <c r="Z53" i="20" s="1"/>
  <c r="AC52" i="20"/>
  <c r="AN52" i="20" s="1"/>
  <c r="U53" i="20"/>
  <c r="V53" i="20" s="1"/>
  <c r="AH53" i="20" s="1"/>
  <c r="AE52" i="20"/>
  <c r="AL52" i="20" s="1"/>
  <c r="AE52" i="18"/>
  <c r="AG52" i="18"/>
  <c r="U53" i="18"/>
  <c r="AC52" i="18"/>
  <c r="AB52" i="18"/>
  <c r="AK54" i="16"/>
  <c r="Z55" i="16"/>
  <c r="AL54" i="16"/>
  <c r="AJ54" i="16"/>
  <c r="AA55" i="16"/>
  <c r="AN54" i="16"/>
  <c r="V55" i="16"/>
  <c r="W55" i="16" s="1"/>
  <c r="AI55" i="16" s="1"/>
  <c r="W58" i="11"/>
  <c r="X58" i="11" s="1"/>
  <c r="AU120" i="11"/>
  <c r="U54" i="10"/>
  <c r="AM51" i="19" l="1"/>
  <c r="AO51" i="19" s="1"/>
  <c r="U112" i="23"/>
  <c r="AG111" i="23"/>
  <c r="AE111" i="23"/>
  <c r="AC111" i="23"/>
  <c r="AB111" i="23"/>
  <c r="AA53" i="20"/>
  <c r="X52" i="19"/>
  <c r="AG52" i="19" s="1"/>
  <c r="AK52" i="20"/>
  <c r="AJ52" i="20"/>
  <c r="W53" i="20"/>
  <c r="AI53" i="20" s="1"/>
  <c r="V53" i="18"/>
  <c r="AH53" i="18" s="1"/>
  <c r="Z53" i="18"/>
  <c r="AK52" i="18"/>
  <c r="AA53" i="18"/>
  <c r="AN52" i="18"/>
  <c r="AJ52" i="18"/>
  <c r="AL52" i="18"/>
  <c r="AM54" i="16"/>
  <c r="AO54" i="16" s="1"/>
  <c r="AH55" i="16"/>
  <c r="X55" i="16"/>
  <c r="AG58" i="11"/>
  <c r="U59" i="11"/>
  <c r="AE58" i="11"/>
  <c r="AC58" i="11"/>
  <c r="AV120" i="11"/>
  <c r="V54" i="10"/>
  <c r="AH54" i="10" s="1"/>
  <c r="AJ53" i="10"/>
  <c r="AL53" i="10"/>
  <c r="AJ111" i="23" l="1"/>
  <c r="AL111" i="23"/>
  <c r="AA112" i="23"/>
  <c r="AN111" i="23"/>
  <c r="Z112" i="23"/>
  <c r="AK111" i="23"/>
  <c r="V112" i="23"/>
  <c r="AH112" i="23" s="1"/>
  <c r="U53" i="19"/>
  <c r="V53" i="19" s="1"/>
  <c r="AH53" i="19" s="1"/>
  <c r="AE52" i="19"/>
  <c r="AL52" i="19" s="1"/>
  <c r="AC52" i="19"/>
  <c r="AA53" i="19" s="1"/>
  <c r="AB52" i="19"/>
  <c r="Z53" i="19" s="1"/>
  <c r="AM52" i="20"/>
  <c r="AO52" i="20" s="1"/>
  <c r="X53" i="20"/>
  <c r="AM52" i="18"/>
  <c r="W53" i="18"/>
  <c r="AC55" i="16"/>
  <c r="AG55" i="16"/>
  <c r="U56" i="16"/>
  <c r="V56" i="16" s="1"/>
  <c r="AH56" i="16" s="1"/>
  <c r="AE55" i="16"/>
  <c r="AB55" i="16"/>
  <c r="AA59" i="11"/>
  <c r="AN58" i="11"/>
  <c r="V59" i="11"/>
  <c r="AH59" i="11" s="1"/>
  <c r="AU121" i="11"/>
  <c r="W54" i="10"/>
  <c r="AI54" i="10" s="1"/>
  <c r="AM53" i="10"/>
  <c r="AO53" i="10" s="1"/>
  <c r="W112" i="23" l="1"/>
  <c r="AI112" i="23" s="1"/>
  <c r="AM111" i="23"/>
  <c r="AO111" i="23" s="1"/>
  <c r="AO52" i="18"/>
  <c r="AN52" i="19"/>
  <c r="AJ52" i="19"/>
  <c r="W53" i="19"/>
  <c r="AI53" i="19" s="1"/>
  <c r="AK52" i="19"/>
  <c r="AG53" i="20"/>
  <c r="U54" i="20"/>
  <c r="AC53" i="20"/>
  <c r="AE53" i="20"/>
  <c r="AB53" i="20"/>
  <c r="AI53" i="18"/>
  <c r="X53" i="18"/>
  <c r="W56" i="16"/>
  <c r="AI56" i="16" s="1"/>
  <c r="Z56" i="16"/>
  <c r="AK55" i="16"/>
  <c r="AJ55" i="16"/>
  <c r="AL55" i="16"/>
  <c r="AA56" i="16"/>
  <c r="AN55" i="16"/>
  <c r="W59" i="11"/>
  <c r="X59" i="11" s="1"/>
  <c r="AV121" i="11"/>
  <c r="AU122" i="11" s="1"/>
  <c r="X54" i="10"/>
  <c r="U55" i="10" s="1"/>
  <c r="V55" i="10" s="1"/>
  <c r="AH55" i="10" s="1"/>
  <c r="X112" i="23" l="1"/>
  <c r="AM52" i="19"/>
  <c r="AO52" i="19" s="1"/>
  <c r="X53" i="19"/>
  <c r="AG53" i="19" s="1"/>
  <c r="Z54" i="20"/>
  <c r="AK53" i="20"/>
  <c r="AJ53" i="20"/>
  <c r="AL53" i="20"/>
  <c r="V54" i="20"/>
  <c r="AH54" i="20" s="1"/>
  <c r="AA54" i="20"/>
  <c r="AN53" i="20"/>
  <c r="AG53" i="18"/>
  <c r="AE53" i="18"/>
  <c r="U54" i="18"/>
  <c r="AC53" i="18"/>
  <c r="AB53" i="18"/>
  <c r="X56" i="16"/>
  <c r="AE56" i="16" s="1"/>
  <c r="AL56" i="16" s="1"/>
  <c r="AM55" i="16"/>
  <c r="AO55" i="16" s="1"/>
  <c r="AV122" i="11"/>
  <c r="AG59" i="11"/>
  <c r="AE59" i="11"/>
  <c r="U60" i="11"/>
  <c r="AC59" i="11"/>
  <c r="AC54" i="10"/>
  <c r="AA55" i="10" s="1"/>
  <c r="AB54" i="10"/>
  <c r="AK54" i="10" s="1"/>
  <c r="AF54" i="10"/>
  <c r="AG54" i="10"/>
  <c r="AE54" i="10"/>
  <c r="W55" i="10"/>
  <c r="X55" i="10" s="1"/>
  <c r="AE112" i="23" l="1"/>
  <c r="AG112" i="23"/>
  <c r="AC112" i="23"/>
  <c r="U113" i="23"/>
  <c r="AB112" i="23"/>
  <c r="U54" i="19"/>
  <c r="V54" i="19" s="1"/>
  <c r="AH54" i="19" s="1"/>
  <c r="AB53" i="19"/>
  <c r="Z54" i="19" s="1"/>
  <c r="AC53" i="19"/>
  <c r="AN53" i="19" s="1"/>
  <c r="AE53" i="19"/>
  <c r="AJ53" i="19" s="1"/>
  <c r="W54" i="20"/>
  <c r="AI54" i="20" s="1"/>
  <c r="AM53" i="20"/>
  <c r="AO53" i="20" s="1"/>
  <c r="Z54" i="18"/>
  <c r="AK53" i="18"/>
  <c r="AA54" i="18"/>
  <c r="AN53" i="18"/>
  <c r="AJ53" i="18"/>
  <c r="AL53" i="18"/>
  <c r="V54" i="18"/>
  <c r="AH54" i="18" s="1"/>
  <c r="AC56" i="16"/>
  <c r="AN56" i="16" s="1"/>
  <c r="U57" i="16"/>
  <c r="V57" i="16" s="1"/>
  <c r="AH57" i="16" s="1"/>
  <c r="AG56" i="16"/>
  <c r="AJ56" i="16" s="1"/>
  <c r="AB56" i="16"/>
  <c r="AL54" i="10"/>
  <c r="AI55" i="10"/>
  <c r="Z55" i="10"/>
  <c r="AJ54" i="10"/>
  <c r="AU123" i="11"/>
  <c r="AA60" i="11"/>
  <c r="AN59" i="11"/>
  <c r="V60" i="11"/>
  <c r="AH60" i="11" s="1"/>
  <c r="AN54" i="10"/>
  <c r="AG55" i="10"/>
  <c r="AE55" i="10"/>
  <c r="AF55" i="10"/>
  <c r="AC55" i="10"/>
  <c r="AA56" i="10" s="1"/>
  <c r="AB55" i="10"/>
  <c r="Z56" i="10" s="1"/>
  <c r="AA113" i="23" l="1"/>
  <c r="AN112" i="23"/>
  <c r="Z113" i="23"/>
  <c r="AK112" i="23"/>
  <c r="V113" i="23"/>
  <c r="AH113" i="23" s="1"/>
  <c r="W113" i="23"/>
  <c r="AI113" i="23" s="1"/>
  <c r="AJ112" i="23"/>
  <c r="AL112" i="23"/>
  <c r="AK53" i="19"/>
  <c r="AA54" i="19"/>
  <c r="AL53" i="19"/>
  <c r="X54" i="20"/>
  <c r="W54" i="19"/>
  <c r="AI54" i="19" s="1"/>
  <c r="W54" i="18"/>
  <c r="AI54" i="18" s="1"/>
  <c r="AM53" i="18"/>
  <c r="W57" i="16"/>
  <c r="AI57" i="16" s="1"/>
  <c r="AA57" i="16"/>
  <c r="Z57" i="16"/>
  <c r="AK56" i="16"/>
  <c r="AM56" i="16" s="1"/>
  <c r="AO56" i="16" s="1"/>
  <c r="AM54" i="10"/>
  <c r="AO54" i="10" s="1"/>
  <c r="AV123" i="11"/>
  <c r="W60" i="11"/>
  <c r="AN55" i="10"/>
  <c r="AK55" i="10"/>
  <c r="U56" i="10"/>
  <c r="AM112" i="23" l="1"/>
  <c r="AO112" i="23" s="1"/>
  <c r="X113" i="23"/>
  <c r="AO53" i="18"/>
  <c r="AM53" i="19"/>
  <c r="AO53" i="19" s="1"/>
  <c r="X54" i="19"/>
  <c r="AC54" i="19" s="1"/>
  <c r="U55" i="20"/>
  <c r="AE54" i="20"/>
  <c r="AG54" i="20"/>
  <c r="AC54" i="20"/>
  <c r="AB54" i="20"/>
  <c r="X54" i="18"/>
  <c r="X57" i="16"/>
  <c r="U58" i="16" s="1"/>
  <c r="X60" i="11"/>
  <c r="AE60" i="11" s="1"/>
  <c r="AU124" i="11"/>
  <c r="AV124" i="11" s="1"/>
  <c r="AX68" i="11" s="1"/>
  <c r="N68" i="11" s="1"/>
  <c r="P68" i="11" s="1"/>
  <c r="V56" i="10"/>
  <c r="AH56" i="10" s="1"/>
  <c r="AE113" i="23" l="1"/>
  <c r="AG113" i="23"/>
  <c r="AC113" i="23"/>
  <c r="U114" i="23"/>
  <c r="AB113" i="23"/>
  <c r="AG54" i="19"/>
  <c r="U55" i="19"/>
  <c r="V55" i="19" s="1"/>
  <c r="AH55" i="19" s="1"/>
  <c r="AE54" i="19"/>
  <c r="AL54" i="19" s="1"/>
  <c r="AB54" i="19"/>
  <c r="AK54" i="19" s="1"/>
  <c r="Z55" i="20"/>
  <c r="AK54" i="20"/>
  <c r="AA55" i="20"/>
  <c r="AN54" i="20"/>
  <c r="AJ54" i="20"/>
  <c r="AL54" i="20"/>
  <c r="V55" i="20"/>
  <c r="AH55" i="20" s="1"/>
  <c r="AA55" i="19"/>
  <c r="AN54" i="19"/>
  <c r="AE54" i="18"/>
  <c r="AG54" i="18"/>
  <c r="AB54" i="18"/>
  <c r="AC54" i="18"/>
  <c r="U55" i="18"/>
  <c r="V55" i="18" s="1"/>
  <c r="AH55" i="18" s="1"/>
  <c r="AB57" i="16"/>
  <c r="Z58" i="16" s="1"/>
  <c r="AE57" i="16"/>
  <c r="AL57" i="16" s="1"/>
  <c r="AG57" i="16"/>
  <c r="AC57" i="16"/>
  <c r="AA58" i="16" s="1"/>
  <c r="V58" i="16"/>
  <c r="AH58" i="16" s="1"/>
  <c r="AC60" i="11"/>
  <c r="U61" i="11"/>
  <c r="AG60" i="11"/>
  <c r="AW19" i="11"/>
  <c r="O19" i="11" s="1"/>
  <c r="Q19" i="11" s="1"/>
  <c r="AB19" i="11" s="1"/>
  <c r="Z20" i="11" s="1"/>
  <c r="AL20" i="11" s="1"/>
  <c r="AX28" i="11"/>
  <c r="N28" i="11" s="1"/>
  <c r="P28" i="11" s="1"/>
  <c r="AI28" i="11" s="1"/>
  <c r="AJ28" i="11" s="1"/>
  <c r="AW60" i="11"/>
  <c r="O60" i="11" s="1"/>
  <c r="Q60" i="11" s="1"/>
  <c r="AB60" i="11" s="1"/>
  <c r="Z61" i="11" s="1"/>
  <c r="AW29" i="11"/>
  <c r="O29" i="11" s="1"/>
  <c r="Q29" i="11" s="1"/>
  <c r="AB29" i="11" s="1"/>
  <c r="Z30" i="11" s="1"/>
  <c r="AL30" i="11" s="1"/>
  <c r="AX99" i="11"/>
  <c r="N99" i="11" s="1"/>
  <c r="P99" i="11" s="1"/>
  <c r="AX94" i="11"/>
  <c r="N94" i="11" s="1"/>
  <c r="P94" i="11" s="1"/>
  <c r="AW28" i="11"/>
  <c r="O28" i="11" s="1"/>
  <c r="Q28" i="11" s="1"/>
  <c r="AB28" i="11" s="1"/>
  <c r="Z29" i="11" s="1"/>
  <c r="AX87" i="11"/>
  <c r="N87" i="11" s="1"/>
  <c r="P87" i="11" s="1"/>
  <c r="AW88" i="11"/>
  <c r="O88" i="11" s="1"/>
  <c r="Q88" i="11" s="1"/>
  <c r="AW80" i="11"/>
  <c r="O80" i="11" s="1"/>
  <c r="Q80" i="11" s="1"/>
  <c r="AX35" i="11"/>
  <c r="N35" i="11" s="1"/>
  <c r="P35" i="11" s="1"/>
  <c r="AI35" i="11" s="1"/>
  <c r="AJ35" i="11" s="1"/>
  <c r="AX78" i="11"/>
  <c r="N78" i="11" s="1"/>
  <c r="P78" i="11" s="1"/>
  <c r="AX4" i="11"/>
  <c r="N4" i="11" s="1"/>
  <c r="P4" i="11" s="1"/>
  <c r="AW18" i="11"/>
  <c r="O18" i="11" s="1"/>
  <c r="Q18" i="11" s="1"/>
  <c r="AB18" i="11" s="1"/>
  <c r="Z19" i="11" s="1"/>
  <c r="AL19" i="11" s="1"/>
  <c r="AW56" i="11"/>
  <c r="O56" i="11" s="1"/>
  <c r="Q56" i="11" s="1"/>
  <c r="AB56" i="11" s="1"/>
  <c r="Z57" i="11" s="1"/>
  <c r="AL57" i="11" s="1"/>
  <c r="AX110" i="11"/>
  <c r="N110" i="11" s="1"/>
  <c r="P110" i="11" s="1"/>
  <c r="AW37" i="11"/>
  <c r="O37" i="11" s="1"/>
  <c r="Q37" i="11" s="1"/>
  <c r="AB37" i="11" s="1"/>
  <c r="Z38" i="11" s="1"/>
  <c r="AL38" i="11" s="1"/>
  <c r="AX5" i="11"/>
  <c r="N5" i="11" s="1"/>
  <c r="P5" i="11" s="1"/>
  <c r="AI5" i="11" s="1"/>
  <c r="AJ5" i="11" s="1"/>
  <c r="AW79" i="11"/>
  <c r="O79" i="11" s="1"/>
  <c r="Q79" i="11" s="1"/>
  <c r="AX63" i="11"/>
  <c r="N63" i="11" s="1"/>
  <c r="P63" i="11" s="1"/>
  <c r="AX119" i="11"/>
  <c r="N119" i="11" s="1"/>
  <c r="P119" i="11" s="1"/>
  <c r="AW109" i="11"/>
  <c r="O109" i="11" s="1"/>
  <c r="Q109" i="11" s="1"/>
  <c r="AW49" i="11"/>
  <c r="O49" i="11" s="1"/>
  <c r="Q49" i="11" s="1"/>
  <c r="AB49" i="11" s="1"/>
  <c r="Z50" i="11" s="1"/>
  <c r="AL50" i="11" s="1"/>
  <c r="AX64" i="11"/>
  <c r="N64" i="11" s="1"/>
  <c r="P64" i="11" s="1"/>
  <c r="AW99" i="11"/>
  <c r="O99" i="11" s="1"/>
  <c r="Q99" i="11" s="1"/>
  <c r="AX115" i="11"/>
  <c r="N115" i="11" s="1"/>
  <c r="P115" i="11" s="1"/>
  <c r="AX72" i="11"/>
  <c r="N72" i="11" s="1"/>
  <c r="P72" i="11" s="1"/>
  <c r="AW8" i="11"/>
  <c r="O8" i="11" s="1"/>
  <c r="Q8" i="11" s="1"/>
  <c r="AB8" i="11" s="1"/>
  <c r="Z9" i="11" s="1"/>
  <c r="AL9" i="11" s="1"/>
  <c r="AX105" i="11"/>
  <c r="N105" i="11" s="1"/>
  <c r="P105" i="11" s="1"/>
  <c r="AX90" i="11"/>
  <c r="N90" i="11" s="1"/>
  <c r="P90" i="11" s="1"/>
  <c r="AX107" i="11"/>
  <c r="N107" i="11" s="1"/>
  <c r="P107" i="11" s="1"/>
  <c r="AX65" i="11"/>
  <c r="N65" i="11" s="1"/>
  <c r="P65" i="11" s="1"/>
  <c r="AX41" i="11"/>
  <c r="N41" i="11" s="1"/>
  <c r="P41" i="11" s="1"/>
  <c r="AI41" i="11" s="1"/>
  <c r="AJ41" i="11" s="1"/>
  <c r="AW69" i="11"/>
  <c r="O69" i="11" s="1"/>
  <c r="Q69" i="11" s="1"/>
  <c r="AW104" i="11"/>
  <c r="O104" i="11" s="1"/>
  <c r="Q104" i="11" s="1"/>
  <c r="AW22" i="11"/>
  <c r="O22" i="11" s="1"/>
  <c r="Q22" i="11" s="1"/>
  <c r="AB22" i="11" s="1"/>
  <c r="Z23" i="11" s="1"/>
  <c r="AL23" i="11" s="1"/>
  <c r="AX13" i="11"/>
  <c r="N13" i="11" s="1"/>
  <c r="P13" i="11" s="1"/>
  <c r="AI13" i="11" s="1"/>
  <c r="AJ13" i="11" s="1"/>
  <c r="AX102" i="11"/>
  <c r="N102" i="11" s="1"/>
  <c r="P102" i="11" s="1"/>
  <c r="AW75" i="11"/>
  <c r="O75" i="11" s="1"/>
  <c r="Q75" i="11" s="1"/>
  <c r="AW63" i="11"/>
  <c r="O63" i="11" s="1"/>
  <c r="Q63" i="11" s="1"/>
  <c r="AX56" i="11"/>
  <c r="N56" i="11" s="1"/>
  <c r="P56" i="11" s="1"/>
  <c r="AI56" i="11" s="1"/>
  <c r="AJ56" i="11" s="1"/>
  <c r="AW91" i="11"/>
  <c r="O91" i="11" s="1"/>
  <c r="Q91" i="11" s="1"/>
  <c r="AX96" i="11"/>
  <c r="N96" i="11" s="1"/>
  <c r="P96" i="11" s="1"/>
  <c r="AW50" i="11"/>
  <c r="O50" i="11" s="1"/>
  <c r="Q50" i="11" s="1"/>
  <c r="AB50" i="11" s="1"/>
  <c r="Z51" i="11" s="1"/>
  <c r="AL51" i="11" s="1"/>
  <c r="AW76" i="11"/>
  <c r="O76" i="11" s="1"/>
  <c r="Q76" i="11" s="1"/>
  <c r="AX104" i="11"/>
  <c r="N104" i="11" s="1"/>
  <c r="P104" i="11" s="1"/>
  <c r="AW12" i="11"/>
  <c r="O12" i="11" s="1"/>
  <c r="Q12" i="11" s="1"/>
  <c r="AB12" i="11" s="1"/>
  <c r="Z13" i="11" s="1"/>
  <c r="AW7" i="11"/>
  <c r="O7" i="11" s="1"/>
  <c r="Q7" i="11" s="1"/>
  <c r="AB7" i="11" s="1"/>
  <c r="Z8" i="11" s="1"/>
  <c r="AW96" i="11"/>
  <c r="O96" i="11" s="1"/>
  <c r="Q96" i="11" s="1"/>
  <c r="AW120" i="11"/>
  <c r="O120" i="11" s="1"/>
  <c r="Q120" i="11" s="1"/>
  <c r="AW121" i="11"/>
  <c r="O121" i="11" s="1"/>
  <c r="Q121" i="11" s="1"/>
  <c r="AX74" i="11"/>
  <c r="N74" i="11" s="1"/>
  <c r="P74" i="11" s="1"/>
  <c r="AX47" i="11"/>
  <c r="N47" i="11" s="1"/>
  <c r="P47" i="11" s="1"/>
  <c r="AI47" i="11" s="1"/>
  <c r="AJ47" i="11" s="1"/>
  <c r="AW55" i="11"/>
  <c r="O55" i="11" s="1"/>
  <c r="Q55" i="11" s="1"/>
  <c r="AB55" i="11" s="1"/>
  <c r="Z56" i="11" s="1"/>
  <c r="AL56" i="11" s="1"/>
  <c r="AW114" i="11"/>
  <c r="O114" i="11" s="1"/>
  <c r="Q114" i="11" s="1"/>
  <c r="AX9" i="11"/>
  <c r="N9" i="11" s="1"/>
  <c r="P9" i="11" s="1"/>
  <c r="AI9" i="11" s="1"/>
  <c r="AJ9" i="11" s="1"/>
  <c r="AX79" i="11"/>
  <c r="N79" i="11" s="1"/>
  <c r="P79" i="11" s="1"/>
  <c r="AX19" i="11"/>
  <c r="N19" i="11" s="1"/>
  <c r="P19" i="11" s="1"/>
  <c r="AI19" i="11" s="1"/>
  <c r="AJ19" i="11" s="1"/>
  <c r="AW65" i="11"/>
  <c r="O65" i="11" s="1"/>
  <c r="Q65" i="11" s="1"/>
  <c r="AX54" i="11"/>
  <c r="N54" i="11" s="1"/>
  <c r="P54" i="11" s="1"/>
  <c r="AI54" i="11" s="1"/>
  <c r="AJ54" i="11" s="1"/>
  <c r="AW98" i="11"/>
  <c r="O98" i="11" s="1"/>
  <c r="Q98" i="11" s="1"/>
  <c r="AW112" i="11"/>
  <c r="O112" i="11" s="1"/>
  <c r="Q112" i="11" s="1"/>
  <c r="AW81" i="11"/>
  <c r="O81" i="11" s="1"/>
  <c r="Q81" i="11" s="1"/>
  <c r="AX61" i="11"/>
  <c r="N61" i="11" s="1"/>
  <c r="P61" i="11" s="1"/>
  <c r="AX21" i="11"/>
  <c r="N21" i="11" s="1"/>
  <c r="P21" i="11" s="1"/>
  <c r="AI21" i="11" s="1"/>
  <c r="AJ21" i="11" s="1"/>
  <c r="AX121" i="11"/>
  <c r="N121" i="11" s="1"/>
  <c r="P121" i="11" s="1"/>
  <c r="AW116" i="11"/>
  <c r="O116" i="11" s="1"/>
  <c r="Q116" i="11" s="1"/>
  <c r="AW100" i="11"/>
  <c r="O100" i="11" s="1"/>
  <c r="Q100" i="11" s="1"/>
  <c r="AW52" i="11"/>
  <c r="O52" i="11" s="1"/>
  <c r="Q52" i="11" s="1"/>
  <c r="AB52" i="11" s="1"/>
  <c r="Z53" i="11" s="1"/>
  <c r="AX29" i="11"/>
  <c r="N29" i="11" s="1"/>
  <c r="P29" i="11" s="1"/>
  <c r="AI29" i="11" s="1"/>
  <c r="AJ29" i="11" s="1"/>
  <c r="AX69" i="11"/>
  <c r="N69" i="11" s="1"/>
  <c r="P69" i="11" s="1"/>
  <c r="AW48" i="11"/>
  <c r="O48" i="11" s="1"/>
  <c r="Q48" i="11" s="1"/>
  <c r="AB48" i="11" s="1"/>
  <c r="Z49" i="11" s="1"/>
  <c r="AW44" i="11"/>
  <c r="O44" i="11" s="1"/>
  <c r="Q44" i="11" s="1"/>
  <c r="AB44" i="11" s="1"/>
  <c r="Z45" i="11" s="1"/>
  <c r="AW115" i="11"/>
  <c r="O115" i="11" s="1"/>
  <c r="Q115" i="11" s="1"/>
  <c r="AW34" i="11"/>
  <c r="O34" i="11" s="1"/>
  <c r="Q34" i="11" s="1"/>
  <c r="AB34" i="11" s="1"/>
  <c r="Z35" i="11" s="1"/>
  <c r="AW26" i="11"/>
  <c r="O26" i="11" s="1"/>
  <c r="Q26" i="11" s="1"/>
  <c r="AB26" i="11" s="1"/>
  <c r="Z27" i="11" s="1"/>
  <c r="AX33" i="11"/>
  <c r="N33" i="11" s="1"/>
  <c r="P33" i="11" s="1"/>
  <c r="AI33" i="11" s="1"/>
  <c r="AJ33" i="11" s="1"/>
  <c r="AX109" i="11"/>
  <c r="N109" i="11" s="1"/>
  <c r="P109" i="11" s="1"/>
  <c r="AW71" i="11"/>
  <c r="O71" i="11" s="1"/>
  <c r="Q71" i="11" s="1"/>
  <c r="AW102" i="11"/>
  <c r="O102" i="11" s="1"/>
  <c r="Q102" i="11" s="1"/>
  <c r="AW23" i="11"/>
  <c r="O23" i="11" s="1"/>
  <c r="Q23" i="11" s="1"/>
  <c r="AB23" i="11" s="1"/>
  <c r="Z24" i="11" s="1"/>
  <c r="AW40" i="11"/>
  <c r="O40" i="11" s="1"/>
  <c r="Q40" i="11" s="1"/>
  <c r="AB40" i="11" s="1"/>
  <c r="Z41" i="11" s="1"/>
  <c r="AX113" i="11"/>
  <c r="N113" i="11" s="1"/>
  <c r="P113" i="11" s="1"/>
  <c r="AW107" i="11"/>
  <c r="O107" i="11" s="1"/>
  <c r="Q107" i="11" s="1"/>
  <c r="AX91" i="11"/>
  <c r="N91" i="11" s="1"/>
  <c r="P91" i="11" s="1"/>
  <c r="AW35" i="11"/>
  <c r="O35" i="11" s="1"/>
  <c r="Q35" i="11" s="1"/>
  <c r="AB35" i="11" s="1"/>
  <c r="Z36" i="11" s="1"/>
  <c r="AW4" i="11"/>
  <c r="O4" i="11" s="1"/>
  <c r="Q4" i="11" s="1"/>
  <c r="AB4" i="11" s="1"/>
  <c r="AX75" i="11"/>
  <c r="N75" i="11" s="1"/>
  <c r="P75" i="11" s="1"/>
  <c r="AW59" i="11"/>
  <c r="O59" i="11" s="1"/>
  <c r="Q59" i="11" s="1"/>
  <c r="AB59" i="11" s="1"/>
  <c r="Z60" i="11" s="1"/>
  <c r="AX16" i="11"/>
  <c r="N16" i="11" s="1"/>
  <c r="P16" i="11" s="1"/>
  <c r="AI16" i="11" s="1"/>
  <c r="AJ16" i="11" s="1"/>
  <c r="AX116" i="11"/>
  <c r="N116" i="11" s="1"/>
  <c r="P116" i="11" s="1"/>
  <c r="AX108" i="11"/>
  <c r="N108" i="11" s="1"/>
  <c r="P108" i="11" s="1"/>
  <c r="AW78" i="11"/>
  <c r="O78" i="11" s="1"/>
  <c r="Q78" i="11" s="1"/>
  <c r="AX17" i="11"/>
  <c r="N17" i="11" s="1"/>
  <c r="P17" i="11" s="1"/>
  <c r="AI17" i="11" s="1"/>
  <c r="AJ17" i="11" s="1"/>
  <c r="AW39" i="11"/>
  <c r="O39" i="11" s="1"/>
  <c r="Q39" i="11" s="1"/>
  <c r="AB39" i="11" s="1"/>
  <c r="Z40" i="11" s="1"/>
  <c r="AX84" i="11"/>
  <c r="N84" i="11" s="1"/>
  <c r="P84" i="11" s="1"/>
  <c r="AX8" i="11"/>
  <c r="N8" i="11" s="1"/>
  <c r="P8" i="11" s="1"/>
  <c r="AI8" i="11" s="1"/>
  <c r="AJ8" i="11" s="1"/>
  <c r="AW103" i="11"/>
  <c r="O103" i="11" s="1"/>
  <c r="Q103" i="11" s="1"/>
  <c r="AX85" i="11"/>
  <c r="N85" i="11" s="1"/>
  <c r="P85" i="11" s="1"/>
  <c r="AW54" i="11"/>
  <c r="O54" i="11" s="1"/>
  <c r="Q54" i="11" s="1"/>
  <c r="AB54" i="11" s="1"/>
  <c r="Z55" i="11" s="1"/>
  <c r="AX92" i="11"/>
  <c r="N92" i="11" s="1"/>
  <c r="P92" i="11" s="1"/>
  <c r="AW9" i="11"/>
  <c r="O9" i="11" s="1"/>
  <c r="Q9" i="11" s="1"/>
  <c r="AB9" i="11" s="1"/>
  <c r="Z10" i="11" s="1"/>
  <c r="AW31" i="11"/>
  <c r="O31" i="11" s="1"/>
  <c r="Q31" i="11" s="1"/>
  <c r="AB31" i="11" s="1"/>
  <c r="Z32" i="11" s="1"/>
  <c r="AX117" i="11"/>
  <c r="N117" i="11" s="1"/>
  <c r="P117" i="11" s="1"/>
  <c r="AW45" i="11"/>
  <c r="O45" i="11" s="1"/>
  <c r="Q45" i="11" s="1"/>
  <c r="AB45" i="11" s="1"/>
  <c r="Z46" i="11" s="1"/>
  <c r="AW106" i="11"/>
  <c r="O106" i="11" s="1"/>
  <c r="Q106" i="11" s="1"/>
  <c r="AX34" i="11"/>
  <c r="N34" i="11" s="1"/>
  <c r="P34" i="11" s="1"/>
  <c r="AI34" i="11" s="1"/>
  <c r="AJ34" i="11" s="1"/>
  <c r="AW13" i="11"/>
  <c r="O13" i="11" s="1"/>
  <c r="Q13" i="11" s="1"/>
  <c r="AB13" i="11" s="1"/>
  <c r="Z14" i="11" s="1"/>
  <c r="AX120" i="11"/>
  <c r="N120" i="11" s="1"/>
  <c r="P120" i="11" s="1"/>
  <c r="AX40" i="11"/>
  <c r="N40" i="11" s="1"/>
  <c r="P40" i="11" s="1"/>
  <c r="AI40" i="11" s="1"/>
  <c r="AJ40" i="11" s="1"/>
  <c r="AW74" i="11"/>
  <c r="O74" i="11" s="1"/>
  <c r="Q74" i="11" s="1"/>
  <c r="AW101" i="11"/>
  <c r="O101" i="11" s="1"/>
  <c r="Q101" i="11" s="1"/>
  <c r="AX100" i="11"/>
  <c r="N100" i="11" s="1"/>
  <c r="P100" i="11" s="1"/>
  <c r="AX70" i="11"/>
  <c r="N70" i="11" s="1"/>
  <c r="P70" i="11" s="1"/>
  <c r="AW47" i="11"/>
  <c r="O47" i="11" s="1"/>
  <c r="Q47" i="11" s="1"/>
  <c r="AB47" i="11" s="1"/>
  <c r="Z48" i="11" s="1"/>
  <c r="AW27" i="11"/>
  <c r="O27" i="11" s="1"/>
  <c r="Q27" i="11" s="1"/>
  <c r="AB27" i="11" s="1"/>
  <c r="Z28" i="11" s="1"/>
  <c r="AW36" i="11"/>
  <c r="O36" i="11" s="1"/>
  <c r="Q36" i="11" s="1"/>
  <c r="AB36" i="11" s="1"/>
  <c r="Z37" i="11" s="1"/>
  <c r="AW70" i="11"/>
  <c r="O70" i="11" s="1"/>
  <c r="Q70" i="11" s="1"/>
  <c r="AX95" i="11"/>
  <c r="N95" i="11" s="1"/>
  <c r="P95" i="11" s="1"/>
  <c r="AX31" i="11"/>
  <c r="N31" i="11" s="1"/>
  <c r="P31" i="11" s="1"/>
  <c r="AI31" i="11" s="1"/>
  <c r="AJ31" i="11" s="1"/>
  <c r="AX88" i="11"/>
  <c r="N88" i="11" s="1"/>
  <c r="P88" i="11" s="1"/>
  <c r="AX57" i="11"/>
  <c r="N57" i="11" s="1"/>
  <c r="P57" i="11" s="1"/>
  <c r="AI57" i="11" s="1"/>
  <c r="AJ57" i="11" s="1"/>
  <c r="AX38" i="11"/>
  <c r="N38" i="11" s="1"/>
  <c r="P38" i="11" s="1"/>
  <c r="AI38" i="11" s="1"/>
  <c r="AJ38" i="11" s="1"/>
  <c r="AW68" i="11"/>
  <c r="O68" i="11" s="1"/>
  <c r="Q68" i="11" s="1"/>
  <c r="AX62" i="11"/>
  <c r="N62" i="11" s="1"/>
  <c r="P62" i="11" s="1"/>
  <c r="AX14" i="11"/>
  <c r="N14" i="11" s="1"/>
  <c r="P14" i="11" s="1"/>
  <c r="AI14" i="11" s="1"/>
  <c r="AJ14" i="11" s="1"/>
  <c r="AX30" i="11"/>
  <c r="N30" i="11" s="1"/>
  <c r="P30" i="11" s="1"/>
  <c r="AI30" i="11" s="1"/>
  <c r="AJ30" i="11" s="1"/>
  <c r="AX82" i="11"/>
  <c r="N82" i="11" s="1"/>
  <c r="P82" i="11" s="1"/>
  <c r="AX66" i="11"/>
  <c r="N66" i="11" s="1"/>
  <c r="P66" i="11" s="1"/>
  <c r="AW66" i="11"/>
  <c r="O66" i="11" s="1"/>
  <c r="Q66" i="11" s="1"/>
  <c r="AX53" i="11"/>
  <c r="N53" i="11" s="1"/>
  <c r="P53" i="11" s="1"/>
  <c r="AI53" i="11" s="1"/>
  <c r="AJ53" i="11" s="1"/>
  <c r="AX51" i="11"/>
  <c r="N51" i="11" s="1"/>
  <c r="P51" i="11" s="1"/>
  <c r="AI51" i="11" s="1"/>
  <c r="AJ51" i="11" s="1"/>
  <c r="AW86" i="11"/>
  <c r="O86" i="11" s="1"/>
  <c r="Q86" i="11" s="1"/>
  <c r="AX77" i="11"/>
  <c r="N77" i="11" s="1"/>
  <c r="P77" i="11" s="1"/>
  <c r="AW58" i="11"/>
  <c r="O58" i="11" s="1"/>
  <c r="Q58" i="11" s="1"/>
  <c r="AB58" i="11" s="1"/>
  <c r="Z59" i="11" s="1"/>
  <c r="AX98" i="11"/>
  <c r="N98" i="11" s="1"/>
  <c r="P98" i="11" s="1"/>
  <c r="AW30" i="11"/>
  <c r="O30" i="11" s="1"/>
  <c r="Q30" i="11" s="1"/>
  <c r="AB30" i="11" s="1"/>
  <c r="Z31" i="11" s="1"/>
  <c r="AW113" i="11"/>
  <c r="O113" i="11" s="1"/>
  <c r="Q113" i="11" s="1"/>
  <c r="AX37" i="11"/>
  <c r="N37" i="11" s="1"/>
  <c r="P37" i="11" s="1"/>
  <c r="AI37" i="11" s="1"/>
  <c r="AJ37" i="11" s="1"/>
  <c r="AX36" i="11"/>
  <c r="N36" i="11" s="1"/>
  <c r="P36" i="11" s="1"/>
  <c r="AI36" i="11" s="1"/>
  <c r="AJ36" i="11" s="1"/>
  <c r="AW92" i="11"/>
  <c r="O92" i="11" s="1"/>
  <c r="Q92" i="11" s="1"/>
  <c r="AW25" i="11"/>
  <c r="O25" i="11" s="1"/>
  <c r="Q25" i="11" s="1"/>
  <c r="AB25" i="11" s="1"/>
  <c r="Z26" i="11" s="1"/>
  <c r="AX114" i="11"/>
  <c r="N114" i="11" s="1"/>
  <c r="P114" i="11" s="1"/>
  <c r="AX97" i="11"/>
  <c r="N97" i="11" s="1"/>
  <c r="P97" i="11" s="1"/>
  <c r="AW97" i="11"/>
  <c r="O97" i="11" s="1"/>
  <c r="Q97" i="11" s="1"/>
  <c r="AW77" i="11"/>
  <c r="O77" i="11" s="1"/>
  <c r="Q77" i="11" s="1"/>
  <c r="AX46" i="11"/>
  <c r="N46" i="11" s="1"/>
  <c r="P46" i="11" s="1"/>
  <c r="AI46" i="11" s="1"/>
  <c r="AJ46" i="11" s="1"/>
  <c r="AW122" i="11"/>
  <c r="O122" i="11" s="1"/>
  <c r="Q122" i="11" s="1"/>
  <c r="AX67" i="11"/>
  <c r="N67" i="11" s="1"/>
  <c r="P67" i="11" s="1"/>
  <c r="AW67" i="11"/>
  <c r="O67" i="11" s="1"/>
  <c r="Q67" i="11" s="1"/>
  <c r="AW73" i="11"/>
  <c r="O73" i="11" s="1"/>
  <c r="Q73" i="11" s="1"/>
  <c r="AW119" i="11"/>
  <c r="O119" i="11" s="1"/>
  <c r="Q119" i="11" s="1"/>
  <c r="AW87" i="11"/>
  <c r="O87" i="11" s="1"/>
  <c r="Q87" i="11" s="1"/>
  <c r="AX45" i="11"/>
  <c r="N45" i="11" s="1"/>
  <c r="P45" i="11" s="1"/>
  <c r="AI45" i="11" s="1"/>
  <c r="AJ45" i="11" s="1"/>
  <c r="AX39" i="11"/>
  <c r="N39" i="11" s="1"/>
  <c r="P39" i="11" s="1"/>
  <c r="AI39" i="11" s="1"/>
  <c r="AJ39" i="11" s="1"/>
  <c r="AW24" i="11"/>
  <c r="O24" i="11" s="1"/>
  <c r="Q24" i="11" s="1"/>
  <c r="AB24" i="11" s="1"/>
  <c r="Z25" i="11" s="1"/>
  <c r="AX52" i="11"/>
  <c r="N52" i="11" s="1"/>
  <c r="P52" i="11" s="1"/>
  <c r="AI52" i="11" s="1"/>
  <c r="AJ52" i="11" s="1"/>
  <c r="AX55" i="11"/>
  <c r="N55" i="11" s="1"/>
  <c r="P55" i="11" s="1"/>
  <c r="AI55" i="11" s="1"/>
  <c r="AJ55" i="11" s="1"/>
  <c r="AW15" i="11"/>
  <c r="O15" i="11" s="1"/>
  <c r="Q15" i="11" s="1"/>
  <c r="AB15" i="11" s="1"/>
  <c r="Z16" i="11" s="1"/>
  <c r="AW51" i="11"/>
  <c r="O51" i="11" s="1"/>
  <c r="Q51" i="11" s="1"/>
  <c r="AB51" i="11" s="1"/>
  <c r="Z52" i="11" s="1"/>
  <c r="AW14" i="11"/>
  <c r="O14" i="11" s="1"/>
  <c r="Q14" i="11" s="1"/>
  <c r="AB14" i="11" s="1"/>
  <c r="Z15" i="11" s="1"/>
  <c r="AX76" i="11"/>
  <c r="N76" i="11" s="1"/>
  <c r="P76" i="11" s="1"/>
  <c r="AX11" i="11"/>
  <c r="N11" i="11" s="1"/>
  <c r="P11" i="11" s="1"/>
  <c r="AI11" i="11" s="1"/>
  <c r="AJ11" i="11" s="1"/>
  <c r="AW33" i="11"/>
  <c r="O33" i="11" s="1"/>
  <c r="Q33" i="11" s="1"/>
  <c r="AB33" i="11" s="1"/>
  <c r="Z34" i="11" s="1"/>
  <c r="AW82" i="11"/>
  <c r="O82" i="11" s="1"/>
  <c r="Q82" i="11" s="1"/>
  <c r="AW62" i="11"/>
  <c r="O62" i="11" s="1"/>
  <c r="Q62" i="11" s="1"/>
  <c r="AX26" i="11"/>
  <c r="N26" i="11" s="1"/>
  <c r="P26" i="11" s="1"/>
  <c r="AI26" i="11" s="1"/>
  <c r="AJ26" i="11" s="1"/>
  <c r="AX44" i="11"/>
  <c r="N44" i="11" s="1"/>
  <c r="P44" i="11" s="1"/>
  <c r="AI44" i="11" s="1"/>
  <c r="AJ44" i="11" s="1"/>
  <c r="AW72" i="11"/>
  <c r="O72" i="11" s="1"/>
  <c r="Q72" i="11" s="1"/>
  <c r="AW105" i="11"/>
  <c r="O105" i="11" s="1"/>
  <c r="Q105" i="11" s="1"/>
  <c r="AW53" i="11"/>
  <c r="O53" i="11" s="1"/>
  <c r="Q53" i="11" s="1"/>
  <c r="AB53" i="11" s="1"/>
  <c r="Z54" i="11" s="1"/>
  <c r="AX60" i="11"/>
  <c r="N60" i="11" s="1"/>
  <c r="P60" i="11" s="1"/>
  <c r="AI60" i="11" s="1"/>
  <c r="AW110" i="11"/>
  <c r="O110" i="11" s="1"/>
  <c r="Q110" i="11" s="1"/>
  <c r="AX111" i="11"/>
  <c r="N111" i="11" s="1"/>
  <c r="P111" i="11" s="1"/>
  <c r="AX101" i="11"/>
  <c r="N101" i="11" s="1"/>
  <c r="P101" i="11" s="1"/>
  <c r="AX89" i="11"/>
  <c r="N89" i="11" s="1"/>
  <c r="P89" i="11" s="1"/>
  <c r="AW93" i="11"/>
  <c r="O93" i="11" s="1"/>
  <c r="Q93" i="11" s="1"/>
  <c r="AW57" i="11"/>
  <c r="O57" i="11" s="1"/>
  <c r="Q57" i="11" s="1"/>
  <c r="AB57" i="11" s="1"/>
  <c r="Z58" i="11" s="1"/>
  <c r="AX59" i="11"/>
  <c r="N59" i="11" s="1"/>
  <c r="P59" i="11" s="1"/>
  <c r="AI59" i="11" s="1"/>
  <c r="AJ59" i="11" s="1"/>
  <c r="AX122" i="11"/>
  <c r="N122" i="11" s="1"/>
  <c r="P122" i="11" s="1"/>
  <c r="AW5" i="11"/>
  <c r="O5" i="11" s="1"/>
  <c r="Q5" i="11" s="1"/>
  <c r="AB5" i="11" s="1"/>
  <c r="Z6" i="11" s="1"/>
  <c r="AX112" i="11"/>
  <c r="N112" i="11" s="1"/>
  <c r="P112" i="11" s="1"/>
  <c r="AW61" i="11"/>
  <c r="O61" i="11" s="1"/>
  <c r="Q61" i="11" s="1"/>
  <c r="AW42" i="11"/>
  <c r="O42" i="11" s="1"/>
  <c r="Q42" i="11" s="1"/>
  <c r="AB42" i="11" s="1"/>
  <c r="Z43" i="11" s="1"/>
  <c r="AX81" i="11"/>
  <c r="N81" i="11" s="1"/>
  <c r="P81" i="11" s="1"/>
  <c r="AW46" i="11"/>
  <c r="O46" i="11" s="1"/>
  <c r="Q46" i="11" s="1"/>
  <c r="AB46" i="11" s="1"/>
  <c r="Z47" i="11" s="1"/>
  <c r="AX6" i="11"/>
  <c r="N6" i="11" s="1"/>
  <c r="P6" i="11" s="1"/>
  <c r="AI6" i="11" s="1"/>
  <c r="AJ6" i="11" s="1"/>
  <c r="AX73" i="11"/>
  <c r="N73" i="11" s="1"/>
  <c r="P73" i="11" s="1"/>
  <c r="AW95" i="11"/>
  <c r="O95" i="11" s="1"/>
  <c r="Q95" i="11" s="1"/>
  <c r="AX7" i="11"/>
  <c r="N7" i="11" s="1"/>
  <c r="P7" i="11" s="1"/>
  <c r="AI7" i="11" s="1"/>
  <c r="AJ7" i="11" s="1"/>
  <c r="AW16" i="11"/>
  <c r="O16" i="11" s="1"/>
  <c r="Q16" i="11" s="1"/>
  <c r="AB16" i="11" s="1"/>
  <c r="Z17" i="11" s="1"/>
  <c r="AX25" i="11"/>
  <c r="N25" i="11" s="1"/>
  <c r="P25" i="11" s="1"/>
  <c r="AI25" i="11" s="1"/>
  <c r="AJ25" i="11" s="1"/>
  <c r="AX10" i="11"/>
  <c r="N10" i="11" s="1"/>
  <c r="P10" i="11" s="1"/>
  <c r="AI10" i="11" s="1"/>
  <c r="AJ10" i="11" s="1"/>
  <c r="AX106" i="11"/>
  <c r="N106" i="11" s="1"/>
  <c r="P106" i="11" s="1"/>
  <c r="AX48" i="11"/>
  <c r="N48" i="11" s="1"/>
  <c r="P48" i="11" s="1"/>
  <c r="AI48" i="11" s="1"/>
  <c r="AJ48" i="11" s="1"/>
  <c r="AW64" i="11"/>
  <c r="O64" i="11" s="1"/>
  <c r="Q64" i="11" s="1"/>
  <c r="AX49" i="11"/>
  <c r="N49" i="11" s="1"/>
  <c r="P49" i="11" s="1"/>
  <c r="AI49" i="11" s="1"/>
  <c r="AJ49" i="11" s="1"/>
  <c r="AX22" i="11"/>
  <c r="N22" i="11" s="1"/>
  <c r="P22" i="11" s="1"/>
  <c r="AI22" i="11" s="1"/>
  <c r="AJ22" i="11" s="1"/>
  <c r="AX15" i="11"/>
  <c r="N15" i="11" s="1"/>
  <c r="P15" i="11" s="1"/>
  <c r="AI15" i="11" s="1"/>
  <c r="AJ15" i="11" s="1"/>
  <c r="AX93" i="11"/>
  <c r="N93" i="11" s="1"/>
  <c r="P93" i="11" s="1"/>
  <c r="AW17" i="11"/>
  <c r="O17" i="11" s="1"/>
  <c r="Q17" i="11" s="1"/>
  <c r="AB17" i="11" s="1"/>
  <c r="Z18" i="11" s="1"/>
  <c r="AX20" i="11"/>
  <c r="N20" i="11" s="1"/>
  <c r="P20" i="11" s="1"/>
  <c r="AI20" i="11" s="1"/>
  <c r="AJ20" i="11" s="1"/>
  <c r="AX103" i="11"/>
  <c r="N103" i="11" s="1"/>
  <c r="P103" i="11" s="1"/>
  <c r="AW90" i="11"/>
  <c r="O90" i="11" s="1"/>
  <c r="Q90" i="11" s="1"/>
  <c r="AX86" i="11"/>
  <c r="N86" i="11" s="1"/>
  <c r="P86" i="11" s="1"/>
  <c r="AW20" i="11"/>
  <c r="O20" i="11" s="1"/>
  <c r="Q20" i="11" s="1"/>
  <c r="AB20" i="11" s="1"/>
  <c r="Z21" i="11" s="1"/>
  <c r="AW89" i="11"/>
  <c r="O89" i="11" s="1"/>
  <c r="Q89" i="11" s="1"/>
  <c r="AX43" i="11"/>
  <c r="N43" i="11" s="1"/>
  <c r="P43" i="11" s="1"/>
  <c r="AI43" i="11" s="1"/>
  <c r="AJ43" i="11" s="1"/>
  <c r="AW123" i="11"/>
  <c r="O123" i="11" s="1"/>
  <c r="Q123" i="11" s="1"/>
  <c r="AW124" i="11"/>
  <c r="O124" i="11" s="1"/>
  <c r="Q124" i="11" s="1"/>
  <c r="AX124" i="11"/>
  <c r="N124" i="11" s="1"/>
  <c r="P124" i="11" s="1"/>
  <c r="AX123" i="11"/>
  <c r="N123" i="11" s="1"/>
  <c r="P123" i="11" s="1"/>
  <c r="AX23" i="11"/>
  <c r="N23" i="11" s="1"/>
  <c r="P23" i="11" s="1"/>
  <c r="AI23" i="11" s="1"/>
  <c r="AJ23" i="11" s="1"/>
  <c r="AW111" i="11"/>
  <c r="O111" i="11" s="1"/>
  <c r="Q111" i="11" s="1"/>
  <c r="AW43" i="11"/>
  <c r="O43" i="11" s="1"/>
  <c r="Q43" i="11" s="1"/>
  <c r="AB43" i="11" s="1"/>
  <c r="Z44" i="11" s="1"/>
  <c r="AW41" i="11"/>
  <c r="O41" i="11" s="1"/>
  <c r="Q41" i="11" s="1"/>
  <c r="AB41" i="11" s="1"/>
  <c r="Z42" i="11" s="1"/>
  <c r="AX50" i="11"/>
  <c r="N50" i="11" s="1"/>
  <c r="P50" i="11" s="1"/>
  <c r="AI50" i="11" s="1"/>
  <c r="AJ50" i="11" s="1"/>
  <c r="AX18" i="11"/>
  <c r="N18" i="11" s="1"/>
  <c r="P18" i="11" s="1"/>
  <c r="AI18" i="11" s="1"/>
  <c r="AJ18" i="11" s="1"/>
  <c r="AW21" i="11"/>
  <c r="O21" i="11" s="1"/>
  <c r="Q21" i="11" s="1"/>
  <c r="AB21" i="11" s="1"/>
  <c r="Z22" i="11" s="1"/>
  <c r="AX80" i="11"/>
  <c r="N80" i="11" s="1"/>
  <c r="P80" i="11" s="1"/>
  <c r="AW83" i="11"/>
  <c r="O83" i="11" s="1"/>
  <c r="Q83" i="11" s="1"/>
  <c r="AW32" i="11"/>
  <c r="O32" i="11" s="1"/>
  <c r="Q32" i="11" s="1"/>
  <c r="AB32" i="11" s="1"/>
  <c r="Z33" i="11" s="1"/>
  <c r="AX24" i="11"/>
  <c r="N24" i="11" s="1"/>
  <c r="P24" i="11" s="1"/>
  <c r="AI24" i="11" s="1"/>
  <c r="AJ24" i="11" s="1"/>
  <c r="AX27" i="11"/>
  <c r="N27" i="11" s="1"/>
  <c r="P27" i="11" s="1"/>
  <c r="AI27" i="11" s="1"/>
  <c r="AJ27" i="11" s="1"/>
  <c r="AW118" i="11"/>
  <c r="O118" i="11" s="1"/>
  <c r="Q118" i="11" s="1"/>
  <c r="AW94" i="11"/>
  <c r="O94" i="11" s="1"/>
  <c r="Q94" i="11" s="1"/>
  <c r="AX12" i="11"/>
  <c r="N12" i="11" s="1"/>
  <c r="P12" i="11" s="1"/>
  <c r="AI12" i="11" s="1"/>
  <c r="AJ12" i="11" s="1"/>
  <c r="AX58" i="11"/>
  <c r="N58" i="11" s="1"/>
  <c r="P58" i="11" s="1"/>
  <c r="AI58" i="11" s="1"/>
  <c r="AJ58" i="11" s="1"/>
  <c r="AW10" i="11"/>
  <c r="O10" i="11" s="1"/>
  <c r="Q10" i="11" s="1"/>
  <c r="AB10" i="11" s="1"/>
  <c r="Z11" i="11" s="1"/>
  <c r="AW38" i="11"/>
  <c r="O38" i="11" s="1"/>
  <c r="Q38" i="11" s="1"/>
  <c r="AB38" i="11" s="1"/>
  <c r="Z39" i="11" s="1"/>
  <c r="AX118" i="11"/>
  <c r="N118" i="11" s="1"/>
  <c r="P118" i="11" s="1"/>
  <c r="AW85" i="11"/>
  <c r="O85" i="11" s="1"/>
  <c r="Q85" i="11" s="1"/>
  <c r="AX42" i="11"/>
  <c r="N42" i="11" s="1"/>
  <c r="P42" i="11" s="1"/>
  <c r="AI42" i="11" s="1"/>
  <c r="AJ42" i="11" s="1"/>
  <c r="AW6" i="11"/>
  <c r="O6" i="11" s="1"/>
  <c r="Q6" i="11" s="1"/>
  <c r="AB6" i="11" s="1"/>
  <c r="Z7" i="11" s="1"/>
  <c r="AX83" i="11"/>
  <c r="N83" i="11" s="1"/>
  <c r="P83" i="11" s="1"/>
  <c r="AW11" i="11"/>
  <c r="O11" i="11" s="1"/>
  <c r="Q11" i="11" s="1"/>
  <c r="AB11" i="11" s="1"/>
  <c r="Z12" i="11" s="1"/>
  <c r="AW108" i="11"/>
  <c r="O108" i="11" s="1"/>
  <c r="Q108" i="11" s="1"/>
  <c r="AW117" i="11"/>
  <c r="O117" i="11" s="1"/>
  <c r="Q117" i="11" s="1"/>
  <c r="AW84" i="11"/>
  <c r="O84" i="11" s="1"/>
  <c r="Q84" i="11" s="1"/>
  <c r="AX71" i="11"/>
  <c r="N71" i="11" s="1"/>
  <c r="P71" i="11" s="1"/>
  <c r="AX32" i="11"/>
  <c r="N32" i="11" s="1"/>
  <c r="P32" i="11" s="1"/>
  <c r="AI32" i="11" s="1"/>
  <c r="AJ32" i="11" s="1"/>
  <c r="V61" i="11"/>
  <c r="AH61" i="11" s="1"/>
  <c r="AA61" i="11"/>
  <c r="AN60" i="11"/>
  <c r="W56" i="10"/>
  <c r="AJ55" i="10"/>
  <c r="AL55" i="10"/>
  <c r="Z114" i="23" l="1"/>
  <c r="AK113" i="23"/>
  <c r="V114" i="23"/>
  <c r="AH114" i="23" s="1"/>
  <c r="W114" i="23"/>
  <c r="AI114" i="23" s="1"/>
  <c r="AA114" i="23"/>
  <c r="AN113" i="23"/>
  <c r="AJ113" i="23"/>
  <c r="AL113" i="23"/>
  <c r="Z55" i="19"/>
  <c r="AJ54" i="19"/>
  <c r="AM54" i="19" s="1"/>
  <c r="AO54" i="19" s="1"/>
  <c r="W55" i="19"/>
  <c r="AI55" i="19" s="1"/>
  <c r="AM54" i="20"/>
  <c r="AO54" i="20" s="1"/>
  <c r="W55" i="20"/>
  <c r="W55" i="18"/>
  <c r="AA55" i="18"/>
  <c r="AN54" i="18"/>
  <c r="Z55" i="18"/>
  <c r="AK54" i="18"/>
  <c r="AJ54" i="18"/>
  <c r="AL54" i="18"/>
  <c r="AK57" i="16"/>
  <c r="AN57" i="16"/>
  <c r="AJ57" i="16"/>
  <c r="W58" i="16"/>
  <c r="AI58" i="16" s="1"/>
  <c r="AK60" i="11"/>
  <c r="AJ60" i="11"/>
  <c r="AL60" i="11"/>
  <c r="AK8" i="11"/>
  <c r="AK13" i="11"/>
  <c r="AK29" i="11"/>
  <c r="AK50" i="11"/>
  <c r="AM50" i="11" s="1"/>
  <c r="AO50" i="11" s="1"/>
  <c r="AL13" i="11"/>
  <c r="AL29" i="11"/>
  <c r="AL8" i="11"/>
  <c r="AK19" i="11"/>
  <c r="AM19" i="11" s="1"/>
  <c r="AO19" i="11" s="1"/>
  <c r="AK56" i="11"/>
  <c r="AM56" i="11" s="1"/>
  <c r="AO56" i="11" s="1"/>
  <c r="AK51" i="11"/>
  <c r="AM51" i="11" s="1"/>
  <c r="AO51" i="11" s="1"/>
  <c r="AL11" i="11"/>
  <c r="AK11" i="11"/>
  <c r="AL12" i="11"/>
  <c r="AK12" i="11"/>
  <c r="AL17" i="11"/>
  <c r="AK17" i="11"/>
  <c r="AL31" i="11"/>
  <c r="AK31" i="11"/>
  <c r="AL53" i="11"/>
  <c r="AK53" i="11"/>
  <c r="AK9" i="11"/>
  <c r="AM9" i="11" s="1"/>
  <c r="AO9" i="11" s="1"/>
  <c r="AK22" i="11"/>
  <c r="AL22" i="11"/>
  <c r="AL21" i="11"/>
  <c r="AK21" i="11"/>
  <c r="AL34" i="11"/>
  <c r="AK34" i="11"/>
  <c r="AL25" i="11"/>
  <c r="AK25" i="11"/>
  <c r="AK20" i="11"/>
  <c r="AM20" i="11" s="1"/>
  <c r="AO20" i="11" s="1"/>
  <c r="AL28" i="11"/>
  <c r="AK28" i="11"/>
  <c r="AK14" i="11"/>
  <c r="AL14" i="11"/>
  <c r="AL55" i="11"/>
  <c r="AK55" i="11"/>
  <c r="AL27" i="11"/>
  <c r="AK27" i="11"/>
  <c r="AK7" i="11"/>
  <c r="AL7" i="11"/>
  <c r="AL58" i="11"/>
  <c r="AK58" i="11"/>
  <c r="AK38" i="11"/>
  <c r="AM38" i="11" s="1"/>
  <c r="AO38" i="11" s="1"/>
  <c r="AL26" i="11"/>
  <c r="AK26" i="11"/>
  <c r="AK41" i="11"/>
  <c r="AL41" i="11"/>
  <c r="AK57" i="11"/>
  <c r="AM57" i="11" s="1"/>
  <c r="AO57" i="11" s="1"/>
  <c r="AL35" i="11"/>
  <c r="AK35" i="11"/>
  <c r="AK42" i="11"/>
  <c r="AL42" i="11"/>
  <c r="AL15" i="11"/>
  <c r="AK15" i="11"/>
  <c r="AK37" i="11"/>
  <c r="AL37" i="11"/>
  <c r="AK46" i="11"/>
  <c r="AL46" i="11"/>
  <c r="AK24" i="11"/>
  <c r="AL24" i="11"/>
  <c r="AL45" i="11"/>
  <c r="AK45" i="11"/>
  <c r="AL48" i="11"/>
  <c r="AK48" i="11"/>
  <c r="AK44" i="11"/>
  <c r="AL44" i="11"/>
  <c r="AL47" i="11"/>
  <c r="AK47" i="11"/>
  <c r="AK52" i="11"/>
  <c r="AL52" i="11"/>
  <c r="AL49" i="11"/>
  <c r="AK49" i="11"/>
  <c r="AK6" i="11"/>
  <c r="AL6" i="11"/>
  <c r="AL39" i="11"/>
  <c r="AK39" i="11"/>
  <c r="AL18" i="11"/>
  <c r="AK18" i="11"/>
  <c r="AK16" i="11"/>
  <c r="AL16" i="11"/>
  <c r="AK30" i="11"/>
  <c r="AM30" i="11" s="1"/>
  <c r="AO30" i="11" s="1"/>
  <c r="AL32" i="11"/>
  <c r="AK32" i="11"/>
  <c r="AK40" i="11"/>
  <c r="AL40" i="11"/>
  <c r="AK4" i="11"/>
  <c r="AM4" i="11" s="1"/>
  <c r="AO4" i="11" s="1"/>
  <c r="Z5" i="11"/>
  <c r="AK23" i="11"/>
  <c r="AM23" i="11" s="1"/>
  <c r="AO23" i="11" s="1"/>
  <c r="AL54" i="11"/>
  <c r="AK54" i="11"/>
  <c r="AK59" i="11"/>
  <c r="AL59" i="11"/>
  <c r="AL33" i="11"/>
  <c r="AK33" i="11"/>
  <c r="AK43" i="11"/>
  <c r="AL43" i="11"/>
  <c r="AL10" i="11"/>
  <c r="AK10" i="11"/>
  <c r="AK36" i="11"/>
  <c r="AL36" i="11"/>
  <c r="W61" i="11"/>
  <c r="AI61" i="11" s="1"/>
  <c r="X56" i="10"/>
  <c r="AI56" i="10"/>
  <c r="AM55" i="10"/>
  <c r="AO55" i="10" s="1"/>
  <c r="AM113" i="23" l="1"/>
  <c r="AO113" i="23" s="1"/>
  <c r="X114" i="23"/>
  <c r="X55" i="19"/>
  <c r="AI55" i="20"/>
  <c r="X55" i="20"/>
  <c r="AM54" i="18"/>
  <c r="AI55" i="18"/>
  <c r="X55" i="18"/>
  <c r="AM57" i="16"/>
  <c r="AO57" i="16" s="1"/>
  <c r="X58" i="16"/>
  <c r="AM60" i="11"/>
  <c r="AM29" i="11"/>
  <c r="AO29" i="11" s="1"/>
  <c r="AM8" i="11"/>
  <c r="AO8" i="11" s="1"/>
  <c r="AM13" i="11"/>
  <c r="AO13" i="11" s="1"/>
  <c r="AM39" i="11"/>
  <c r="AO39" i="11" s="1"/>
  <c r="AM45" i="11"/>
  <c r="AO45" i="11" s="1"/>
  <c r="AM24" i="11"/>
  <c r="AO24" i="11" s="1"/>
  <c r="AM6" i="11"/>
  <c r="AO6" i="11" s="1"/>
  <c r="AM44" i="11"/>
  <c r="AO44" i="11" s="1"/>
  <c r="AM11" i="11"/>
  <c r="AO11" i="11" s="1"/>
  <c r="AM34" i="11"/>
  <c r="AO34" i="11" s="1"/>
  <c r="AM58" i="11"/>
  <c r="AO58" i="11" s="1"/>
  <c r="AM31" i="11"/>
  <c r="AO31" i="11" s="1"/>
  <c r="AM54" i="11"/>
  <c r="AO54" i="11" s="1"/>
  <c r="AM32" i="11"/>
  <c r="AO32" i="11" s="1"/>
  <c r="AM7" i="11"/>
  <c r="AO7" i="11" s="1"/>
  <c r="AM55" i="11"/>
  <c r="AO55" i="11" s="1"/>
  <c r="AM53" i="11"/>
  <c r="AO53" i="11" s="1"/>
  <c r="AM37" i="11"/>
  <c r="AO37" i="11" s="1"/>
  <c r="AM40" i="11"/>
  <c r="AO40" i="11" s="1"/>
  <c r="AM41" i="11"/>
  <c r="AO41" i="11" s="1"/>
  <c r="AM27" i="11"/>
  <c r="AO27" i="11" s="1"/>
  <c r="AM25" i="11"/>
  <c r="AO25" i="11" s="1"/>
  <c r="AM18" i="11"/>
  <c r="AO18" i="11" s="1"/>
  <c r="AM21" i="11"/>
  <c r="AO21" i="11" s="1"/>
  <c r="AM17" i="11"/>
  <c r="AO17" i="11" s="1"/>
  <c r="AM59" i="11"/>
  <c r="AO59" i="11" s="1"/>
  <c r="AM33" i="11"/>
  <c r="AO33" i="11" s="1"/>
  <c r="AM26" i="11"/>
  <c r="AO26" i="11" s="1"/>
  <c r="AM22" i="11"/>
  <c r="AO22" i="11" s="1"/>
  <c r="AM12" i="11"/>
  <c r="AO12" i="11" s="1"/>
  <c r="AM48" i="11"/>
  <c r="AO48" i="11" s="1"/>
  <c r="AM46" i="11"/>
  <c r="AO46" i="11" s="1"/>
  <c r="AM42" i="11"/>
  <c r="AO42" i="11" s="1"/>
  <c r="AM52" i="11"/>
  <c r="AO52" i="11" s="1"/>
  <c r="AM43" i="11"/>
  <c r="AO43" i="11" s="1"/>
  <c r="AM16" i="11"/>
  <c r="AO16" i="11" s="1"/>
  <c r="AM10" i="11"/>
  <c r="AO10" i="11" s="1"/>
  <c r="AM15" i="11"/>
  <c r="AO15" i="11" s="1"/>
  <c r="AM28" i="11"/>
  <c r="AO28" i="11" s="1"/>
  <c r="AK5" i="11"/>
  <c r="AL5" i="11"/>
  <c r="AM36" i="11"/>
  <c r="AO36" i="11" s="1"/>
  <c r="AM49" i="11"/>
  <c r="AO49" i="11" s="1"/>
  <c r="AM14" i="11"/>
  <c r="AO14" i="11" s="1"/>
  <c r="AM47" i="11"/>
  <c r="AO47" i="11" s="1"/>
  <c r="AM35" i="11"/>
  <c r="AO35" i="11" s="1"/>
  <c r="X61" i="11"/>
  <c r="AO60" i="11"/>
  <c r="AG56" i="10"/>
  <c r="AF56" i="10"/>
  <c r="AC56" i="10"/>
  <c r="AE56" i="10"/>
  <c r="AB56" i="10"/>
  <c r="U57" i="10"/>
  <c r="U115" i="23" l="1"/>
  <c r="AG114" i="23"/>
  <c r="AC114" i="23"/>
  <c r="AE114" i="23"/>
  <c r="AB114" i="23"/>
  <c r="AO54" i="18"/>
  <c r="AB55" i="19"/>
  <c r="AG55" i="19"/>
  <c r="AE55" i="19"/>
  <c r="U56" i="19"/>
  <c r="V56" i="19" s="1"/>
  <c r="AH56" i="19" s="1"/>
  <c r="AC55" i="19"/>
  <c r="AE55" i="20"/>
  <c r="U56" i="20"/>
  <c r="AG55" i="20"/>
  <c r="AC55" i="20"/>
  <c r="AB55" i="20"/>
  <c r="U56" i="18"/>
  <c r="AG55" i="18"/>
  <c r="AC55" i="18"/>
  <c r="AB55" i="18"/>
  <c r="AE55" i="18"/>
  <c r="AE58" i="16"/>
  <c r="AG58" i="16"/>
  <c r="U59" i="16"/>
  <c r="V59" i="16" s="1"/>
  <c r="AH59" i="16" s="1"/>
  <c r="AC58" i="16"/>
  <c r="AB58" i="16"/>
  <c r="AM5" i="11"/>
  <c r="AO5" i="11" s="1"/>
  <c r="AG61" i="11"/>
  <c r="AE61" i="11"/>
  <c r="AC61" i="11"/>
  <c r="U62" i="11"/>
  <c r="AB61" i="11"/>
  <c r="Z57" i="10"/>
  <c r="AK56" i="10"/>
  <c r="AA57" i="10"/>
  <c r="AN56" i="10"/>
  <c r="V57" i="10"/>
  <c r="Z115" i="23" l="1"/>
  <c r="AK114" i="23"/>
  <c r="AA115" i="23"/>
  <c r="AN114" i="23"/>
  <c r="AJ114" i="23"/>
  <c r="AL114" i="23"/>
  <c r="V115" i="23"/>
  <c r="AH115" i="23" s="1"/>
  <c r="AJ55" i="19"/>
  <c r="AL55" i="19"/>
  <c r="Z56" i="19"/>
  <c r="AK55" i="19"/>
  <c r="AA56" i="19"/>
  <c r="AN55" i="19"/>
  <c r="W56" i="19"/>
  <c r="AI56" i="19" s="1"/>
  <c r="AA56" i="20"/>
  <c r="AN55" i="20"/>
  <c r="V56" i="20"/>
  <c r="AH56" i="20" s="1"/>
  <c r="Z56" i="20"/>
  <c r="AK55" i="20"/>
  <c r="AJ55" i="20"/>
  <c r="AL55" i="20"/>
  <c r="AN55" i="18"/>
  <c r="AA56" i="18"/>
  <c r="AJ55" i="18"/>
  <c r="AL55" i="18"/>
  <c r="AK55" i="18"/>
  <c r="Z56" i="18"/>
  <c r="V56" i="18"/>
  <c r="W59" i="16"/>
  <c r="AI59" i="16" s="1"/>
  <c r="Z59" i="16"/>
  <c r="AK58" i="16"/>
  <c r="AA59" i="16"/>
  <c r="AN58" i="16"/>
  <c r="AL58" i="16"/>
  <c r="AJ58" i="16"/>
  <c r="Z62" i="11"/>
  <c r="AK61" i="11"/>
  <c r="V62" i="11"/>
  <c r="AH62" i="11" s="1"/>
  <c r="AA62" i="11"/>
  <c r="AN61" i="11"/>
  <c r="AJ61" i="11"/>
  <c r="AL61" i="11"/>
  <c r="W57" i="10"/>
  <c r="AI57" i="10" s="1"/>
  <c r="AH57" i="10"/>
  <c r="AJ56" i="10"/>
  <c r="AL56" i="10"/>
  <c r="AM114" i="23" l="1"/>
  <c r="AO114" i="23" s="1"/>
  <c r="W115" i="23"/>
  <c r="AM55" i="19"/>
  <c r="AO55" i="19" s="1"/>
  <c r="X56" i="19"/>
  <c r="AB56" i="19" s="1"/>
  <c r="W56" i="20"/>
  <c r="AI56" i="20" s="1"/>
  <c r="AM55" i="20"/>
  <c r="AO55" i="20" s="1"/>
  <c r="AH56" i="18"/>
  <c r="AM55" i="18"/>
  <c r="AO55" i="18" s="1"/>
  <c r="W56" i="18"/>
  <c r="AI56" i="18" s="1"/>
  <c r="X59" i="16"/>
  <c r="AG59" i="16" s="1"/>
  <c r="AM58" i="16"/>
  <c r="AO58" i="16" s="1"/>
  <c r="W62" i="11"/>
  <c r="AI62" i="11" s="1"/>
  <c r="AM61" i="11"/>
  <c r="X57" i="10"/>
  <c r="AB57" i="10" s="1"/>
  <c r="AM56" i="10"/>
  <c r="AO56" i="10" s="1"/>
  <c r="AI115" i="23" l="1"/>
  <c r="X115" i="23"/>
  <c r="AC56" i="19"/>
  <c r="AA57" i="19" s="1"/>
  <c r="AE56" i="19"/>
  <c r="AL56" i="19" s="1"/>
  <c r="AG56" i="19"/>
  <c r="U57" i="19"/>
  <c r="V57" i="19" s="1"/>
  <c r="AH57" i="19" s="1"/>
  <c r="X56" i="20"/>
  <c r="AE56" i="20" s="1"/>
  <c r="Z57" i="19"/>
  <c r="AK56" i="19"/>
  <c r="X56" i="18"/>
  <c r="AB59" i="16"/>
  <c r="AK59" i="16" s="1"/>
  <c r="U60" i="16"/>
  <c r="V60" i="16" s="1"/>
  <c r="AH60" i="16" s="1"/>
  <c r="AE59" i="16"/>
  <c r="AJ59" i="16" s="1"/>
  <c r="AC59" i="16"/>
  <c r="AN59" i="16" s="1"/>
  <c r="X62" i="11"/>
  <c r="AC62" i="11" s="1"/>
  <c r="AC57" i="10"/>
  <c r="AA58" i="10" s="1"/>
  <c r="AG57" i="10"/>
  <c r="AE57" i="10"/>
  <c r="AF57" i="10"/>
  <c r="AO61" i="11"/>
  <c r="Z58" i="10"/>
  <c r="AK57" i="10"/>
  <c r="U58" i="10"/>
  <c r="AE115" i="23" l="1"/>
  <c r="AC115" i="23"/>
  <c r="AG115" i="23"/>
  <c r="U116" i="23"/>
  <c r="AB115" i="23"/>
  <c r="AN56" i="19"/>
  <c r="AJ56" i="19"/>
  <c r="AM56" i="19" s="1"/>
  <c r="AB56" i="20"/>
  <c r="AK56" i="20" s="1"/>
  <c r="AC56" i="20"/>
  <c r="AN56" i="20" s="1"/>
  <c r="U57" i="20"/>
  <c r="V57" i="20" s="1"/>
  <c r="AH57" i="20" s="1"/>
  <c r="AG56" i="20"/>
  <c r="AJ56" i="20" s="1"/>
  <c r="AL56" i="20"/>
  <c r="W57" i="19"/>
  <c r="AI57" i="19" s="1"/>
  <c r="AE56" i="18"/>
  <c r="AG56" i="18"/>
  <c r="U57" i="18"/>
  <c r="AC56" i="18"/>
  <c r="AB56" i="18"/>
  <c r="AL59" i="16"/>
  <c r="AM59" i="16" s="1"/>
  <c r="AO59" i="16" s="1"/>
  <c r="Z60" i="16"/>
  <c r="AA60" i="16"/>
  <c r="W60" i="16"/>
  <c r="AI60" i="16" s="1"/>
  <c r="AG62" i="11"/>
  <c r="AE62" i="11"/>
  <c r="AL62" i="11" s="1"/>
  <c r="U63" i="11"/>
  <c r="V63" i="11" s="1"/>
  <c r="AH63" i="11" s="1"/>
  <c r="AB62" i="11"/>
  <c r="AK62" i="11" s="1"/>
  <c r="AN57" i="10"/>
  <c r="AA63" i="11"/>
  <c r="AN62" i="11"/>
  <c r="V58" i="10"/>
  <c r="AH58" i="10" s="1"/>
  <c r="V116" i="23" l="1"/>
  <c r="AH116" i="23" s="1"/>
  <c r="W116" i="23"/>
  <c r="AI116" i="23" s="1"/>
  <c r="Z116" i="23"/>
  <c r="AK115" i="23"/>
  <c r="AA116" i="23"/>
  <c r="AN115" i="23"/>
  <c r="AJ115" i="23"/>
  <c r="AL115" i="23"/>
  <c r="AO56" i="19"/>
  <c r="AA57" i="20"/>
  <c r="Z57" i="20"/>
  <c r="AM56" i="20"/>
  <c r="AO56" i="20" s="1"/>
  <c r="W57" i="20"/>
  <c r="X57" i="19"/>
  <c r="AE57" i="19" s="1"/>
  <c r="AK56" i="18"/>
  <c r="Z57" i="18"/>
  <c r="AN56" i="18"/>
  <c r="AA57" i="18"/>
  <c r="V57" i="18"/>
  <c r="W57" i="18" s="1"/>
  <c r="AI57" i="18" s="1"/>
  <c r="AL56" i="18"/>
  <c r="AJ56" i="18"/>
  <c r="X60" i="16"/>
  <c r="AC60" i="16" s="1"/>
  <c r="AJ62" i="11"/>
  <c r="AM62" i="11" s="1"/>
  <c r="Z63" i="11"/>
  <c r="W63" i="11"/>
  <c r="AI63" i="11" s="1"/>
  <c r="W58" i="10"/>
  <c r="X58" i="10" s="1"/>
  <c r="AJ57" i="10"/>
  <c r="AL57" i="10"/>
  <c r="AM115" i="23" l="1"/>
  <c r="AO115" i="23" s="1"/>
  <c r="X116" i="23"/>
  <c r="AC57" i="19"/>
  <c r="AA58" i="19" s="1"/>
  <c r="AG57" i="19"/>
  <c r="AJ57" i="19" s="1"/>
  <c r="U58" i="19"/>
  <c r="V58" i="19" s="1"/>
  <c r="AH58" i="19" s="1"/>
  <c r="AB57" i="19"/>
  <c r="AK57" i="19" s="1"/>
  <c r="AI57" i="20"/>
  <c r="X57" i="20"/>
  <c r="AL57" i="19"/>
  <c r="AM56" i="18"/>
  <c r="AO56" i="18" s="1"/>
  <c r="AH57" i="18"/>
  <c r="X57" i="18"/>
  <c r="AB60" i="16"/>
  <c r="AK60" i="16" s="1"/>
  <c r="AE60" i="16"/>
  <c r="AL60" i="16" s="1"/>
  <c r="U61" i="16"/>
  <c r="V61" i="16" s="1"/>
  <c r="AH61" i="16" s="1"/>
  <c r="AG60" i="16"/>
  <c r="AA61" i="16"/>
  <c r="AN60" i="16"/>
  <c r="X63" i="11"/>
  <c r="AG63" i="11" s="1"/>
  <c r="AI58" i="10"/>
  <c r="AO62" i="11"/>
  <c r="AF58" i="10"/>
  <c r="AG58" i="10"/>
  <c r="AE58" i="10"/>
  <c r="AC58" i="10"/>
  <c r="AB58" i="10"/>
  <c r="AM57" i="10"/>
  <c r="AO57" i="10" s="1"/>
  <c r="AC116" i="23" l="1"/>
  <c r="U117" i="23"/>
  <c r="AG116" i="23"/>
  <c r="AE116" i="23"/>
  <c r="AB116" i="23"/>
  <c r="AN57" i="19"/>
  <c r="Z58" i="19"/>
  <c r="U58" i="20"/>
  <c r="V58" i="20" s="1"/>
  <c r="AH58" i="20" s="1"/>
  <c r="AB57" i="20"/>
  <c r="AG57" i="20"/>
  <c r="AC57" i="20"/>
  <c r="AE57" i="20"/>
  <c r="AM57" i="19"/>
  <c r="W58" i="19"/>
  <c r="AI58" i="19" s="1"/>
  <c r="AC57" i="18"/>
  <c r="U58" i="18"/>
  <c r="V58" i="18" s="1"/>
  <c r="AH58" i="18" s="1"/>
  <c r="AG57" i="18"/>
  <c r="AE57" i="18"/>
  <c r="AB57" i="18"/>
  <c r="Z61" i="16"/>
  <c r="AJ60" i="16"/>
  <c r="AM60" i="16" s="1"/>
  <c r="AO60" i="16" s="1"/>
  <c r="W61" i="16"/>
  <c r="AB63" i="11"/>
  <c r="AK63" i="11" s="1"/>
  <c r="AE63" i="11"/>
  <c r="AL63" i="11" s="1"/>
  <c r="AC63" i="11"/>
  <c r="AA64" i="11" s="1"/>
  <c r="U64" i="11"/>
  <c r="V64" i="11" s="1"/>
  <c r="AH64" i="11" s="1"/>
  <c r="AJ63" i="11"/>
  <c r="Z59" i="10"/>
  <c r="AK58" i="10"/>
  <c r="AA59" i="10"/>
  <c r="AN58" i="10"/>
  <c r="Z117" i="23" l="1"/>
  <c r="AK116" i="23"/>
  <c r="AJ116" i="23"/>
  <c r="AL116" i="23"/>
  <c r="V117" i="23"/>
  <c r="AH117" i="23" s="1"/>
  <c r="W117" i="23"/>
  <c r="AI117" i="23" s="1"/>
  <c r="AA117" i="23"/>
  <c r="AN116" i="23"/>
  <c r="AO57" i="19"/>
  <c r="X58" i="19"/>
  <c r="AC58" i="19" s="1"/>
  <c r="AL57" i="20"/>
  <c r="AJ57" i="20"/>
  <c r="W58" i="20"/>
  <c r="X58" i="20" s="1"/>
  <c r="AA58" i="20"/>
  <c r="AN57" i="20"/>
  <c r="Z58" i="20"/>
  <c r="AK57" i="20"/>
  <c r="W58" i="18"/>
  <c r="AI58" i="18" s="1"/>
  <c r="Z58" i="18"/>
  <c r="AK57" i="18"/>
  <c r="AL57" i="18"/>
  <c r="AJ57" i="18"/>
  <c r="AN57" i="18"/>
  <c r="AA58" i="18"/>
  <c r="AI61" i="16"/>
  <c r="X61" i="16"/>
  <c r="Z64" i="11"/>
  <c r="AN63" i="11"/>
  <c r="W64" i="11"/>
  <c r="AI64" i="11" s="1"/>
  <c r="AM63" i="11"/>
  <c r="U59" i="10"/>
  <c r="AL58" i="10"/>
  <c r="X117" i="23" l="1"/>
  <c r="AM116" i="23"/>
  <c r="AO116" i="23" s="1"/>
  <c r="U59" i="19"/>
  <c r="V59" i="19" s="1"/>
  <c r="AH59" i="19" s="1"/>
  <c r="AB58" i="19"/>
  <c r="Z59" i="19" s="1"/>
  <c r="AE58" i="19"/>
  <c r="AL58" i="19" s="1"/>
  <c r="AG58" i="19"/>
  <c r="AI58" i="20"/>
  <c r="AM57" i="20"/>
  <c r="AO57" i="20" s="1"/>
  <c r="U59" i="20"/>
  <c r="AE58" i="20"/>
  <c r="AG58" i="20"/>
  <c r="AC58" i="20"/>
  <c r="AB58" i="20"/>
  <c r="AA59" i="19"/>
  <c r="AN58" i="19"/>
  <c r="X58" i="18"/>
  <c r="AC58" i="18" s="1"/>
  <c r="AM57" i="18"/>
  <c r="AO57" i="18" s="1"/>
  <c r="U62" i="16"/>
  <c r="AE61" i="16"/>
  <c r="AC61" i="16"/>
  <c r="AG61" i="16"/>
  <c r="AB61" i="16"/>
  <c r="AO63" i="11"/>
  <c r="X64" i="11"/>
  <c r="AG64" i="11" s="1"/>
  <c r="V59" i="10"/>
  <c r="AH59" i="10" s="1"/>
  <c r="AJ58" i="10"/>
  <c r="AE117" i="23" l="1"/>
  <c r="U118" i="23"/>
  <c r="AC117" i="23"/>
  <c r="AG117" i="23"/>
  <c r="AB117" i="23"/>
  <c r="AJ58" i="19"/>
  <c r="AK58" i="19"/>
  <c r="Z59" i="20"/>
  <c r="AK58" i="20"/>
  <c r="AJ58" i="20"/>
  <c r="AL58" i="20"/>
  <c r="AA59" i="20"/>
  <c r="AN58" i="20"/>
  <c r="V59" i="20"/>
  <c r="AH59" i="20" s="1"/>
  <c r="W59" i="19"/>
  <c r="AI59" i="19" s="1"/>
  <c r="AB58" i="18"/>
  <c r="Z59" i="18" s="1"/>
  <c r="U59" i="18"/>
  <c r="V59" i="18" s="1"/>
  <c r="AH59" i="18" s="1"/>
  <c r="AE58" i="18"/>
  <c r="AL58" i="18" s="1"/>
  <c r="AG58" i="18"/>
  <c r="AA59" i="18"/>
  <c r="AN58" i="18"/>
  <c r="Z62" i="16"/>
  <c r="AK61" i="16"/>
  <c r="AA62" i="16"/>
  <c r="AN61" i="16"/>
  <c r="AJ61" i="16"/>
  <c r="AL61" i="16"/>
  <c r="V62" i="16"/>
  <c r="AH62" i="16" s="1"/>
  <c r="U65" i="11"/>
  <c r="V65" i="11" s="1"/>
  <c r="AH65" i="11" s="1"/>
  <c r="AB64" i="11"/>
  <c r="Z65" i="11" s="1"/>
  <c r="AC64" i="11"/>
  <c r="AN64" i="11" s="1"/>
  <c r="AE64" i="11"/>
  <c r="AJ64" i="11" s="1"/>
  <c r="W59" i="10"/>
  <c r="AI59" i="10" s="1"/>
  <c r="AM58" i="10"/>
  <c r="AO58" i="10" s="1"/>
  <c r="AA118" i="23" l="1"/>
  <c r="AN117" i="23"/>
  <c r="Z118" i="23"/>
  <c r="AK117" i="23"/>
  <c r="V118" i="23"/>
  <c r="AH118" i="23" s="1"/>
  <c r="W118" i="23"/>
  <c r="AI118" i="23" s="1"/>
  <c r="AJ117" i="23"/>
  <c r="AL117" i="23"/>
  <c r="AM58" i="19"/>
  <c r="AO58" i="19" s="1"/>
  <c r="W59" i="20"/>
  <c r="AI59" i="20" s="1"/>
  <c r="AM58" i="20"/>
  <c r="AO58" i="20" s="1"/>
  <c r="X59" i="19"/>
  <c r="U60" i="19" s="1"/>
  <c r="AK58" i="18"/>
  <c r="AJ58" i="18"/>
  <c r="W59" i="18"/>
  <c r="AK64" i="11"/>
  <c r="AA65" i="11"/>
  <c r="W62" i="16"/>
  <c r="AI62" i="16" s="1"/>
  <c r="AM61" i="16"/>
  <c r="AO61" i="16" s="1"/>
  <c r="AL64" i="11"/>
  <c r="W65" i="11"/>
  <c r="AI65" i="11" s="1"/>
  <c r="X59" i="10"/>
  <c r="AM117" i="23" l="1"/>
  <c r="AO117" i="23" s="1"/>
  <c r="X118" i="23"/>
  <c r="AM64" i="11"/>
  <c r="AO64" i="11" s="1"/>
  <c r="V60" i="19"/>
  <c r="AH60" i="19" s="1"/>
  <c r="X59" i="20"/>
  <c r="U60" i="20" s="1"/>
  <c r="V60" i="20" s="1"/>
  <c r="AH60" i="20" s="1"/>
  <c r="AC59" i="19"/>
  <c r="AE59" i="19"/>
  <c r="AG59" i="19"/>
  <c r="AB59" i="19"/>
  <c r="AM58" i="18"/>
  <c r="AO58" i="18" s="1"/>
  <c r="AI59" i="18"/>
  <c r="X59" i="18"/>
  <c r="U60" i="18" s="1"/>
  <c r="X62" i="16"/>
  <c r="X65" i="11"/>
  <c r="U66" i="11" s="1"/>
  <c r="U60" i="10"/>
  <c r="V60" i="10" s="1"/>
  <c r="AE59" i="10"/>
  <c r="AF59" i="10"/>
  <c r="AG59" i="10"/>
  <c r="AC59" i="10"/>
  <c r="AB59" i="10"/>
  <c r="AG118" i="23" l="1"/>
  <c r="AE118" i="23"/>
  <c r="U119" i="23"/>
  <c r="AC118" i="23"/>
  <c r="AB118" i="23"/>
  <c r="AK59" i="19"/>
  <c r="Z60" i="19"/>
  <c r="AN59" i="19"/>
  <c r="AA60" i="19"/>
  <c r="W60" i="19"/>
  <c r="AB59" i="20"/>
  <c r="AK59" i="20" s="1"/>
  <c r="AC59" i="20"/>
  <c r="AN59" i="20" s="1"/>
  <c r="AE59" i="20"/>
  <c r="AL59" i="20" s="1"/>
  <c r="AG59" i="20"/>
  <c r="W60" i="20"/>
  <c r="AJ59" i="19"/>
  <c r="AL59" i="19"/>
  <c r="V60" i="18"/>
  <c r="AH60" i="18" s="1"/>
  <c r="AG59" i="18"/>
  <c r="AC59" i="18"/>
  <c r="AE59" i="18"/>
  <c r="AB59" i="18"/>
  <c r="AC62" i="16"/>
  <c r="AE62" i="16"/>
  <c r="AG62" i="16"/>
  <c r="AB62" i="16"/>
  <c r="U63" i="16"/>
  <c r="V63" i="16" s="1"/>
  <c r="AH63" i="16" s="1"/>
  <c r="AB65" i="11"/>
  <c r="Z66" i="11" s="1"/>
  <c r="AC65" i="11"/>
  <c r="AA66" i="11" s="1"/>
  <c r="AE65" i="11"/>
  <c r="AL65" i="11" s="1"/>
  <c r="AG65" i="11"/>
  <c r="V66" i="11"/>
  <c r="AH66" i="11" s="1"/>
  <c r="AJ59" i="10"/>
  <c r="AL59" i="10"/>
  <c r="Z60" i="10"/>
  <c r="AK59" i="10"/>
  <c r="AA60" i="10"/>
  <c r="AN59" i="10"/>
  <c r="W60" i="10"/>
  <c r="AH60" i="10"/>
  <c r="V119" i="23" l="1"/>
  <c r="AH119" i="23" s="1"/>
  <c r="W119" i="23"/>
  <c r="AI119" i="23" s="1"/>
  <c r="AA119" i="23"/>
  <c r="AN118" i="23"/>
  <c r="Z119" i="23"/>
  <c r="AK118" i="23"/>
  <c r="AJ118" i="23"/>
  <c r="AL118" i="23"/>
  <c r="Z60" i="20"/>
  <c r="X60" i="19"/>
  <c r="AB60" i="19" s="1"/>
  <c r="Z61" i="19" s="1"/>
  <c r="AI60" i="19"/>
  <c r="AA60" i="20"/>
  <c r="AJ59" i="20"/>
  <c r="AM59" i="20" s="1"/>
  <c r="X60" i="20"/>
  <c r="AI60" i="20"/>
  <c r="AM59" i="19"/>
  <c r="AK59" i="18"/>
  <c r="Z60" i="18"/>
  <c r="AN59" i="18"/>
  <c r="AA60" i="18"/>
  <c r="W60" i="18"/>
  <c r="AJ59" i="18"/>
  <c r="AL59" i="18"/>
  <c r="W63" i="16"/>
  <c r="Z63" i="16"/>
  <c r="AK62" i="16"/>
  <c r="AL62" i="16"/>
  <c r="AJ62" i="16"/>
  <c r="AA63" i="16"/>
  <c r="AN62" i="16"/>
  <c r="AJ65" i="11"/>
  <c r="AN65" i="11"/>
  <c r="AK65" i="11"/>
  <c r="W66" i="11"/>
  <c r="AI66" i="11" s="1"/>
  <c r="AM59" i="10"/>
  <c r="AO59" i="10" s="1"/>
  <c r="AI60" i="10"/>
  <c r="X60" i="10"/>
  <c r="U61" i="10" s="1"/>
  <c r="AM118" i="23" l="1"/>
  <c r="AO118" i="23" s="1"/>
  <c r="X119" i="23"/>
  <c r="AK60" i="19"/>
  <c r="AG60" i="19"/>
  <c r="AC60" i="19"/>
  <c r="AA61" i="19" s="1"/>
  <c r="U61" i="19"/>
  <c r="V61" i="19" s="1"/>
  <c r="AH61" i="19" s="1"/>
  <c r="AE60" i="19"/>
  <c r="AL60" i="19" s="1"/>
  <c r="AB60" i="20"/>
  <c r="AG60" i="20"/>
  <c r="U61" i="20"/>
  <c r="V61" i="20" s="1"/>
  <c r="AH61" i="20" s="1"/>
  <c r="AC60" i="20"/>
  <c r="AE60" i="20"/>
  <c r="AO59" i="20"/>
  <c r="AO59" i="19"/>
  <c r="X60" i="18"/>
  <c r="AB60" i="18" s="1"/>
  <c r="Z61" i="18" s="1"/>
  <c r="AI60" i="18"/>
  <c r="AM59" i="18"/>
  <c r="AI63" i="16"/>
  <c r="X63" i="16"/>
  <c r="AM62" i="16"/>
  <c r="AO62" i="16" s="1"/>
  <c r="AM65" i="11"/>
  <c r="AO65" i="11" s="1"/>
  <c r="X66" i="11"/>
  <c r="AG60" i="10"/>
  <c r="AF60" i="10"/>
  <c r="AE60" i="10"/>
  <c r="AC60" i="10"/>
  <c r="AB60" i="10"/>
  <c r="V61" i="10"/>
  <c r="AH61" i="10" s="1"/>
  <c r="AG119" i="23" l="1"/>
  <c r="AC119" i="23"/>
  <c r="AE119" i="23"/>
  <c r="U120" i="23"/>
  <c r="AB119" i="23"/>
  <c r="AJ60" i="19"/>
  <c r="AM60" i="19" s="1"/>
  <c r="AN60" i="19"/>
  <c r="W61" i="19"/>
  <c r="AI61" i="19" s="1"/>
  <c r="W61" i="20"/>
  <c r="X61" i="20" s="1"/>
  <c r="AJ60" i="20"/>
  <c r="AL60" i="20"/>
  <c r="AA61" i="20"/>
  <c r="AN60" i="20"/>
  <c r="Z61" i="20"/>
  <c r="AK60" i="20"/>
  <c r="U61" i="18"/>
  <c r="V61" i="18" s="1"/>
  <c r="AH61" i="18" s="1"/>
  <c r="AK60" i="18"/>
  <c r="AC60" i="18"/>
  <c r="AA61" i="18" s="1"/>
  <c r="AE60" i="18"/>
  <c r="AL60" i="18" s="1"/>
  <c r="AG60" i="18"/>
  <c r="AO59" i="18"/>
  <c r="AG63" i="16"/>
  <c r="AE63" i="16"/>
  <c r="AB63" i="16"/>
  <c r="AC63" i="16"/>
  <c r="U64" i="16"/>
  <c r="V64" i="16" s="1"/>
  <c r="AH64" i="16" s="1"/>
  <c r="W61" i="10"/>
  <c r="X61" i="10" s="1"/>
  <c r="AG66" i="11"/>
  <c r="U67" i="11"/>
  <c r="AC66" i="11"/>
  <c r="AE66" i="11"/>
  <c r="AB66" i="11"/>
  <c r="AA61" i="10"/>
  <c r="AN60" i="10"/>
  <c r="Z61" i="10"/>
  <c r="AK60" i="10"/>
  <c r="AJ60" i="10"/>
  <c r="AL60" i="10"/>
  <c r="V120" i="23" l="1"/>
  <c r="AH120" i="23" s="1"/>
  <c r="W120" i="23"/>
  <c r="AI120" i="23" s="1"/>
  <c r="X120" i="23"/>
  <c r="AJ119" i="23"/>
  <c r="AL119" i="23"/>
  <c r="Z120" i="23"/>
  <c r="AK119" i="23"/>
  <c r="AA120" i="23"/>
  <c r="AN119" i="23"/>
  <c r="X61" i="19"/>
  <c r="AO60" i="19"/>
  <c r="AI61" i="20"/>
  <c r="AB61" i="20"/>
  <c r="Z62" i="20" s="1"/>
  <c r="AC61" i="20"/>
  <c r="AA62" i="20" s="1"/>
  <c r="U62" i="20"/>
  <c r="V62" i="20" s="1"/>
  <c r="AH62" i="20" s="1"/>
  <c r="AG61" i="20"/>
  <c r="AM60" i="20"/>
  <c r="AO60" i="20" s="1"/>
  <c r="AE61" i="20"/>
  <c r="AL61" i="20" s="1"/>
  <c r="AN60" i="18"/>
  <c r="AJ60" i="18"/>
  <c r="AM60" i="18" s="1"/>
  <c r="W61" i="18"/>
  <c r="W64" i="16"/>
  <c r="AI64" i="16" s="1"/>
  <c r="Z64" i="16"/>
  <c r="AK63" i="16"/>
  <c r="AJ63" i="16"/>
  <c r="AL63" i="16"/>
  <c r="AN63" i="16"/>
  <c r="AA64" i="16"/>
  <c r="AI61" i="10"/>
  <c r="Z67" i="11"/>
  <c r="AK66" i="11"/>
  <c r="AA67" i="11"/>
  <c r="AN66" i="11"/>
  <c r="AJ66" i="11"/>
  <c r="AL66" i="11"/>
  <c r="V67" i="11"/>
  <c r="AH67" i="11" s="1"/>
  <c r="AF61" i="10"/>
  <c r="AE61" i="10"/>
  <c r="AC61" i="10"/>
  <c r="AA62" i="10" s="1"/>
  <c r="AG61" i="10"/>
  <c r="AB61" i="10"/>
  <c r="Z62" i="10" s="1"/>
  <c r="AM60" i="10"/>
  <c r="AO60" i="10" s="1"/>
  <c r="AM119" i="23" l="1"/>
  <c r="AO119" i="23" s="1"/>
  <c r="AC120" i="23"/>
  <c r="AA121" i="23" s="1"/>
  <c r="AE120" i="23"/>
  <c r="U121" i="23"/>
  <c r="AG120" i="23"/>
  <c r="AB120" i="23"/>
  <c r="Z121" i="23" s="1"/>
  <c r="AB61" i="19"/>
  <c r="U62" i="19"/>
  <c r="V62" i="19" s="1"/>
  <c r="AH62" i="19" s="1"/>
  <c r="AC61" i="19"/>
  <c r="AG61" i="19"/>
  <c r="AE61" i="19"/>
  <c r="AK61" i="20"/>
  <c r="AN61" i="20"/>
  <c r="AJ61" i="20"/>
  <c r="W62" i="20"/>
  <c r="X61" i="18"/>
  <c r="AB61" i="18" s="1"/>
  <c r="AI61" i="18"/>
  <c r="AO60" i="18"/>
  <c r="X64" i="16"/>
  <c r="AG64" i="16" s="1"/>
  <c r="AM63" i="16"/>
  <c r="AO63" i="16" s="1"/>
  <c r="W67" i="11"/>
  <c r="AI67" i="11" s="1"/>
  <c r="AM66" i="11"/>
  <c r="AO66" i="11" s="1"/>
  <c r="AK61" i="10"/>
  <c r="AN61" i="10"/>
  <c r="AJ120" i="23" l="1"/>
  <c r="AK120" i="23"/>
  <c r="V121" i="23"/>
  <c r="AH121" i="23" s="1"/>
  <c r="W121" i="23"/>
  <c r="AI121" i="23" s="1"/>
  <c r="AN120" i="23"/>
  <c r="AL120" i="23"/>
  <c r="W62" i="19"/>
  <c r="AI62" i="19" s="1"/>
  <c r="AL61" i="19"/>
  <c r="AJ61" i="19"/>
  <c r="AN61" i="19"/>
  <c r="AA62" i="19"/>
  <c r="Z62" i="19"/>
  <c r="AK61" i="19"/>
  <c r="AM61" i="20"/>
  <c r="AO61" i="20" s="1"/>
  <c r="X62" i="20"/>
  <c r="AB62" i="20" s="1"/>
  <c r="AI62" i="20"/>
  <c r="AE61" i="18"/>
  <c r="AL61" i="18" s="1"/>
  <c r="AG61" i="18"/>
  <c r="AC61" i="18"/>
  <c r="AA62" i="18" s="1"/>
  <c r="U62" i="18"/>
  <c r="V62" i="18" s="1"/>
  <c r="AH62" i="18" s="1"/>
  <c r="Z62" i="18"/>
  <c r="AK61" i="18"/>
  <c r="AB64" i="16"/>
  <c r="Z65" i="16" s="1"/>
  <c r="AC64" i="16"/>
  <c r="AA65" i="16" s="1"/>
  <c r="AE64" i="16"/>
  <c r="AL64" i="16" s="1"/>
  <c r="U65" i="16"/>
  <c r="V65" i="16" s="1"/>
  <c r="AH65" i="16" s="1"/>
  <c r="X67" i="11"/>
  <c r="AE67" i="11" s="1"/>
  <c r="U62" i="10"/>
  <c r="AM120" i="23" l="1"/>
  <c r="AO120" i="23" s="1"/>
  <c r="X121" i="23"/>
  <c r="X62" i="19"/>
  <c r="AB62" i="19" s="1"/>
  <c r="Z63" i="19" s="1"/>
  <c r="AM61" i="19"/>
  <c r="AO61" i="19" s="1"/>
  <c r="AE62" i="20"/>
  <c r="AL62" i="20" s="1"/>
  <c r="U63" i="20"/>
  <c r="V63" i="20" s="1"/>
  <c r="AH63" i="20" s="1"/>
  <c r="AG62" i="20"/>
  <c r="AC62" i="20"/>
  <c r="AN62" i="20" s="1"/>
  <c r="Z63" i="20"/>
  <c r="AK62" i="20"/>
  <c r="AN61" i="18"/>
  <c r="AJ61" i="18"/>
  <c r="AM61" i="18" s="1"/>
  <c r="W62" i="18"/>
  <c r="AI62" i="18" s="1"/>
  <c r="AK64" i="16"/>
  <c r="AJ64" i="16"/>
  <c r="AN64" i="16"/>
  <c r="W65" i="16"/>
  <c r="AI65" i="16" s="1"/>
  <c r="AB67" i="11"/>
  <c r="AK67" i="11" s="1"/>
  <c r="AC67" i="11"/>
  <c r="AA68" i="11" s="1"/>
  <c r="AG67" i="11"/>
  <c r="AJ67" i="11" s="1"/>
  <c r="U68" i="11"/>
  <c r="V68" i="11" s="1"/>
  <c r="AH68" i="11" s="1"/>
  <c r="AL67" i="11"/>
  <c r="V62" i="10"/>
  <c r="AH62" i="10" s="1"/>
  <c r="AJ61" i="10"/>
  <c r="AL61" i="10"/>
  <c r="AG121" i="23" l="1"/>
  <c r="AC121" i="23"/>
  <c r="AE121" i="23"/>
  <c r="U122" i="23"/>
  <c r="AB121" i="23"/>
  <c r="U63" i="19"/>
  <c r="V63" i="19" s="1"/>
  <c r="AH63" i="19" s="1"/>
  <c r="AG62" i="19"/>
  <c r="AE62" i="19"/>
  <c r="AL62" i="19" s="1"/>
  <c r="AC62" i="19"/>
  <c r="AA63" i="19" s="1"/>
  <c r="AK62" i="19"/>
  <c r="AJ62" i="20"/>
  <c r="AM62" i="20" s="1"/>
  <c r="AA63" i="20"/>
  <c r="W63" i="20"/>
  <c r="X62" i="18"/>
  <c r="AB62" i="18" s="1"/>
  <c r="Z63" i="18" s="1"/>
  <c r="AO61" i="18"/>
  <c r="AM64" i="16"/>
  <c r="AO64" i="16" s="1"/>
  <c r="X65" i="16"/>
  <c r="AN67" i="11"/>
  <c r="Z68" i="11"/>
  <c r="W62" i="10"/>
  <c r="X62" i="10" s="1"/>
  <c r="U63" i="10" s="1"/>
  <c r="AM67" i="11"/>
  <c r="W68" i="11"/>
  <c r="AI68" i="11" s="1"/>
  <c r="AM61" i="10"/>
  <c r="AO61" i="10" s="1"/>
  <c r="Z122" i="23" l="1"/>
  <c r="AK121" i="23"/>
  <c r="AA122" i="23"/>
  <c r="AN121" i="23"/>
  <c r="V122" i="23"/>
  <c r="AH122" i="23" s="1"/>
  <c r="W122" i="23"/>
  <c r="AI122" i="23" s="1"/>
  <c r="AJ121" i="23"/>
  <c r="AL121" i="23"/>
  <c r="W63" i="19"/>
  <c r="AI63" i="19" s="1"/>
  <c r="AN62" i="19"/>
  <c r="AJ62" i="19"/>
  <c r="AM62" i="19" s="1"/>
  <c r="X63" i="20"/>
  <c r="AB63" i="20" s="1"/>
  <c r="AI63" i="20"/>
  <c r="AO62" i="20"/>
  <c r="U63" i="18"/>
  <c r="V63" i="18" s="1"/>
  <c r="AH63" i="18" s="1"/>
  <c r="AC62" i="18"/>
  <c r="AN62" i="18" s="1"/>
  <c r="AE62" i="18"/>
  <c r="AL62" i="18" s="1"/>
  <c r="AG62" i="18"/>
  <c r="AK62" i="18"/>
  <c r="U66" i="16"/>
  <c r="AC65" i="16"/>
  <c r="AE65" i="16"/>
  <c r="AG65" i="16"/>
  <c r="AB65" i="16"/>
  <c r="AO67" i="11"/>
  <c r="AI62" i="10"/>
  <c r="X68" i="11"/>
  <c r="AG68" i="11" s="1"/>
  <c r="AF62" i="10"/>
  <c r="AG62" i="10"/>
  <c r="AC62" i="10"/>
  <c r="AE62" i="10"/>
  <c r="AB62" i="10"/>
  <c r="V63" i="10"/>
  <c r="AM121" i="23" l="1"/>
  <c r="AO121" i="23" s="1"/>
  <c r="X122" i="23"/>
  <c r="X63" i="19"/>
  <c r="AB63" i="19" s="1"/>
  <c r="Z64" i="19" s="1"/>
  <c r="AO62" i="19"/>
  <c r="AG63" i="20"/>
  <c r="U64" i="20"/>
  <c r="V64" i="20" s="1"/>
  <c r="AH64" i="20" s="1"/>
  <c r="AE63" i="20"/>
  <c r="AL63" i="20" s="1"/>
  <c r="AC63" i="20"/>
  <c r="AA64" i="20" s="1"/>
  <c r="Z64" i="20"/>
  <c r="AK63" i="20"/>
  <c r="AA63" i="18"/>
  <c r="AJ62" i="18"/>
  <c r="AM62" i="18" s="1"/>
  <c r="W63" i="18"/>
  <c r="Z66" i="16"/>
  <c r="AK65" i="16"/>
  <c r="AA66" i="16"/>
  <c r="AN65" i="16"/>
  <c r="AJ65" i="16"/>
  <c r="AL65" i="16"/>
  <c r="V66" i="16"/>
  <c r="AH66" i="16" s="1"/>
  <c r="AB68" i="11"/>
  <c r="AK68" i="11" s="1"/>
  <c r="U69" i="11"/>
  <c r="V69" i="11" s="1"/>
  <c r="AH69" i="11" s="1"/>
  <c r="AC68" i="11"/>
  <c r="AA69" i="11" s="1"/>
  <c r="AE68" i="11"/>
  <c r="AL68" i="11" s="1"/>
  <c r="AA63" i="10"/>
  <c r="AN62" i="10"/>
  <c r="W63" i="10"/>
  <c r="AI63" i="10" s="1"/>
  <c r="AH63" i="10"/>
  <c r="Z63" i="10"/>
  <c r="AK62" i="10"/>
  <c r="AJ62" i="10"/>
  <c r="AL62" i="10"/>
  <c r="U123" i="23" l="1"/>
  <c r="AG122" i="23"/>
  <c r="AC122" i="23"/>
  <c r="AE122" i="23"/>
  <c r="AB122" i="23"/>
  <c r="AK63" i="19"/>
  <c r="AC63" i="19"/>
  <c r="AN63" i="19" s="1"/>
  <c r="AE63" i="19"/>
  <c r="AL63" i="19" s="1"/>
  <c r="AG63" i="19"/>
  <c r="U64" i="19"/>
  <c r="V64" i="19" s="1"/>
  <c r="AH64" i="19" s="1"/>
  <c r="AJ63" i="20"/>
  <c r="AM63" i="20" s="1"/>
  <c r="AN63" i="20"/>
  <c r="W64" i="20"/>
  <c r="X64" i="20" s="1"/>
  <c r="X63" i="18"/>
  <c r="AB63" i="18" s="1"/>
  <c r="AI63" i="18"/>
  <c r="AO62" i="18"/>
  <c r="W66" i="16"/>
  <c r="AI66" i="16" s="1"/>
  <c r="AM65" i="16"/>
  <c r="AO65" i="16" s="1"/>
  <c r="Z69" i="11"/>
  <c r="AJ68" i="11"/>
  <c r="AM68" i="11" s="1"/>
  <c r="AN68" i="11"/>
  <c r="X63" i="10"/>
  <c r="AG63" i="10" s="1"/>
  <c r="W69" i="11"/>
  <c r="AI69" i="11" s="1"/>
  <c r="AM62" i="10"/>
  <c r="AO62" i="10" s="1"/>
  <c r="AA64" i="19" l="1"/>
  <c r="Z123" i="23"/>
  <c r="AK122" i="23"/>
  <c r="AJ122" i="23"/>
  <c r="AL122" i="23"/>
  <c r="AA123" i="23"/>
  <c r="AN122" i="23"/>
  <c r="V123" i="23"/>
  <c r="AH123" i="23" s="1"/>
  <c r="AJ63" i="19"/>
  <c r="AM63" i="19" s="1"/>
  <c r="AO63" i="19" s="1"/>
  <c r="W64" i="19"/>
  <c r="AI64" i="19" s="1"/>
  <c r="AI64" i="20"/>
  <c r="AB64" i="20"/>
  <c r="Z65" i="20" s="1"/>
  <c r="AE64" i="20"/>
  <c r="AL64" i="20" s="1"/>
  <c r="U65" i="20"/>
  <c r="V65" i="20" s="1"/>
  <c r="AH65" i="20" s="1"/>
  <c r="AG64" i="20"/>
  <c r="AC64" i="20"/>
  <c r="AA65" i="20" s="1"/>
  <c r="AO63" i="20"/>
  <c r="U64" i="18"/>
  <c r="V64" i="18" s="1"/>
  <c r="AH64" i="18" s="1"/>
  <c r="AE63" i="18"/>
  <c r="AL63" i="18" s="1"/>
  <c r="AC63" i="18"/>
  <c r="AA64" i="18" s="1"/>
  <c r="AG63" i="18"/>
  <c r="Z64" i="18"/>
  <c r="AK63" i="18"/>
  <c r="X66" i="16"/>
  <c r="AE66" i="16" s="1"/>
  <c r="AO68" i="11"/>
  <c r="AE63" i="10"/>
  <c r="AB63" i="10"/>
  <c r="Z64" i="10" s="1"/>
  <c r="AF63" i="10"/>
  <c r="AC63" i="10"/>
  <c r="AA64" i="10" s="1"/>
  <c r="X69" i="11"/>
  <c r="U70" i="11" s="1"/>
  <c r="AK63" i="10"/>
  <c r="U64" i="10"/>
  <c r="AM122" i="23" l="1"/>
  <c r="AO122" i="23" s="1"/>
  <c r="W123" i="23"/>
  <c r="AI123" i="23" s="1"/>
  <c r="X123" i="23"/>
  <c r="X64" i="19"/>
  <c r="AB64" i="19" s="1"/>
  <c r="Z65" i="19" s="1"/>
  <c r="AJ64" i="20"/>
  <c r="AK64" i="20"/>
  <c r="AN64" i="20"/>
  <c r="W65" i="20"/>
  <c r="AJ63" i="18"/>
  <c r="AM63" i="18" s="1"/>
  <c r="AN63" i="18"/>
  <c r="W64" i="18"/>
  <c r="X64" i="18" s="1"/>
  <c r="AB64" i="18" s="1"/>
  <c r="Z65" i="18" s="1"/>
  <c r="AB66" i="16"/>
  <c r="Z67" i="16" s="1"/>
  <c r="U67" i="16"/>
  <c r="V67" i="16" s="1"/>
  <c r="AH67" i="16" s="1"/>
  <c r="AC66" i="16"/>
  <c r="AN66" i="16" s="1"/>
  <c r="AG66" i="16"/>
  <c r="AJ66" i="16" s="1"/>
  <c r="AL66" i="16"/>
  <c r="AN63" i="10"/>
  <c r="AC69" i="11"/>
  <c r="AN69" i="11" s="1"/>
  <c r="AB69" i="11"/>
  <c r="Z70" i="11" s="1"/>
  <c r="AG69" i="11"/>
  <c r="AE69" i="11"/>
  <c r="AA70" i="11"/>
  <c r="V70" i="11"/>
  <c r="AH70" i="11" s="1"/>
  <c r="V64" i="10"/>
  <c r="AE123" i="23" l="1"/>
  <c r="AC123" i="23"/>
  <c r="U124" i="23"/>
  <c r="AG123" i="23"/>
  <c r="AB123" i="23"/>
  <c r="AK64" i="19"/>
  <c r="AG64" i="19"/>
  <c r="U65" i="19"/>
  <c r="V65" i="19" s="1"/>
  <c r="AH65" i="19" s="1"/>
  <c r="AE64" i="19"/>
  <c r="AL64" i="19" s="1"/>
  <c r="AC64" i="19"/>
  <c r="AM64" i="20"/>
  <c r="AO64" i="20" s="1"/>
  <c r="X65" i="20"/>
  <c r="AB65" i="20" s="1"/>
  <c r="AI65" i="20"/>
  <c r="AI64" i="18"/>
  <c r="AC64" i="18"/>
  <c r="AE64" i="18"/>
  <c r="AL64" i="18" s="1"/>
  <c r="U65" i="18"/>
  <c r="V65" i="18" s="1"/>
  <c r="AH65" i="18" s="1"/>
  <c r="AK64" i="18"/>
  <c r="AG64" i="18"/>
  <c r="AO63" i="18"/>
  <c r="AK66" i="16"/>
  <c r="AM66" i="16" s="1"/>
  <c r="AO66" i="16" s="1"/>
  <c r="AA67" i="16"/>
  <c r="W67" i="16"/>
  <c r="AI67" i="16" s="1"/>
  <c r="AK69" i="11"/>
  <c r="AJ69" i="11"/>
  <c r="AL69" i="11"/>
  <c r="W70" i="11"/>
  <c r="AI70" i="11" s="1"/>
  <c r="W64" i="10"/>
  <c r="AI64" i="10" s="1"/>
  <c r="AH64" i="10"/>
  <c r="AJ63" i="10"/>
  <c r="AL63" i="10"/>
  <c r="W65" i="19" l="1"/>
  <c r="X65" i="19" s="1"/>
  <c r="U66" i="19" s="1"/>
  <c r="V66" i="19" s="1"/>
  <c r="AH66" i="19" s="1"/>
  <c r="AA124" i="23"/>
  <c r="AN123" i="23"/>
  <c r="Z124" i="23"/>
  <c r="AK123" i="23"/>
  <c r="V124" i="23"/>
  <c r="AH124" i="23" s="1"/>
  <c r="W124" i="23"/>
  <c r="AI124" i="23" s="1"/>
  <c r="AJ123" i="23"/>
  <c r="AL123" i="23"/>
  <c r="AJ64" i="19"/>
  <c r="AM64" i="19" s="1"/>
  <c r="AN64" i="19"/>
  <c r="AA65" i="19"/>
  <c r="AC65" i="19"/>
  <c r="AA66" i="19" s="1"/>
  <c r="AE65" i="19"/>
  <c r="AG65" i="20"/>
  <c r="U66" i="20"/>
  <c r="V66" i="20" s="1"/>
  <c r="AH66" i="20" s="1"/>
  <c r="AC65" i="20"/>
  <c r="AA66" i="20" s="1"/>
  <c r="AE65" i="20"/>
  <c r="AL65" i="20" s="1"/>
  <c r="Z66" i="20"/>
  <c r="AK65" i="20"/>
  <c r="W65" i="18"/>
  <c r="AI65" i="18" s="1"/>
  <c r="AJ64" i="18"/>
  <c r="AM64" i="18" s="1"/>
  <c r="AA65" i="18"/>
  <c r="AN64" i="18"/>
  <c r="X67" i="16"/>
  <c r="U68" i="16" s="1"/>
  <c r="AM69" i="11"/>
  <c r="AO69" i="11" s="1"/>
  <c r="X70" i="11"/>
  <c r="AG70" i="11" s="1"/>
  <c r="X64" i="10"/>
  <c r="AF64" i="10" s="1"/>
  <c r="AM63" i="10"/>
  <c r="AO63" i="10" s="1"/>
  <c r="AI65" i="19" l="1"/>
  <c r="AG65" i="19"/>
  <c r="AB65" i="19"/>
  <c r="Z66" i="19" s="1"/>
  <c r="AM123" i="23"/>
  <c r="AO123" i="23" s="1"/>
  <c r="X124" i="23"/>
  <c r="AH131" i="23"/>
  <c r="AH129" i="23"/>
  <c r="AH133" i="23"/>
  <c r="AI129" i="23"/>
  <c r="AI131" i="23"/>
  <c r="AI133" i="23"/>
  <c r="AL65" i="19"/>
  <c r="AO64" i="19"/>
  <c r="AN65" i="19"/>
  <c r="AJ65" i="19"/>
  <c r="AK65" i="19"/>
  <c r="W66" i="19"/>
  <c r="AN65" i="20"/>
  <c r="AJ65" i="20"/>
  <c r="AM65" i="20" s="1"/>
  <c r="W66" i="20"/>
  <c r="X66" i="20" s="1"/>
  <c r="X65" i="18"/>
  <c r="AB65" i="18" s="1"/>
  <c r="Z66" i="18" s="1"/>
  <c r="AO64" i="18"/>
  <c r="AB67" i="16"/>
  <c r="Z68" i="16" s="1"/>
  <c r="AC67" i="16"/>
  <c r="AA68" i="16" s="1"/>
  <c r="AE67" i="16"/>
  <c r="AL67" i="16" s="1"/>
  <c r="AG67" i="16"/>
  <c r="V68" i="16"/>
  <c r="AH68" i="16" s="1"/>
  <c r="AB70" i="11"/>
  <c r="Z71" i="11" s="1"/>
  <c r="U71" i="11"/>
  <c r="V71" i="11" s="1"/>
  <c r="AH71" i="11" s="1"/>
  <c r="AC70" i="11"/>
  <c r="AN70" i="11" s="1"/>
  <c r="AE64" i="10"/>
  <c r="AE70" i="11"/>
  <c r="AJ70" i="11" s="1"/>
  <c r="AB64" i="10"/>
  <c r="Z65" i="10" s="1"/>
  <c r="AG64" i="10"/>
  <c r="AC64" i="10"/>
  <c r="AA65" i="10" s="1"/>
  <c r="AC124" i="23" l="1"/>
  <c r="AN124" i="23" s="1"/>
  <c r="AG124" i="23"/>
  <c r="AE124" i="23"/>
  <c r="AB124" i="23"/>
  <c r="AK124" i="23" s="1"/>
  <c r="AM65" i="19"/>
  <c r="AO65" i="19" s="1"/>
  <c r="X66" i="19"/>
  <c r="AB66" i="19" s="1"/>
  <c r="AI66" i="19"/>
  <c r="AI66" i="20"/>
  <c r="AB66" i="20"/>
  <c r="AG66" i="20"/>
  <c r="AE66" i="20"/>
  <c r="AL66" i="20" s="1"/>
  <c r="U67" i="20"/>
  <c r="V67" i="20" s="1"/>
  <c r="AH67" i="20" s="1"/>
  <c r="AC66" i="20"/>
  <c r="AA67" i="20" s="1"/>
  <c r="AO65" i="20"/>
  <c r="AE65" i="18"/>
  <c r="AL65" i="18" s="1"/>
  <c r="AG65" i="18"/>
  <c r="U66" i="18"/>
  <c r="V66" i="18" s="1"/>
  <c r="AH66" i="18" s="1"/>
  <c r="AC65" i="18"/>
  <c r="AN65" i="18" s="1"/>
  <c r="AK65" i="18"/>
  <c r="AK67" i="16"/>
  <c r="AJ67" i="16"/>
  <c r="AN67" i="16"/>
  <c r="W68" i="16"/>
  <c r="AI68" i="16" s="1"/>
  <c r="AA71" i="11"/>
  <c r="AK70" i="11"/>
  <c r="AL70" i="11"/>
  <c r="AN64" i="10"/>
  <c r="W71" i="11"/>
  <c r="AI71" i="11" s="1"/>
  <c r="AK64" i="10"/>
  <c r="U65" i="10"/>
  <c r="AJ64" i="10"/>
  <c r="AJ124" i="23" l="1"/>
  <c r="AE129" i="23"/>
  <c r="AE131" i="23"/>
  <c r="AE133" i="23"/>
  <c r="AL124" i="23"/>
  <c r="AG129" i="23"/>
  <c r="AG133" i="23"/>
  <c r="AG131" i="23"/>
  <c r="AK129" i="23"/>
  <c r="AK133" i="23"/>
  <c r="AK131" i="23"/>
  <c r="AN131" i="23"/>
  <c r="AN133" i="23"/>
  <c r="AN129" i="23"/>
  <c r="U67" i="19"/>
  <c r="V67" i="19" s="1"/>
  <c r="AH67" i="19" s="1"/>
  <c r="AC66" i="19"/>
  <c r="AA67" i="19" s="1"/>
  <c r="AG66" i="19"/>
  <c r="AE66" i="19"/>
  <c r="AL66" i="19" s="1"/>
  <c r="Z67" i="19"/>
  <c r="AK66" i="19"/>
  <c r="AN66" i="20"/>
  <c r="AJ66" i="20"/>
  <c r="Z67" i="20"/>
  <c r="AK66" i="20"/>
  <c r="W67" i="20"/>
  <c r="AA66" i="18"/>
  <c r="AJ65" i="18"/>
  <c r="AM65" i="18" s="1"/>
  <c r="W66" i="18"/>
  <c r="X66" i="18" s="1"/>
  <c r="AM67" i="16"/>
  <c r="AO67" i="16" s="1"/>
  <c r="X68" i="16"/>
  <c r="U69" i="16" s="1"/>
  <c r="AM70" i="11"/>
  <c r="AO70" i="11" s="1"/>
  <c r="X71" i="11"/>
  <c r="V65" i="10"/>
  <c r="AH65" i="10" s="1"/>
  <c r="AL64" i="10"/>
  <c r="AM64" i="10" s="1"/>
  <c r="AO64" i="10" s="1"/>
  <c r="AL129" i="23" l="1"/>
  <c r="AL133" i="23"/>
  <c r="AL131" i="23"/>
  <c r="AM124" i="23"/>
  <c r="AJ131" i="23"/>
  <c r="AJ129" i="23"/>
  <c r="AJ133" i="23"/>
  <c r="AN66" i="19"/>
  <c r="AJ66" i="19"/>
  <c r="AM66" i="19" s="1"/>
  <c r="W67" i="19"/>
  <c r="AM66" i="20"/>
  <c r="AO66" i="20" s="1"/>
  <c r="X67" i="20"/>
  <c r="AB67" i="20" s="1"/>
  <c r="AI67" i="20"/>
  <c r="AI66" i="18"/>
  <c r="AE66" i="18"/>
  <c r="U67" i="18"/>
  <c r="AG66" i="18"/>
  <c r="AC66" i="18"/>
  <c r="AB66" i="18"/>
  <c r="AO65" i="18"/>
  <c r="AB68" i="16"/>
  <c r="AK68" i="16" s="1"/>
  <c r="AE68" i="16"/>
  <c r="AL68" i="16" s="1"/>
  <c r="AC68" i="16"/>
  <c r="AA69" i="16" s="1"/>
  <c r="AG68" i="16"/>
  <c r="V69" i="16"/>
  <c r="AH69" i="16" s="1"/>
  <c r="AE71" i="11"/>
  <c r="U72" i="11"/>
  <c r="AG71" i="11"/>
  <c r="AC71" i="11"/>
  <c r="AB71" i="11"/>
  <c r="W65" i="10"/>
  <c r="AI65" i="10" s="1"/>
  <c r="AO124" i="23" l="1"/>
  <c r="AM131" i="23"/>
  <c r="AZ5" i="23" s="1"/>
  <c r="AM129" i="23"/>
  <c r="AM133" i="23"/>
  <c r="AQ4" i="23" s="1"/>
  <c r="AO66" i="19"/>
  <c r="X67" i="19"/>
  <c r="AB67" i="19" s="1"/>
  <c r="AI67" i="19"/>
  <c r="AG67" i="20"/>
  <c r="U68" i="20"/>
  <c r="V68" i="20" s="1"/>
  <c r="AH68" i="20" s="1"/>
  <c r="AE67" i="20"/>
  <c r="AL67" i="20" s="1"/>
  <c r="AC67" i="20"/>
  <c r="AN67" i="20" s="1"/>
  <c r="Z68" i="20"/>
  <c r="AK67" i="20"/>
  <c r="Z67" i="18"/>
  <c r="AK66" i="18"/>
  <c r="V67" i="18"/>
  <c r="AH67" i="18" s="1"/>
  <c r="AA67" i="18"/>
  <c r="AN66" i="18"/>
  <c r="AL66" i="18"/>
  <c r="AJ66" i="18"/>
  <c r="AJ68" i="16"/>
  <c r="AM68" i="16" s="1"/>
  <c r="Z69" i="16"/>
  <c r="AN68" i="16"/>
  <c r="W69" i="16"/>
  <c r="AI69" i="16" s="1"/>
  <c r="Z72" i="11"/>
  <c r="AK71" i="11"/>
  <c r="AA72" i="11"/>
  <c r="AN71" i="11"/>
  <c r="V72" i="11"/>
  <c r="AH72" i="11" s="1"/>
  <c r="AJ71" i="11"/>
  <c r="AL71" i="11"/>
  <c r="X65" i="10"/>
  <c r="AO133" i="23" l="1"/>
  <c r="AQ6" i="23" s="1"/>
  <c r="AO129" i="23"/>
  <c r="AO131" i="23"/>
  <c r="AC67" i="19"/>
  <c r="AA68" i="19" s="1"/>
  <c r="AG67" i="19"/>
  <c r="U68" i="19"/>
  <c r="V68" i="19" s="1"/>
  <c r="AH68" i="19" s="1"/>
  <c r="AE67" i="19"/>
  <c r="AL67" i="19" s="1"/>
  <c r="Z68" i="19"/>
  <c r="AK67" i="19"/>
  <c r="AA68" i="20"/>
  <c r="AJ67" i="20"/>
  <c r="AM67" i="20" s="1"/>
  <c r="AO67" i="20" s="1"/>
  <c r="W68" i="20"/>
  <c r="AI68" i="20" s="1"/>
  <c r="W67" i="18"/>
  <c r="AM66" i="18"/>
  <c r="AO68" i="16"/>
  <c r="X69" i="16"/>
  <c r="AM71" i="11"/>
  <c r="AO71" i="11" s="1"/>
  <c r="W72" i="11"/>
  <c r="AI72" i="11" s="1"/>
  <c r="U66" i="10"/>
  <c r="V66" i="10" s="1"/>
  <c r="AH66" i="10" s="1"/>
  <c r="AE65" i="10"/>
  <c r="AF65" i="10"/>
  <c r="AG65" i="10"/>
  <c r="AC65" i="10"/>
  <c r="AB65" i="10"/>
  <c r="AN67" i="19" l="1"/>
  <c r="AJ67" i="19"/>
  <c r="AM67" i="19" s="1"/>
  <c r="W68" i="19"/>
  <c r="X68" i="20"/>
  <c r="AB68" i="20" s="1"/>
  <c r="Z69" i="20" s="1"/>
  <c r="AO66" i="18"/>
  <c r="X67" i="18"/>
  <c r="AI67" i="18"/>
  <c r="AB69" i="16"/>
  <c r="AE69" i="16"/>
  <c r="U70" i="16"/>
  <c r="V70" i="16" s="1"/>
  <c r="AH70" i="16" s="1"/>
  <c r="AC69" i="16"/>
  <c r="AG69" i="16"/>
  <c r="X72" i="11"/>
  <c r="AJ65" i="10"/>
  <c r="AA66" i="10"/>
  <c r="AN65" i="10"/>
  <c r="Z66" i="10"/>
  <c r="AK65" i="10"/>
  <c r="W66" i="10"/>
  <c r="AI66" i="10" s="1"/>
  <c r="AL65" i="10"/>
  <c r="AO67" i="19" l="1"/>
  <c r="X68" i="19"/>
  <c r="AI68" i="19"/>
  <c r="AE68" i="20"/>
  <c r="AL68" i="20" s="1"/>
  <c r="AG68" i="20"/>
  <c r="AC68" i="20"/>
  <c r="AN68" i="20" s="1"/>
  <c r="U69" i="20"/>
  <c r="V69" i="20" s="1"/>
  <c r="AH69" i="20" s="1"/>
  <c r="AK68" i="20"/>
  <c r="AC67" i="18"/>
  <c r="U68" i="18"/>
  <c r="AE67" i="18"/>
  <c r="AG67" i="18"/>
  <c r="AB67" i="18"/>
  <c r="W70" i="16"/>
  <c r="AI70" i="16" s="1"/>
  <c r="AA70" i="16"/>
  <c r="AN69" i="16"/>
  <c r="AJ69" i="16"/>
  <c r="AL69" i="16"/>
  <c r="Z70" i="16"/>
  <c r="AK69" i="16"/>
  <c r="AM65" i="10"/>
  <c r="AO65" i="10" s="1"/>
  <c r="X66" i="10"/>
  <c r="AE66" i="10" s="1"/>
  <c r="AG72" i="11"/>
  <c r="AE72" i="11"/>
  <c r="U73" i="11"/>
  <c r="AC72" i="11"/>
  <c r="AB72" i="11"/>
  <c r="AA69" i="20" l="1"/>
  <c r="AB68" i="19"/>
  <c r="AC68" i="19"/>
  <c r="AE68" i="19"/>
  <c r="AG68" i="19"/>
  <c r="U69" i="19"/>
  <c r="V69" i="19" s="1"/>
  <c r="AH69" i="19" s="1"/>
  <c r="AJ68" i="20"/>
  <c r="AM68" i="20" s="1"/>
  <c r="AO68" i="20" s="1"/>
  <c r="W69" i="20"/>
  <c r="Z68" i="18"/>
  <c r="AK67" i="18"/>
  <c r="V68" i="18"/>
  <c r="AH68" i="18" s="1"/>
  <c r="AA68" i="18"/>
  <c r="AN67" i="18"/>
  <c r="AL67" i="18"/>
  <c r="AJ67" i="18"/>
  <c r="X70" i="16"/>
  <c r="U71" i="16" s="1"/>
  <c r="AM69" i="16"/>
  <c r="AO69" i="16" s="1"/>
  <c r="U67" i="10"/>
  <c r="V67" i="10" s="1"/>
  <c r="W67" i="10" s="1"/>
  <c r="AI67" i="10" s="1"/>
  <c r="AC66" i="10"/>
  <c r="AA67" i="10" s="1"/>
  <c r="AG66" i="10"/>
  <c r="AB66" i="10"/>
  <c r="AF66" i="10"/>
  <c r="Z73" i="11"/>
  <c r="AK72" i="11"/>
  <c r="AA73" i="11"/>
  <c r="AN72" i="11"/>
  <c r="V73" i="11"/>
  <c r="AH73" i="11" s="1"/>
  <c r="AJ72" i="11"/>
  <c r="AL72" i="11"/>
  <c r="W69" i="19" l="1"/>
  <c r="AJ68" i="19"/>
  <c r="AL68" i="19"/>
  <c r="AA69" i="19"/>
  <c r="AN68" i="19"/>
  <c r="Z69" i="19"/>
  <c r="AK68" i="19"/>
  <c r="X69" i="20"/>
  <c r="AB69" i="20" s="1"/>
  <c r="AI69" i="20"/>
  <c r="W68" i="18"/>
  <c r="AM67" i="18"/>
  <c r="AE70" i="16"/>
  <c r="AL70" i="16" s="1"/>
  <c r="AB70" i="16"/>
  <c r="Z71" i="16" s="1"/>
  <c r="AC70" i="16"/>
  <c r="AN70" i="16" s="1"/>
  <c r="AG70" i="16"/>
  <c r="V71" i="16"/>
  <c r="AH71" i="16" s="1"/>
  <c r="AJ66" i="10"/>
  <c r="AN66" i="10"/>
  <c r="AL66" i="10"/>
  <c r="AH67" i="10"/>
  <c r="Z67" i="10"/>
  <c r="AK66" i="10"/>
  <c r="AM72" i="11"/>
  <c r="AO72" i="11" s="1"/>
  <c r="W73" i="11"/>
  <c r="X67" i="10"/>
  <c r="AF67" i="10" s="1"/>
  <c r="AM68" i="19" l="1"/>
  <c r="AO68" i="19" s="1"/>
  <c r="X69" i="19"/>
  <c r="AI69" i="19"/>
  <c r="AC69" i="20"/>
  <c r="AN69" i="20" s="1"/>
  <c r="AE69" i="20"/>
  <c r="AL69" i="20" s="1"/>
  <c r="AG69" i="20"/>
  <c r="U70" i="20"/>
  <c r="V70" i="20" s="1"/>
  <c r="AH70" i="20" s="1"/>
  <c r="Z70" i="20"/>
  <c r="AK69" i="20"/>
  <c r="AI68" i="18"/>
  <c r="X68" i="18"/>
  <c r="AO67" i="18"/>
  <c r="AK70" i="16"/>
  <c r="AA71" i="16"/>
  <c r="AJ70" i="16"/>
  <c r="W71" i="16"/>
  <c r="AI71" i="16" s="1"/>
  <c r="AM66" i="10"/>
  <c r="AO66" i="10" s="1"/>
  <c r="AI73" i="11"/>
  <c r="X73" i="11"/>
  <c r="AE67" i="10"/>
  <c r="AB67" i="10"/>
  <c r="Z68" i="10" s="1"/>
  <c r="AC67" i="10"/>
  <c r="AN67" i="10" s="1"/>
  <c r="AG67" i="10"/>
  <c r="U68" i="10"/>
  <c r="AB69" i="19" l="1"/>
  <c r="U70" i="19"/>
  <c r="V70" i="19" s="1"/>
  <c r="AH70" i="19" s="1"/>
  <c r="AE69" i="19"/>
  <c r="AG69" i="19"/>
  <c r="AC69" i="19"/>
  <c r="AA70" i="20"/>
  <c r="AJ69" i="20"/>
  <c r="AM69" i="20" s="1"/>
  <c r="AO69" i="20" s="1"/>
  <c r="W70" i="20"/>
  <c r="X70" i="20" s="1"/>
  <c r="U69" i="18"/>
  <c r="V69" i="18" s="1"/>
  <c r="AH69" i="18" s="1"/>
  <c r="AE68" i="18"/>
  <c r="AC68" i="18"/>
  <c r="AB68" i="18"/>
  <c r="AG68" i="18"/>
  <c r="AM70" i="16"/>
  <c r="AO70" i="16" s="1"/>
  <c r="X71" i="16"/>
  <c r="AG71" i="16" s="1"/>
  <c r="AA68" i="10"/>
  <c r="U74" i="11"/>
  <c r="AE73" i="11"/>
  <c r="AG73" i="11"/>
  <c r="AC73" i="11"/>
  <c r="AB73" i="11"/>
  <c r="AK67" i="10"/>
  <c r="V68" i="10"/>
  <c r="AH68" i="10" s="1"/>
  <c r="W70" i="19" l="1"/>
  <c r="X70" i="19" s="1"/>
  <c r="AB70" i="19" s="1"/>
  <c r="Z71" i="19" s="1"/>
  <c r="AA70" i="19"/>
  <c r="AN69" i="19"/>
  <c r="AJ69" i="19"/>
  <c r="AL69" i="19"/>
  <c r="Z70" i="19"/>
  <c r="AK69" i="19"/>
  <c r="AI70" i="20"/>
  <c r="AB70" i="20"/>
  <c r="AE70" i="20"/>
  <c r="AL70" i="20" s="1"/>
  <c r="AC70" i="20"/>
  <c r="AA71" i="20" s="1"/>
  <c r="AG70" i="20"/>
  <c r="U71" i="20"/>
  <c r="W69" i="18"/>
  <c r="AI69" i="18" s="1"/>
  <c r="Z69" i="18"/>
  <c r="AK68" i="18"/>
  <c r="AL68" i="18"/>
  <c r="AJ68" i="18"/>
  <c r="AA69" i="18"/>
  <c r="AN68" i="18"/>
  <c r="AB71" i="16"/>
  <c r="Z72" i="16" s="1"/>
  <c r="AC71" i="16"/>
  <c r="AN71" i="16" s="1"/>
  <c r="AE71" i="16"/>
  <c r="AJ71" i="16" s="1"/>
  <c r="U72" i="16"/>
  <c r="V72" i="16" s="1"/>
  <c r="AH72" i="16" s="1"/>
  <c r="Z74" i="11"/>
  <c r="AK73" i="11"/>
  <c r="AA74" i="11"/>
  <c r="AN73" i="11"/>
  <c r="AJ73" i="11"/>
  <c r="AL73" i="11"/>
  <c r="V74" i="11"/>
  <c r="AH74" i="11" s="1"/>
  <c r="W68" i="10"/>
  <c r="AI68" i="10" s="1"/>
  <c r="AJ67" i="10"/>
  <c r="AL67" i="10"/>
  <c r="AI70" i="19" l="1"/>
  <c r="AM69" i="19"/>
  <c r="AO69" i="19" s="1"/>
  <c r="AG70" i="19"/>
  <c r="AC70" i="19"/>
  <c r="AA71" i="19" s="1"/>
  <c r="AE70" i="19"/>
  <c r="U71" i="19"/>
  <c r="V71" i="19" s="1"/>
  <c r="AK70" i="19"/>
  <c r="AJ70" i="20"/>
  <c r="AN70" i="20"/>
  <c r="V71" i="20"/>
  <c r="AH71" i="20" s="1"/>
  <c r="Z71" i="20"/>
  <c r="AK70" i="20"/>
  <c r="X69" i="18"/>
  <c r="AE69" i="18" s="1"/>
  <c r="AL69" i="18" s="1"/>
  <c r="AM68" i="18"/>
  <c r="AO68" i="18" s="1"/>
  <c r="AA72" i="16"/>
  <c r="AK71" i="16"/>
  <c r="AL71" i="16"/>
  <c r="W72" i="16"/>
  <c r="X68" i="10"/>
  <c r="AF68" i="10" s="1"/>
  <c r="W74" i="11"/>
  <c r="AI74" i="11" s="1"/>
  <c r="AM73" i="11"/>
  <c r="AO73" i="11" s="1"/>
  <c r="AM67" i="10"/>
  <c r="AO67" i="10" s="1"/>
  <c r="AJ70" i="19" l="1"/>
  <c r="AL70" i="19"/>
  <c r="AN70" i="19"/>
  <c r="AH71" i="19"/>
  <c r="W71" i="19"/>
  <c r="AI71" i="19" s="1"/>
  <c r="AM70" i="20"/>
  <c r="AO70" i="20" s="1"/>
  <c r="W71" i="20"/>
  <c r="AC69" i="18"/>
  <c r="AN69" i="18" s="1"/>
  <c r="U70" i="18"/>
  <c r="V70" i="18" s="1"/>
  <c r="AH70" i="18" s="1"/>
  <c r="AG69" i="18"/>
  <c r="AJ69" i="18" s="1"/>
  <c r="AB69" i="18"/>
  <c r="AM71" i="16"/>
  <c r="AO71" i="16" s="1"/>
  <c r="AI72" i="16"/>
  <c r="X72" i="16"/>
  <c r="AE68" i="10"/>
  <c r="AB68" i="10"/>
  <c r="Z69" i="10" s="1"/>
  <c r="AC68" i="10"/>
  <c r="AA69" i="10" s="1"/>
  <c r="AG68" i="10"/>
  <c r="X74" i="11"/>
  <c r="U75" i="11" s="1"/>
  <c r="AM70" i="19" l="1"/>
  <c r="AO70" i="19" s="1"/>
  <c r="X71" i="19"/>
  <c r="AI71" i="20"/>
  <c r="X71" i="20"/>
  <c r="AA70" i="18"/>
  <c r="W70" i="18"/>
  <c r="AI70" i="18" s="1"/>
  <c r="AK69" i="18"/>
  <c r="AM69" i="18" s="1"/>
  <c r="AO69" i="18" s="1"/>
  <c r="Z70" i="18"/>
  <c r="AG72" i="16"/>
  <c r="AE72" i="16"/>
  <c r="U73" i="16"/>
  <c r="AC72" i="16"/>
  <c r="AB72" i="16"/>
  <c r="AE74" i="11"/>
  <c r="AL74" i="11" s="1"/>
  <c r="AB74" i="11"/>
  <c r="Z75" i="11" s="1"/>
  <c r="AG74" i="11"/>
  <c r="AN68" i="10"/>
  <c r="AK68" i="10"/>
  <c r="AC74" i="11"/>
  <c r="AA75" i="11" s="1"/>
  <c r="V75" i="11"/>
  <c r="AH75" i="11" s="1"/>
  <c r="U69" i="10"/>
  <c r="AB71" i="19" l="1"/>
  <c r="AC71" i="19"/>
  <c r="U72" i="19"/>
  <c r="V72" i="19" s="1"/>
  <c r="AH72" i="19" s="1"/>
  <c r="AE71" i="19"/>
  <c r="AG71" i="19"/>
  <c r="AB71" i="20"/>
  <c r="AG71" i="20"/>
  <c r="AC71" i="20"/>
  <c r="U72" i="20"/>
  <c r="V72" i="20" s="1"/>
  <c r="AH72" i="20" s="1"/>
  <c r="AE71" i="20"/>
  <c r="X70" i="18"/>
  <c r="AE70" i="18" s="1"/>
  <c r="AK74" i="11"/>
  <c r="AA73" i="16"/>
  <c r="AN72" i="16"/>
  <c r="AJ72" i="16"/>
  <c r="AL72" i="16"/>
  <c r="Z73" i="16"/>
  <c r="AK72" i="16"/>
  <c r="V73" i="16"/>
  <c r="AH73" i="16" s="1"/>
  <c r="AJ74" i="11"/>
  <c r="AN74" i="11"/>
  <c r="W75" i="11"/>
  <c r="V69" i="10"/>
  <c r="AH69" i="10" s="1"/>
  <c r="AJ68" i="10"/>
  <c r="AL68" i="10"/>
  <c r="AM74" i="11" l="1"/>
  <c r="W72" i="19"/>
  <c r="AI72" i="19" s="1"/>
  <c r="AA72" i="19"/>
  <c r="AN71" i="19"/>
  <c r="AL71" i="19"/>
  <c r="AJ71" i="19"/>
  <c r="Z72" i="19"/>
  <c r="AK71" i="19"/>
  <c r="W72" i="20"/>
  <c r="X72" i="20" s="1"/>
  <c r="AB72" i="20" s="1"/>
  <c r="AA72" i="20"/>
  <c r="AN71" i="20"/>
  <c r="AJ71" i="20"/>
  <c r="AL71" i="20"/>
  <c r="Z72" i="20"/>
  <c r="AK71" i="20"/>
  <c r="AB70" i="18"/>
  <c r="AK70" i="18" s="1"/>
  <c r="AC70" i="18"/>
  <c r="AN70" i="18" s="1"/>
  <c r="AG70" i="18"/>
  <c r="AJ70" i="18" s="1"/>
  <c r="U71" i="18"/>
  <c r="V71" i="18" s="1"/>
  <c r="AH71" i="18" s="1"/>
  <c r="AL70" i="18"/>
  <c r="W73" i="16"/>
  <c r="AI73" i="16" s="1"/>
  <c r="AM72" i="16"/>
  <c r="AO72" i="16" s="1"/>
  <c r="AO74" i="11"/>
  <c r="AI75" i="11"/>
  <c r="X75" i="11"/>
  <c r="AM68" i="10"/>
  <c r="AO68" i="10" s="1"/>
  <c r="W69" i="10"/>
  <c r="AI69" i="10" s="1"/>
  <c r="X72" i="19" l="1"/>
  <c r="AC72" i="19" s="1"/>
  <c r="AM71" i="19"/>
  <c r="AO71" i="19" s="1"/>
  <c r="AI72" i="20"/>
  <c r="AM71" i="20"/>
  <c r="AO71" i="20" s="1"/>
  <c r="AG72" i="20"/>
  <c r="AC72" i="20"/>
  <c r="AA73" i="20" s="1"/>
  <c r="AE72" i="20"/>
  <c r="AL72" i="20" s="1"/>
  <c r="U73" i="20"/>
  <c r="V73" i="20" s="1"/>
  <c r="AH73" i="20" s="1"/>
  <c r="Z73" i="20"/>
  <c r="AK72" i="20"/>
  <c r="AA71" i="18"/>
  <c r="Z71" i="18"/>
  <c r="W71" i="18"/>
  <c r="X71" i="18" s="1"/>
  <c r="AM70" i="18"/>
  <c r="X73" i="16"/>
  <c r="U74" i="16" s="1"/>
  <c r="AE75" i="11"/>
  <c r="U76" i="11"/>
  <c r="AG75" i="11"/>
  <c r="AC75" i="11"/>
  <c r="AB75" i="11"/>
  <c r="X69" i="10"/>
  <c r="U73" i="19" l="1"/>
  <c r="V73" i="19" s="1"/>
  <c r="AH73" i="19" s="1"/>
  <c r="AE72" i="19"/>
  <c r="AL72" i="19" s="1"/>
  <c r="AA73" i="19"/>
  <c r="AN72" i="19"/>
  <c r="AB72" i="19"/>
  <c r="AG72" i="19"/>
  <c r="AN72" i="20"/>
  <c r="AJ72" i="20"/>
  <c r="AM72" i="20" s="1"/>
  <c r="W73" i="20"/>
  <c r="AI71" i="18"/>
  <c r="AC71" i="18"/>
  <c r="AE71" i="18"/>
  <c r="AL71" i="18" s="1"/>
  <c r="U72" i="18"/>
  <c r="AG71" i="18"/>
  <c r="AB71" i="18"/>
  <c r="AO70" i="18"/>
  <c r="AB73" i="16"/>
  <c r="AK73" i="16" s="1"/>
  <c r="AC73" i="16"/>
  <c r="AA74" i="16" s="1"/>
  <c r="AE73" i="16"/>
  <c r="AL73" i="16" s="1"/>
  <c r="AG73" i="16"/>
  <c r="V74" i="16"/>
  <c r="AH74" i="16" s="1"/>
  <c r="Z76" i="11"/>
  <c r="AK75" i="11"/>
  <c r="AA76" i="11"/>
  <c r="AN75" i="11"/>
  <c r="V76" i="11"/>
  <c r="AH76" i="11" s="1"/>
  <c r="AJ75" i="11"/>
  <c r="AL75" i="11"/>
  <c r="U70" i="10"/>
  <c r="V70" i="10" s="1"/>
  <c r="AH70" i="10" s="1"/>
  <c r="AF69" i="10"/>
  <c r="AE69" i="10"/>
  <c r="AG69" i="10"/>
  <c r="AC69" i="10"/>
  <c r="AB69" i="10"/>
  <c r="AJ72" i="19" l="1"/>
  <c r="W73" i="19"/>
  <c r="Z73" i="19"/>
  <c r="AK72" i="19"/>
  <c r="AM72" i="19" s="1"/>
  <c r="AO72" i="19" s="1"/>
  <c r="X73" i="19"/>
  <c r="AB73" i="19" s="1"/>
  <c r="AI73" i="19"/>
  <c r="AO72" i="20"/>
  <c r="AI73" i="20"/>
  <c r="X73" i="20"/>
  <c r="AJ71" i="18"/>
  <c r="Z72" i="18"/>
  <c r="AK71" i="18"/>
  <c r="V72" i="18"/>
  <c r="AH72" i="18" s="1"/>
  <c r="AA72" i="18"/>
  <c r="AN71" i="18"/>
  <c r="Z74" i="16"/>
  <c r="AN73" i="16"/>
  <c r="AJ73" i="16"/>
  <c r="AM73" i="16" s="1"/>
  <c r="W74" i="16"/>
  <c r="AI74" i="16" s="1"/>
  <c r="AM75" i="11"/>
  <c r="AO75" i="11" s="1"/>
  <c r="W76" i="11"/>
  <c r="AI76" i="11" s="1"/>
  <c r="W70" i="10"/>
  <c r="AL69" i="10"/>
  <c r="AA70" i="10"/>
  <c r="AN69" i="10"/>
  <c r="X70" i="10"/>
  <c r="U71" i="10" s="1"/>
  <c r="AI70" i="10"/>
  <c r="Z70" i="10"/>
  <c r="AK69" i="10"/>
  <c r="AJ69" i="10"/>
  <c r="AC73" i="19" l="1"/>
  <c r="AN73" i="19" s="1"/>
  <c r="U74" i="19"/>
  <c r="V74" i="19" s="1"/>
  <c r="AH74" i="19" s="1"/>
  <c r="AE73" i="19"/>
  <c r="AL73" i="19" s="1"/>
  <c r="AG73" i="19"/>
  <c r="Z74" i="19"/>
  <c r="AK73" i="19"/>
  <c r="AG73" i="20"/>
  <c r="AE73" i="20"/>
  <c r="AC73" i="20"/>
  <c r="U74" i="20"/>
  <c r="AB73" i="20"/>
  <c r="AM71" i="18"/>
  <c r="AO71" i="18" s="1"/>
  <c r="W72" i="18"/>
  <c r="AO73" i="16"/>
  <c r="X74" i="16"/>
  <c r="AE74" i="16" s="1"/>
  <c r="X76" i="11"/>
  <c r="AM69" i="10"/>
  <c r="AO69" i="10" s="1"/>
  <c r="AE70" i="10"/>
  <c r="AF70" i="10"/>
  <c r="AG70" i="10"/>
  <c r="AC70" i="10"/>
  <c r="AA71" i="10" s="1"/>
  <c r="AB70" i="10"/>
  <c r="Z71" i="10" s="1"/>
  <c r="V71" i="10"/>
  <c r="AA74" i="19" l="1"/>
  <c r="AJ73" i="19"/>
  <c r="AM73" i="19" s="1"/>
  <c r="AO73" i="19" s="1"/>
  <c r="W74" i="19"/>
  <c r="V74" i="20"/>
  <c r="AH74" i="20" s="1"/>
  <c r="Z74" i="20"/>
  <c r="AK73" i="20"/>
  <c r="AA74" i="20"/>
  <c r="AN73" i="20"/>
  <c r="AL73" i="20"/>
  <c r="AJ73" i="20"/>
  <c r="X72" i="18"/>
  <c r="AI72" i="18"/>
  <c r="AC74" i="16"/>
  <c r="AN74" i="16" s="1"/>
  <c r="AB74" i="16"/>
  <c r="AK74" i="16" s="1"/>
  <c r="AG74" i="16"/>
  <c r="AJ74" i="16" s="1"/>
  <c r="U75" i="16"/>
  <c r="V75" i="16" s="1"/>
  <c r="AH75" i="16" s="1"/>
  <c r="AL74" i="16"/>
  <c r="AK70" i="10"/>
  <c r="U77" i="11"/>
  <c r="AG76" i="11"/>
  <c r="AE76" i="11"/>
  <c r="AC76" i="11"/>
  <c r="AB76" i="11"/>
  <c r="AN70" i="10"/>
  <c r="W71" i="10"/>
  <c r="AI71" i="10" s="1"/>
  <c r="AH71" i="10"/>
  <c r="AJ70" i="10"/>
  <c r="AL70" i="10"/>
  <c r="X74" i="19" l="1"/>
  <c r="AB74" i="19" s="1"/>
  <c r="AI74" i="19"/>
  <c r="W74" i="20"/>
  <c r="AI74" i="20" s="1"/>
  <c r="AM73" i="20"/>
  <c r="AO73" i="20" s="1"/>
  <c r="AE72" i="18"/>
  <c r="AL72" i="18" s="1"/>
  <c r="AC72" i="18"/>
  <c r="U73" i="18"/>
  <c r="AG72" i="18"/>
  <c r="AB72" i="18"/>
  <c r="Z75" i="16"/>
  <c r="AA75" i="16"/>
  <c r="W75" i="16"/>
  <c r="AI75" i="16" s="1"/>
  <c r="AM74" i="16"/>
  <c r="AO74" i="16" s="1"/>
  <c r="Z77" i="11"/>
  <c r="AK76" i="11"/>
  <c r="AA77" i="11"/>
  <c r="AN76" i="11"/>
  <c r="AJ76" i="11"/>
  <c r="AL76" i="11"/>
  <c r="V77" i="11"/>
  <c r="AH77" i="11" s="1"/>
  <c r="X71" i="10"/>
  <c r="AC71" i="10" s="1"/>
  <c r="AM70" i="10"/>
  <c r="AO70" i="10" s="1"/>
  <c r="AE74" i="19" l="1"/>
  <c r="AL74" i="19" s="1"/>
  <c r="AG74" i="19"/>
  <c r="AC74" i="19"/>
  <c r="AN74" i="19" s="1"/>
  <c r="U75" i="19"/>
  <c r="V75" i="19" s="1"/>
  <c r="AH75" i="19" s="1"/>
  <c r="Z75" i="19"/>
  <c r="AK74" i="19"/>
  <c r="X74" i="20"/>
  <c r="AE74" i="20" s="1"/>
  <c r="V73" i="18"/>
  <c r="AH73" i="18" s="1"/>
  <c r="Z73" i="18"/>
  <c r="AK72" i="18"/>
  <c r="AA73" i="18"/>
  <c r="AN72" i="18"/>
  <c r="AJ72" i="18"/>
  <c r="X75" i="16"/>
  <c r="U76" i="16" s="1"/>
  <c r="AG71" i="10"/>
  <c r="W77" i="11"/>
  <c r="AI77" i="11" s="1"/>
  <c r="AM76" i="11"/>
  <c r="AO76" i="11" s="1"/>
  <c r="AB71" i="10"/>
  <c r="Z72" i="10" s="1"/>
  <c r="AF71" i="10"/>
  <c r="AE71" i="10"/>
  <c r="AA72" i="10"/>
  <c r="AN71" i="10"/>
  <c r="AJ74" i="19" l="1"/>
  <c r="AM74" i="19" s="1"/>
  <c r="AA75" i="19"/>
  <c r="W75" i="19"/>
  <c r="AG74" i="20"/>
  <c r="AJ74" i="20" s="1"/>
  <c r="AB74" i="20"/>
  <c r="AK74" i="20" s="1"/>
  <c r="U75" i="20"/>
  <c r="V75" i="20" s="1"/>
  <c r="AH75" i="20" s="1"/>
  <c r="AC74" i="20"/>
  <c r="AN74" i="20" s="1"/>
  <c r="AL74" i="20"/>
  <c r="AM72" i="18"/>
  <c r="AO72" i="18" s="1"/>
  <c r="W73" i="18"/>
  <c r="X73" i="18" s="1"/>
  <c r="AB75" i="16"/>
  <c r="Z76" i="16" s="1"/>
  <c r="AG75" i="16"/>
  <c r="AE75" i="16"/>
  <c r="AL75" i="16" s="1"/>
  <c r="AC75" i="16"/>
  <c r="AN75" i="16" s="1"/>
  <c r="V76" i="16"/>
  <c r="AH76" i="16" s="1"/>
  <c r="X77" i="11"/>
  <c r="AG77" i="11" s="1"/>
  <c r="AK71" i="10"/>
  <c r="U72" i="10"/>
  <c r="Z75" i="20" l="1"/>
  <c r="AA75" i="20"/>
  <c r="X75" i="19"/>
  <c r="AI75" i="19"/>
  <c r="AO74" i="19"/>
  <c r="W75" i="20"/>
  <c r="AI75" i="20" s="1"/>
  <c r="AM74" i="20"/>
  <c r="AO74" i="20" s="1"/>
  <c r="AI73" i="18"/>
  <c r="U74" i="18"/>
  <c r="AE73" i="18"/>
  <c r="AL73" i="18" s="1"/>
  <c r="AG73" i="18"/>
  <c r="AC73" i="18"/>
  <c r="AB73" i="18"/>
  <c r="AK75" i="16"/>
  <c r="AA76" i="16"/>
  <c r="AJ75" i="16"/>
  <c r="W76" i="16"/>
  <c r="AI76" i="16" s="1"/>
  <c r="AB77" i="11"/>
  <c r="AK77" i="11" s="1"/>
  <c r="U78" i="11"/>
  <c r="AE77" i="11"/>
  <c r="AL77" i="11" s="1"/>
  <c r="AC77" i="11"/>
  <c r="AA78" i="11" s="1"/>
  <c r="V78" i="11"/>
  <c r="AH78" i="11" s="1"/>
  <c r="V72" i="10"/>
  <c r="AH72" i="10" s="1"/>
  <c r="AL71" i="10"/>
  <c r="AJ71" i="10"/>
  <c r="AE75" i="19" l="1"/>
  <c r="AC75" i="19"/>
  <c r="U76" i="19"/>
  <c r="AG75" i="19"/>
  <c r="AB75" i="19"/>
  <c r="X75" i="20"/>
  <c r="V74" i="18"/>
  <c r="AH74" i="18" s="1"/>
  <c r="Z74" i="18"/>
  <c r="AK73" i="18"/>
  <c r="AA74" i="18"/>
  <c r="AN73" i="18"/>
  <c r="AJ73" i="18"/>
  <c r="AM75" i="16"/>
  <c r="AO75" i="16" s="1"/>
  <c r="X76" i="16"/>
  <c r="AE76" i="16" s="1"/>
  <c r="AJ77" i="11"/>
  <c r="AM77" i="11" s="1"/>
  <c r="Z78" i="11"/>
  <c r="AN77" i="11"/>
  <c r="W78" i="11"/>
  <c r="AI78" i="11" s="1"/>
  <c r="W72" i="10"/>
  <c r="AI72" i="10" s="1"/>
  <c r="AM71" i="10"/>
  <c r="AO71" i="10" s="1"/>
  <c r="Z76" i="19" l="1"/>
  <c r="AK75" i="19"/>
  <c r="V76" i="19"/>
  <c r="AH76" i="19" s="1"/>
  <c r="AA76" i="19"/>
  <c r="AN75" i="19"/>
  <c r="AL75" i="19"/>
  <c r="AJ75" i="19"/>
  <c r="U76" i="20"/>
  <c r="V76" i="20" s="1"/>
  <c r="AH76" i="20" s="1"/>
  <c r="AC75" i="20"/>
  <c r="AB75" i="20"/>
  <c r="AG75" i="20"/>
  <c r="AE75" i="20"/>
  <c r="W74" i="18"/>
  <c r="X74" i="18" s="1"/>
  <c r="AM73" i="18"/>
  <c r="AO73" i="18" s="1"/>
  <c r="AG76" i="16"/>
  <c r="AJ76" i="16" s="1"/>
  <c r="AB76" i="16"/>
  <c r="AK76" i="16" s="1"/>
  <c r="AC76" i="16"/>
  <c r="AA77" i="16" s="1"/>
  <c r="U77" i="16"/>
  <c r="V77" i="16" s="1"/>
  <c r="AH77" i="16" s="1"/>
  <c r="AL76" i="16"/>
  <c r="AO77" i="11"/>
  <c r="X78" i="11"/>
  <c r="AE78" i="11" s="1"/>
  <c r="X72" i="10"/>
  <c r="U73" i="10" s="1"/>
  <c r="W76" i="19" l="1"/>
  <c r="X76" i="19" s="1"/>
  <c r="AM75" i="19"/>
  <c r="W76" i="20"/>
  <c r="AI76" i="20" s="1"/>
  <c r="AL75" i="20"/>
  <c r="AJ75" i="20"/>
  <c r="AA76" i="20"/>
  <c r="AN75" i="20"/>
  <c r="AK75" i="20"/>
  <c r="Z76" i="20"/>
  <c r="AI74" i="18"/>
  <c r="AE74" i="18"/>
  <c r="AL74" i="18" s="1"/>
  <c r="AG74" i="18"/>
  <c r="U75" i="18"/>
  <c r="AC74" i="18"/>
  <c r="AB74" i="18"/>
  <c r="AN76" i="16"/>
  <c r="Z77" i="16"/>
  <c r="AM76" i="16"/>
  <c r="W77" i="16"/>
  <c r="AB78" i="11"/>
  <c r="Z79" i="11" s="1"/>
  <c r="AG78" i="11"/>
  <c r="AJ78" i="11" s="1"/>
  <c r="U79" i="11"/>
  <c r="V79" i="11" s="1"/>
  <c r="AH79" i="11" s="1"/>
  <c r="AC78" i="11"/>
  <c r="AN78" i="11" s="1"/>
  <c r="AL78" i="11"/>
  <c r="AG72" i="10"/>
  <c r="AE72" i="10"/>
  <c r="AF72" i="10"/>
  <c r="AC72" i="10"/>
  <c r="AB72" i="10"/>
  <c r="V73" i="10"/>
  <c r="AH73" i="10" s="1"/>
  <c r="AI76" i="19" l="1"/>
  <c r="AO75" i="19"/>
  <c r="U77" i="19"/>
  <c r="AE76" i="19"/>
  <c r="AG76" i="19"/>
  <c r="AC76" i="19"/>
  <c r="AB76" i="19"/>
  <c r="X76" i="20"/>
  <c r="U77" i="20" s="1"/>
  <c r="AM75" i="20"/>
  <c r="AO75" i="20" s="1"/>
  <c r="AJ74" i="18"/>
  <c r="AA75" i="18"/>
  <c r="AN74" i="18"/>
  <c r="Z75" i="18"/>
  <c r="AK74" i="18"/>
  <c r="V75" i="18"/>
  <c r="AH75" i="18" s="1"/>
  <c r="AO76" i="16"/>
  <c r="AI77" i="16"/>
  <c r="X77" i="16"/>
  <c r="AA79" i="11"/>
  <c r="AK78" i="11"/>
  <c r="AM78" i="11" s="1"/>
  <c r="AO78" i="11" s="1"/>
  <c r="W79" i="11"/>
  <c r="AI79" i="11" s="1"/>
  <c r="AL72" i="10"/>
  <c r="AJ72" i="10"/>
  <c r="AA73" i="10"/>
  <c r="AN72" i="10"/>
  <c r="Z73" i="10"/>
  <c r="AK72" i="10"/>
  <c r="W73" i="10"/>
  <c r="AI73" i="10" s="1"/>
  <c r="V77" i="19" l="1"/>
  <c r="AH77" i="19" s="1"/>
  <c r="AL76" i="19"/>
  <c r="AJ76" i="19"/>
  <c r="Z77" i="19"/>
  <c r="AK76" i="19"/>
  <c r="AA77" i="19"/>
  <c r="AN76" i="19"/>
  <c r="AC76" i="20"/>
  <c r="AN76" i="20" s="1"/>
  <c r="AG76" i="20"/>
  <c r="AB76" i="20"/>
  <c r="AE76" i="20"/>
  <c r="AL76" i="20" s="1"/>
  <c r="V77" i="20"/>
  <c r="AH77" i="20" s="1"/>
  <c r="Z77" i="20"/>
  <c r="AK76" i="20"/>
  <c r="AM74" i="18"/>
  <c r="AO74" i="18" s="1"/>
  <c r="W75" i="18"/>
  <c r="X75" i="18" s="1"/>
  <c r="AG77" i="16"/>
  <c r="AE77" i="16"/>
  <c r="U78" i="16"/>
  <c r="AC77" i="16"/>
  <c r="AB77" i="16"/>
  <c r="X79" i="11"/>
  <c r="AM72" i="10"/>
  <c r="AO72" i="10" s="1"/>
  <c r="X73" i="10"/>
  <c r="AA77" i="20" l="1"/>
  <c r="AJ76" i="20"/>
  <c r="AM76" i="20" s="1"/>
  <c r="AO76" i="20" s="1"/>
  <c r="AM76" i="19"/>
  <c r="W77" i="19"/>
  <c r="W77" i="20"/>
  <c r="AI77" i="20" s="1"/>
  <c r="AI75" i="18"/>
  <c r="AG75" i="18"/>
  <c r="U76" i="18"/>
  <c r="AC75" i="18"/>
  <c r="AE75" i="18"/>
  <c r="AL75" i="18" s="1"/>
  <c r="AB75" i="18"/>
  <c r="Z78" i="16"/>
  <c r="AK77" i="16"/>
  <c r="AJ77" i="16"/>
  <c r="AL77" i="16"/>
  <c r="AA78" i="16"/>
  <c r="AN77" i="16"/>
  <c r="V78" i="16"/>
  <c r="AH78" i="16" s="1"/>
  <c r="AG79" i="11"/>
  <c r="AE79" i="11"/>
  <c r="AC79" i="11"/>
  <c r="U80" i="11"/>
  <c r="AB79" i="11"/>
  <c r="AG73" i="10"/>
  <c r="AF73" i="10"/>
  <c r="AE73" i="10"/>
  <c r="AC73" i="10"/>
  <c r="AB73" i="10"/>
  <c r="U74" i="10"/>
  <c r="V74" i="10" s="1"/>
  <c r="AO76" i="19" l="1"/>
  <c r="X77" i="19"/>
  <c r="AI77" i="19"/>
  <c r="X77" i="20"/>
  <c r="AC77" i="20" s="1"/>
  <c r="Z76" i="18"/>
  <c r="AK75" i="18"/>
  <c r="AA76" i="18"/>
  <c r="AN75" i="18"/>
  <c r="V76" i="18"/>
  <c r="AH76" i="18" s="1"/>
  <c r="AJ75" i="18"/>
  <c r="W78" i="16"/>
  <c r="AI78" i="16" s="1"/>
  <c r="AM77" i="16"/>
  <c r="AO77" i="16" s="1"/>
  <c r="AL73" i="10"/>
  <c r="AJ73" i="10"/>
  <c r="Z80" i="11"/>
  <c r="AK79" i="11"/>
  <c r="V80" i="11"/>
  <c r="AH80" i="11" s="1"/>
  <c r="AA80" i="11"/>
  <c r="AN79" i="11"/>
  <c r="AJ79" i="11"/>
  <c r="AL79" i="11"/>
  <c r="Z74" i="10"/>
  <c r="AK73" i="10"/>
  <c r="W74" i="10"/>
  <c r="AH74" i="10"/>
  <c r="AA74" i="10"/>
  <c r="AN73" i="10"/>
  <c r="U78" i="19" l="1"/>
  <c r="AG77" i="19"/>
  <c r="AE77" i="19"/>
  <c r="AC77" i="19"/>
  <c r="AB77" i="19"/>
  <c r="AB77" i="20"/>
  <c r="Z78" i="20" s="1"/>
  <c r="AE77" i="20"/>
  <c r="AL77" i="20" s="1"/>
  <c r="U78" i="20"/>
  <c r="V78" i="20" s="1"/>
  <c r="AH78" i="20" s="1"/>
  <c r="AG77" i="20"/>
  <c r="AA78" i="20"/>
  <c r="AN77" i="20"/>
  <c r="AM75" i="18"/>
  <c r="AO75" i="18" s="1"/>
  <c r="W76" i="18"/>
  <c r="AI76" i="18" s="1"/>
  <c r="X78" i="16"/>
  <c r="U79" i="16" s="1"/>
  <c r="AM73" i="10"/>
  <c r="AO73" i="10" s="1"/>
  <c r="W80" i="11"/>
  <c r="AI80" i="11" s="1"/>
  <c r="AM79" i="11"/>
  <c r="AO79" i="11" s="1"/>
  <c r="AI74" i="10"/>
  <c r="X74" i="10"/>
  <c r="AK77" i="20" l="1"/>
  <c r="AJ77" i="19"/>
  <c r="Z78" i="19"/>
  <c r="AK77" i="19"/>
  <c r="AA78" i="19"/>
  <c r="AN77" i="19"/>
  <c r="AL77" i="19"/>
  <c r="V78" i="19"/>
  <c r="AH78" i="19" s="1"/>
  <c r="AJ77" i="20"/>
  <c r="W78" i="20"/>
  <c r="AI78" i="20" s="1"/>
  <c r="X76" i="18"/>
  <c r="AB78" i="16"/>
  <c r="AK78" i="16" s="1"/>
  <c r="AE78" i="16"/>
  <c r="AL78" i="16" s="1"/>
  <c r="AC78" i="16"/>
  <c r="AN78" i="16" s="1"/>
  <c r="AG78" i="16"/>
  <c r="V79" i="16"/>
  <c r="AH79" i="16" s="1"/>
  <c r="X80" i="11"/>
  <c r="AE80" i="11" s="1"/>
  <c r="AC74" i="10"/>
  <c r="AE74" i="10"/>
  <c r="AF74" i="10"/>
  <c r="AG74" i="10"/>
  <c r="AB74" i="10"/>
  <c r="U75" i="10"/>
  <c r="AM77" i="20" l="1"/>
  <c r="AO77" i="20" s="1"/>
  <c r="AM77" i="19"/>
  <c r="AO77" i="19" s="1"/>
  <c r="W78" i="19"/>
  <c r="X78" i="20"/>
  <c r="AG76" i="18"/>
  <c r="AE76" i="18"/>
  <c r="AC76" i="18"/>
  <c r="AB76" i="18"/>
  <c r="U77" i="18"/>
  <c r="AA79" i="16"/>
  <c r="Z79" i="16"/>
  <c r="AJ78" i="16"/>
  <c r="AM78" i="16" s="1"/>
  <c r="AO78" i="16" s="1"/>
  <c r="W79" i="16"/>
  <c r="AI79" i="16" s="1"/>
  <c r="AB80" i="11"/>
  <c r="Z81" i="11" s="1"/>
  <c r="AC80" i="11"/>
  <c r="AA81" i="11" s="1"/>
  <c r="AG80" i="11"/>
  <c r="AJ80" i="11" s="1"/>
  <c r="U81" i="11"/>
  <c r="V81" i="11" s="1"/>
  <c r="AH81" i="11" s="1"/>
  <c r="AL74" i="10"/>
  <c r="AJ74" i="10"/>
  <c r="AL80" i="11"/>
  <c r="V75" i="10"/>
  <c r="AH75" i="10" s="1"/>
  <c r="Z75" i="10"/>
  <c r="AK74" i="10"/>
  <c r="AA75" i="10"/>
  <c r="AN74" i="10"/>
  <c r="X78" i="19" l="1"/>
  <c r="AI78" i="19"/>
  <c r="AC78" i="20"/>
  <c r="AG78" i="20"/>
  <c r="U79" i="20"/>
  <c r="AE78" i="20"/>
  <c r="AB78" i="20"/>
  <c r="AA77" i="18"/>
  <c r="AN76" i="18"/>
  <c r="V77" i="18"/>
  <c r="W77" i="18" s="1"/>
  <c r="AI77" i="18" s="1"/>
  <c r="AL76" i="18"/>
  <c r="AJ76" i="18"/>
  <c r="Z77" i="18"/>
  <c r="AK76" i="18"/>
  <c r="X79" i="16"/>
  <c r="AE79" i="16" s="1"/>
  <c r="AK80" i="11"/>
  <c r="AM80" i="11" s="1"/>
  <c r="AN80" i="11"/>
  <c r="AM74" i="10"/>
  <c r="AO74" i="10" s="1"/>
  <c r="W81" i="11"/>
  <c r="AI81" i="11" s="1"/>
  <c r="W75" i="10"/>
  <c r="AI75" i="10" s="1"/>
  <c r="AC78" i="19" l="1"/>
  <c r="U79" i="19"/>
  <c r="AE78" i="19"/>
  <c r="AG78" i="19"/>
  <c r="AB78" i="19"/>
  <c r="AJ78" i="20"/>
  <c r="AL78" i="20"/>
  <c r="Z79" i="20"/>
  <c r="AK78" i="20"/>
  <c r="V79" i="20"/>
  <c r="AH79" i="20" s="1"/>
  <c r="AA79" i="20"/>
  <c r="AN78" i="20"/>
  <c r="AM76" i="18"/>
  <c r="AO76" i="18" s="1"/>
  <c r="AH77" i="18"/>
  <c r="X77" i="18"/>
  <c r="AB79" i="16"/>
  <c r="Z80" i="16" s="1"/>
  <c r="U80" i="16"/>
  <c r="V80" i="16" s="1"/>
  <c r="AH80" i="16" s="1"/>
  <c r="AC79" i="16"/>
  <c r="AN79" i="16" s="1"/>
  <c r="AG79" i="16"/>
  <c r="AJ79" i="16" s="1"/>
  <c r="AL79" i="16"/>
  <c r="AO80" i="11"/>
  <c r="X81" i="11"/>
  <c r="AE81" i="11" s="1"/>
  <c r="X75" i="10"/>
  <c r="Z79" i="19" l="1"/>
  <c r="AK78" i="19"/>
  <c r="V79" i="19"/>
  <c r="AH79" i="19" s="1"/>
  <c r="AA79" i="19"/>
  <c r="AN78" i="19"/>
  <c r="AL78" i="19"/>
  <c r="AJ78" i="19"/>
  <c r="W79" i="20"/>
  <c r="AI79" i="20" s="1"/>
  <c r="AM78" i="20"/>
  <c r="AO78" i="20" s="1"/>
  <c r="AK79" i="16"/>
  <c r="AM79" i="16" s="1"/>
  <c r="AO79" i="16" s="1"/>
  <c r="U78" i="18"/>
  <c r="V78" i="18" s="1"/>
  <c r="AH78" i="18" s="1"/>
  <c r="AE77" i="18"/>
  <c r="AB77" i="18"/>
  <c r="AC77" i="18"/>
  <c r="AG77" i="18"/>
  <c r="AA80" i="16"/>
  <c r="W80" i="16"/>
  <c r="AI80" i="16" s="1"/>
  <c r="U82" i="11"/>
  <c r="V82" i="11" s="1"/>
  <c r="AH82" i="11" s="1"/>
  <c r="AB81" i="11"/>
  <c r="Z82" i="11" s="1"/>
  <c r="AG81" i="11"/>
  <c r="AJ81" i="11" s="1"/>
  <c r="AC81" i="11"/>
  <c r="AN81" i="11" s="1"/>
  <c r="AL81" i="11"/>
  <c r="AE75" i="10"/>
  <c r="AG75" i="10"/>
  <c r="AF75" i="10"/>
  <c r="AC75" i="10"/>
  <c r="AB75" i="10"/>
  <c r="U76" i="10"/>
  <c r="W79" i="19" l="1"/>
  <c r="AI79" i="19" s="1"/>
  <c r="AM78" i="19"/>
  <c r="X79" i="20"/>
  <c r="U80" i="20" s="1"/>
  <c r="W78" i="18"/>
  <c r="AI78" i="18" s="1"/>
  <c r="Z78" i="18"/>
  <c r="AK77" i="18"/>
  <c r="AL77" i="18"/>
  <c r="AJ77" i="18"/>
  <c r="AA78" i="18"/>
  <c r="AN77" i="18"/>
  <c r="X80" i="16"/>
  <c r="AA82" i="11"/>
  <c r="AK81" i="11"/>
  <c r="AM81" i="11" s="1"/>
  <c r="AO81" i="11" s="1"/>
  <c r="AL75" i="10"/>
  <c r="AJ75" i="10"/>
  <c r="W82" i="11"/>
  <c r="AI82" i="11" s="1"/>
  <c r="Z76" i="10"/>
  <c r="AK75" i="10"/>
  <c r="V76" i="10"/>
  <c r="AA76" i="10"/>
  <c r="AN75" i="10"/>
  <c r="X79" i="19" l="1"/>
  <c r="U80" i="19" s="1"/>
  <c r="V80" i="19" s="1"/>
  <c r="AH80" i="19" s="1"/>
  <c r="AO78" i="19"/>
  <c r="AB79" i="20"/>
  <c r="AK79" i="20" s="1"/>
  <c r="AG79" i="20"/>
  <c r="AC79" i="20"/>
  <c r="AN79" i="20" s="1"/>
  <c r="AE79" i="20"/>
  <c r="AL79" i="20" s="1"/>
  <c r="V80" i="20"/>
  <c r="AH80" i="20" s="1"/>
  <c r="X78" i="18"/>
  <c r="AC78" i="18" s="1"/>
  <c r="AN78" i="18" s="1"/>
  <c r="AM77" i="18"/>
  <c r="AO77" i="18" s="1"/>
  <c r="AG80" i="16"/>
  <c r="AE80" i="16"/>
  <c r="U81" i="16"/>
  <c r="AC80" i="16"/>
  <c r="AB80" i="16"/>
  <c r="AM75" i="10"/>
  <c r="AO75" i="10" s="1"/>
  <c r="X82" i="11"/>
  <c r="AH76" i="10"/>
  <c r="W76" i="10"/>
  <c r="AI76" i="10" s="1"/>
  <c r="AC79" i="19" l="1"/>
  <c r="AG79" i="19"/>
  <c r="AE79" i="19"/>
  <c r="AB79" i="19"/>
  <c r="AA80" i="19"/>
  <c r="AN79" i="19"/>
  <c r="W80" i="19"/>
  <c r="AA80" i="20"/>
  <c r="Z80" i="20"/>
  <c r="AJ79" i="20"/>
  <c r="AM79" i="20" s="1"/>
  <c r="AO79" i="20" s="1"/>
  <c r="W80" i="20"/>
  <c r="AI80" i="20" s="1"/>
  <c r="AA79" i="18"/>
  <c r="U79" i="18"/>
  <c r="V79" i="18" s="1"/>
  <c r="AH79" i="18" s="1"/>
  <c r="AB78" i="18"/>
  <c r="AG78" i="18"/>
  <c r="AE78" i="18"/>
  <c r="AL78" i="18" s="1"/>
  <c r="Z81" i="16"/>
  <c r="AK80" i="16"/>
  <c r="AJ80" i="16"/>
  <c r="AL80" i="16"/>
  <c r="AA81" i="16"/>
  <c r="AN80" i="16"/>
  <c r="V81" i="16"/>
  <c r="AH81" i="16" s="1"/>
  <c r="U83" i="11"/>
  <c r="AG82" i="11"/>
  <c r="AE82" i="11"/>
  <c r="AC82" i="11"/>
  <c r="AB82" i="11"/>
  <c r="X76" i="10"/>
  <c r="AL79" i="19" l="1"/>
  <c r="AJ79" i="19"/>
  <c r="Z80" i="19"/>
  <c r="AK79" i="19"/>
  <c r="X80" i="19"/>
  <c r="AI80" i="19"/>
  <c r="X80" i="20"/>
  <c r="AG80" i="20" s="1"/>
  <c r="W79" i="18"/>
  <c r="AI79" i="18" s="1"/>
  <c r="AK78" i="18"/>
  <c r="Z79" i="18"/>
  <c r="AJ78" i="18"/>
  <c r="W81" i="16"/>
  <c r="AI81" i="16" s="1"/>
  <c r="AM80" i="16"/>
  <c r="AO80" i="16" s="1"/>
  <c r="Z83" i="11"/>
  <c r="AK82" i="11"/>
  <c r="AA83" i="11"/>
  <c r="AN82" i="11"/>
  <c r="AJ82" i="11"/>
  <c r="AL82" i="11"/>
  <c r="V83" i="11"/>
  <c r="AH83" i="11" s="1"/>
  <c r="AE76" i="10"/>
  <c r="AG76" i="10"/>
  <c r="AF76" i="10"/>
  <c r="AC76" i="10"/>
  <c r="AB76" i="10"/>
  <c r="U77" i="10"/>
  <c r="AM79" i="19" l="1"/>
  <c r="AO79" i="19" s="1"/>
  <c r="U81" i="19"/>
  <c r="AC80" i="19"/>
  <c r="AE80" i="19"/>
  <c r="AL80" i="19" s="1"/>
  <c r="AG80" i="19"/>
  <c r="AB80" i="19"/>
  <c r="AB80" i="20"/>
  <c r="Z81" i="20" s="1"/>
  <c r="U81" i="20"/>
  <c r="V81" i="20" s="1"/>
  <c r="AH81" i="20" s="1"/>
  <c r="AE80" i="20"/>
  <c r="AL80" i="20" s="1"/>
  <c r="AC80" i="20"/>
  <c r="AA81" i="20" s="1"/>
  <c r="X79" i="18"/>
  <c r="AG79" i="18" s="1"/>
  <c r="AM78" i="18"/>
  <c r="AO78" i="18" s="1"/>
  <c r="X81" i="16"/>
  <c r="AG81" i="16" s="1"/>
  <c r="W83" i="11"/>
  <c r="AI83" i="11" s="1"/>
  <c r="AM82" i="11"/>
  <c r="AO82" i="11" s="1"/>
  <c r="V77" i="10"/>
  <c r="AH77" i="10" s="1"/>
  <c r="Z77" i="10"/>
  <c r="AK76" i="10"/>
  <c r="AA77" i="10"/>
  <c r="AN76" i="10"/>
  <c r="AL76" i="10"/>
  <c r="AJ76" i="10"/>
  <c r="AK80" i="20" l="1"/>
  <c r="Z81" i="19"/>
  <c r="AK80" i="19"/>
  <c r="AA81" i="19"/>
  <c r="AN80" i="19"/>
  <c r="V81" i="19"/>
  <c r="AH81" i="19" s="1"/>
  <c r="AJ80" i="19"/>
  <c r="AJ80" i="20"/>
  <c r="AN80" i="20"/>
  <c r="W81" i="20"/>
  <c r="AB79" i="18"/>
  <c r="Z80" i="18" s="1"/>
  <c r="U80" i="18"/>
  <c r="V80" i="18" s="1"/>
  <c r="AH80" i="18" s="1"/>
  <c r="AC79" i="18"/>
  <c r="AN79" i="18" s="1"/>
  <c r="AE79" i="18"/>
  <c r="AL79" i="18" s="1"/>
  <c r="AB81" i="16"/>
  <c r="AK81" i="16" s="1"/>
  <c r="AE81" i="16"/>
  <c r="AL81" i="16" s="1"/>
  <c r="U82" i="16"/>
  <c r="V82" i="16" s="1"/>
  <c r="AH82" i="16" s="1"/>
  <c r="AC81" i="16"/>
  <c r="AA82" i="16" s="1"/>
  <c r="X83" i="11"/>
  <c r="AG83" i="11" s="1"/>
  <c r="W77" i="10"/>
  <c r="AI77" i="10" s="1"/>
  <c r="AM76" i="10"/>
  <c r="AO76" i="10" s="1"/>
  <c r="AA80" i="18" l="1"/>
  <c r="AM80" i="20"/>
  <c r="AO80" i="20" s="1"/>
  <c r="AM80" i="19"/>
  <c r="W81" i="19"/>
  <c r="AI81" i="20"/>
  <c r="X81" i="20"/>
  <c r="AK79" i="18"/>
  <c r="AJ79" i="18"/>
  <c r="W80" i="18"/>
  <c r="AI80" i="18" s="1"/>
  <c r="AJ81" i="16"/>
  <c r="AM81" i="16" s="1"/>
  <c r="Z82" i="16"/>
  <c r="AN81" i="16"/>
  <c r="W82" i="16"/>
  <c r="AI82" i="16" s="1"/>
  <c r="AB83" i="11"/>
  <c r="AK83" i="11" s="1"/>
  <c r="U84" i="11"/>
  <c r="V84" i="11" s="1"/>
  <c r="AH84" i="11" s="1"/>
  <c r="AC83" i="11"/>
  <c r="AE83" i="11"/>
  <c r="AJ83" i="11" s="1"/>
  <c r="AA84" i="11"/>
  <c r="AN83" i="11"/>
  <c r="X77" i="10"/>
  <c r="X81" i="19" l="1"/>
  <c r="AI81" i="19"/>
  <c r="AO80" i="19"/>
  <c r="AE81" i="20"/>
  <c r="U82" i="20"/>
  <c r="AG81" i="20"/>
  <c r="AC81" i="20"/>
  <c r="AB81" i="20"/>
  <c r="AM79" i="18"/>
  <c r="AO79" i="18" s="1"/>
  <c r="X80" i="18"/>
  <c r="AO81" i="16"/>
  <c r="X82" i="16"/>
  <c r="AE82" i="16" s="1"/>
  <c r="Z84" i="11"/>
  <c r="AL83" i="11"/>
  <c r="AM83" i="11" s="1"/>
  <c r="AO83" i="11" s="1"/>
  <c r="W84" i="11"/>
  <c r="AI84" i="11" s="1"/>
  <c r="AE77" i="10"/>
  <c r="AC77" i="10"/>
  <c r="U78" i="10"/>
  <c r="AG77" i="10"/>
  <c r="AF77" i="10"/>
  <c r="AB77" i="10"/>
  <c r="AE81" i="19" l="1"/>
  <c r="AL81" i="19" s="1"/>
  <c r="AC81" i="19"/>
  <c r="U82" i="19"/>
  <c r="AG81" i="19"/>
  <c r="AB81" i="19"/>
  <c r="AA82" i="20"/>
  <c r="AN81" i="20"/>
  <c r="V82" i="20"/>
  <c r="AH82" i="20" s="1"/>
  <c r="Z82" i="20"/>
  <c r="AK81" i="20"/>
  <c r="AJ81" i="20"/>
  <c r="AL81" i="20"/>
  <c r="AE80" i="18"/>
  <c r="AG80" i="18"/>
  <c r="AC80" i="18"/>
  <c r="U81" i="18"/>
  <c r="V81" i="18" s="1"/>
  <c r="AH81" i="18" s="1"/>
  <c r="AB80" i="18"/>
  <c r="AB82" i="16"/>
  <c r="AK82" i="16" s="1"/>
  <c r="AG82" i="16"/>
  <c r="AJ82" i="16" s="1"/>
  <c r="AC82" i="16"/>
  <c r="AN82" i="16" s="1"/>
  <c r="U83" i="16"/>
  <c r="V83" i="16" s="1"/>
  <c r="AH83" i="16" s="1"/>
  <c r="AL82" i="16"/>
  <c r="X84" i="11"/>
  <c r="AE84" i="11" s="1"/>
  <c r="Z78" i="10"/>
  <c r="AK77" i="10"/>
  <c r="V78" i="10"/>
  <c r="AA78" i="10"/>
  <c r="AN77" i="10"/>
  <c r="AL77" i="10"/>
  <c r="AJ77" i="10"/>
  <c r="AA82" i="19" l="1"/>
  <c r="AN81" i="19"/>
  <c r="AJ81" i="19"/>
  <c r="V82" i="19"/>
  <c r="AH82" i="19" s="1"/>
  <c r="Z82" i="19"/>
  <c r="AK81" i="19"/>
  <c r="W82" i="20"/>
  <c r="AI82" i="20" s="1"/>
  <c r="AM81" i="20"/>
  <c r="AO81" i="20" s="1"/>
  <c r="Z81" i="18"/>
  <c r="AK80" i="18"/>
  <c r="AA81" i="18"/>
  <c r="AN80" i="18"/>
  <c r="W81" i="18"/>
  <c r="AI81" i="18" s="1"/>
  <c r="AJ80" i="18"/>
  <c r="AL80" i="18"/>
  <c r="Z83" i="16"/>
  <c r="AA83" i="16"/>
  <c r="AM82" i="16"/>
  <c r="AO82" i="16" s="1"/>
  <c r="W83" i="16"/>
  <c r="AB84" i="11"/>
  <c r="AC84" i="11"/>
  <c r="AN84" i="11" s="1"/>
  <c r="U85" i="11"/>
  <c r="V85" i="11" s="1"/>
  <c r="AH85" i="11" s="1"/>
  <c r="AG84" i="11"/>
  <c r="AJ84" i="11" s="1"/>
  <c r="AM77" i="10"/>
  <c r="AO77" i="10" s="1"/>
  <c r="Z85" i="11"/>
  <c r="AK84" i="11"/>
  <c r="AA85" i="11"/>
  <c r="AL84" i="11"/>
  <c r="AH78" i="10"/>
  <c r="W78" i="10"/>
  <c r="AI78" i="10" s="1"/>
  <c r="AM81" i="19" l="1"/>
  <c r="AO81" i="19" s="1"/>
  <c r="W82" i="19"/>
  <c r="X82" i="19" s="1"/>
  <c r="X82" i="20"/>
  <c r="AC82" i="20" s="1"/>
  <c r="X81" i="18"/>
  <c r="U82" i="18" s="1"/>
  <c r="V82" i="18" s="1"/>
  <c r="AH82" i="18" s="1"/>
  <c r="AM80" i="18"/>
  <c r="AO80" i="18" s="1"/>
  <c r="AI83" i="16"/>
  <c r="X83" i="16"/>
  <c r="AM84" i="11"/>
  <c r="AO84" i="11" s="1"/>
  <c r="W85" i="11"/>
  <c r="AI85" i="11" s="1"/>
  <c r="X78" i="10"/>
  <c r="AI82" i="19" l="1"/>
  <c r="AG82" i="19"/>
  <c r="U83" i="19"/>
  <c r="AE82" i="19"/>
  <c r="AL82" i="19" s="1"/>
  <c r="AC82" i="19"/>
  <c r="AB82" i="19"/>
  <c r="AB82" i="20"/>
  <c r="Z83" i="20" s="1"/>
  <c r="U83" i="20"/>
  <c r="V83" i="20" s="1"/>
  <c r="AH83" i="20" s="1"/>
  <c r="AE82" i="20"/>
  <c r="AL82" i="20" s="1"/>
  <c r="AG82" i="20"/>
  <c r="AA83" i="20"/>
  <c r="AN82" i="20"/>
  <c r="AE81" i="18"/>
  <c r="AL81" i="18" s="1"/>
  <c r="AG81" i="18"/>
  <c r="AC81" i="18"/>
  <c r="AN81" i="18" s="1"/>
  <c r="AB81" i="18"/>
  <c r="W82" i="18"/>
  <c r="X82" i="18" s="1"/>
  <c r="U84" i="16"/>
  <c r="AC83" i="16"/>
  <c r="AG83" i="16"/>
  <c r="AE83" i="16"/>
  <c r="AB83" i="16"/>
  <c r="X85" i="11"/>
  <c r="U86" i="11" s="1"/>
  <c r="AG78" i="10"/>
  <c r="AE78" i="10"/>
  <c r="AF78" i="10"/>
  <c r="AC78" i="10"/>
  <c r="AB78" i="10"/>
  <c r="U79" i="10"/>
  <c r="AK82" i="20" l="1"/>
  <c r="AJ82" i="19"/>
  <c r="Z83" i="19"/>
  <c r="AK82" i="19"/>
  <c r="V83" i="19"/>
  <c r="AH83" i="19" s="1"/>
  <c r="AA83" i="19"/>
  <c r="AN82" i="19"/>
  <c r="AJ82" i="20"/>
  <c r="W83" i="20"/>
  <c r="AI83" i="20" s="1"/>
  <c r="AA82" i="18"/>
  <c r="AJ81" i="18"/>
  <c r="Z82" i="18"/>
  <c r="AK81" i="18"/>
  <c r="AI82" i="18"/>
  <c r="AG82" i="18"/>
  <c r="U83" i="18"/>
  <c r="AE82" i="18"/>
  <c r="AC82" i="18"/>
  <c r="AB82" i="18"/>
  <c r="AJ83" i="16"/>
  <c r="AL83" i="16"/>
  <c r="AA84" i="16"/>
  <c r="AN83" i="16"/>
  <c r="Z84" i="16"/>
  <c r="AK83" i="16"/>
  <c r="V84" i="16"/>
  <c r="AH84" i="16" s="1"/>
  <c r="AB85" i="11"/>
  <c r="Z86" i="11" s="1"/>
  <c r="AE85" i="11"/>
  <c r="AL85" i="11" s="1"/>
  <c r="AC85" i="11"/>
  <c r="AA86" i="11" s="1"/>
  <c r="AG85" i="11"/>
  <c r="V86" i="11"/>
  <c r="AH86" i="11" s="1"/>
  <c r="V79" i="10"/>
  <c r="AH79" i="10" s="1"/>
  <c r="Z79" i="10"/>
  <c r="AK78" i="10"/>
  <c r="AN78" i="10"/>
  <c r="AA79" i="10"/>
  <c r="AJ78" i="10"/>
  <c r="AL78" i="10"/>
  <c r="AM82" i="20" l="1"/>
  <c r="AO82" i="20" s="1"/>
  <c r="AM82" i="19"/>
  <c r="AO82" i="19" s="1"/>
  <c r="W83" i="19"/>
  <c r="X83" i="19" s="1"/>
  <c r="X83" i="20"/>
  <c r="AC83" i="20" s="1"/>
  <c r="AL82" i="18"/>
  <c r="AM81" i="18"/>
  <c r="AO81" i="18" s="1"/>
  <c r="Z83" i="18"/>
  <c r="AK82" i="18"/>
  <c r="AA83" i="18"/>
  <c r="AN82" i="18"/>
  <c r="V83" i="18"/>
  <c r="AH83" i="18" s="1"/>
  <c r="AJ82" i="18"/>
  <c r="W84" i="16"/>
  <c r="AI84" i="16" s="1"/>
  <c r="AM83" i="16"/>
  <c r="AO83" i="16" s="1"/>
  <c r="AJ85" i="11"/>
  <c r="AK85" i="11"/>
  <c r="AN85" i="11"/>
  <c r="W86" i="11"/>
  <c r="AI86" i="11" s="1"/>
  <c r="AM78" i="10"/>
  <c r="AO78" i="10" s="1"/>
  <c r="W79" i="10"/>
  <c r="AI79" i="10" s="1"/>
  <c r="AI83" i="19" l="1"/>
  <c r="U84" i="19"/>
  <c r="AC83" i="19"/>
  <c r="AE83" i="19"/>
  <c r="AL83" i="19" s="1"/>
  <c r="AG83" i="19"/>
  <c r="AB83" i="19"/>
  <c r="AB83" i="20"/>
  <c r="AK83" i="20" s="1"/>
  <c r="AE83" i="20"/>
  <c r="AG83" i="20"/>
  <c r="U84" i="20"/>
  <c r="V84" i="20" s="1"/>
  <c r="AH84" i="20" s="1"/>
  <c r="AA84" i="20"/>
  <c r="AN83" i="20"/>
  <c r="AM82" i="18"/>
  <c r="AO82" i="18" s="1"/>
  <c r="W83" i="18"/>
  <c r="X84" i="16"/>
  <c r="U85" i="16" s="1"/>
  <c r="AM85" i="11"/>
  <c r="AO85" i="11" s="1"/>
  <c r="X86" i="11"/>
  <c r="AG86" i="11" s="1"/>
  <c r="X79" i="10"/>
  <c r="AJ83" i="19" l="1"/>
  <c r="AA84" i="19"/>
  <c r="AN83" i="19"/>
  <c r="Z84" i="19"/>
  <c r="AK83" i="19"/>
  <c r="V84" i="19"/>
  <c r="AH84" i="19" s="1"/>
  <c r="Z84" i="20"/>
  <c r="AJ83" i="20"/>
  <c r="AL83" i="20"/>
  <c r="W84" i="20"/>
  <c r="AI84" i="20" s="1"/>
  <c r="X83" i="18"/>
  <c r="AI83" i="18"/>
  <c r="AG84" i="16"/>
  <c r="AE84" i="16"/>
  <c r="AB84" i="16"/>
  <c r="Z85" i="16" s="1"/>
  <c r="AC84" i="16"/>
  <c r="AA85" i="16" s="1"/>
  <c r="V85" i="16"/>
  <c r="AH85" i="16" s="1"/>
  <c r="AB86" i="11"/>
  <c r="Z87" i="11" s="1"/>
  <c r="AE86" i="11"/>
  <c r="AJ86" i="11" s="1"/>
  <c r="U87" i="11"/>
  <c r="V87" i="11" s="1"/>
  <c r="AH87" i="11" s="1"/>
  <c r="AC86" i="11"/>
  <c r="AA87" i="11" s="1"/>
  <c r="U80" i="10"/>
  <c r="AF79" i="10"/>
  <c r="AC79" i="10"/>
  <c r="AG79" i="10"/>
  <c r="AE79" i="10"/>
  <c r="AB79" i="10"/>
  <c r="AM83" i="19" l="1"/>
  <c r="AO83" i="19" s="1"/>
  <c r="W84" i="19"/>
  <c r="AM83" i="20"/>
  <c r="AO83" i="20" s="1"/>
  <c r="X84" i="20"/>
  <c r="U85" i="20" s="1"/>
  <c r="AG83" i="18"/>
  <c r="AE83" i="18"/>
  <c r="AL83" i="18" s="1"/>
  <c r="AC83" i="18"/>
  <c r="U84" i="18"/>
  <c r="AB83" i="18"/>
  <c r="AN84" i="16"/>
  <c r="AJ84" i="16"/>
  <c r="AL84" i="16"/>
  <c r="AK84" i="16"/>
  <c r="W85" i="16"/>
  <c r="AI85" i="16" s="1"/>
  <c r="AL86" i="11"/>
  <c r="AK86" i="11"/>
  <c r="AN86" i="11"/>
  <c r="W87" i="11"/>
  <c r="AI87" i="11" s="1"/>
  <c r="Z80" i="10"/>
  <c r="AK79" i="10"/>
  <c r="AJ79" i="10"/>
  <c r="AL79" i="10"/>
  <c r="AA80" i="10"/>
  <c r="AN79" i="10"/>
  <c r="V80" i="10"/>
  <c r="AH80" i="10" s="1"/>
  <c r="AI84" i="19" l="1"/>
  <c r="X84" i="19"/>
  <c r="AB84" i="20"/>
  <c r="AK84" i="20" s="1"/>
  <c r="AC84" i="20"/>
  <c r="AN84" i="20" s="1"/>
  <c r="AE84" i="20"/>
  <c r="AL84" i="20" s="1"/>
  <c r="AG84" i="20"/>
  <c r="Z85" i="20"/>
  <c r="V85" i="20"/>
  <c r="AH85" i="20" s="1"/>
  <c r="Z84" i="18"/>
  <c r="AK83" i="18"/>
  <c r="V84" i="18"/>
  <c r="AH84" i="18" s="1"/>
  <c r="AA84" i="18"/>
  <c r="AN83" i="18"/>
  <c r="AJ83" i="18"/>
  <c r="AM84" i="16"/>
  <c r="AO84" i="16" s="1"/>
  <c r="X85" i="16"/>
  <c r="AM86" i="11"/>
  <c r="AO86" i="11" s="1"/>
  <c r="W80" i="10"/>
  <c r="AI80" i="10" s="1"/>
  <c r="X87" i="11"/>
  <c r="AM79" i="10"/>
  <c r="AO79" i="10" s="1"/>
  <c r="AC84" i="19" l="1"/>
  <c r="U85" i="19"/>
  <c r="AE84" i="19"/>
  <c r="AL84" i="19" s="1"/>
  <c r="AG84" i="19"/>
  <c r="AB84" i="19"/>
  <c r="AA85" i="20"/>
  <c r="AJ84" i="20"/>
  <c r="AM84" i="20" s="1"/>
  <c r="AO84" i="20" s="1"/>
  <c r="W85" i="20"/>
  <c r="AI85" i="20" s="1"/>
  <c r="W84" i="18"/>
  <c r="AI84" i="18" s="1"/>
  <c r="AM83" i="18"/>
  <c r="AO83" i="18" s="1"/>
  <c r="AG85" i="16"/>
  <c r="AE85" i="16"/>
  <c r="U86" i="16"/>
  <c r="AC85" i="16"/>
  <c r="AB85" i="16"/>
  <c r="X80" i="10"/>
  <c r="AG80" i="10" s="1"/>
  <c r="AE87" i="11"/>
  <c r="AC87" i="11"/>
  <c r="AG87" i="11"/>
  <c r="U88" i="11"/>
  <c r="AB87" i="11"/>
  <c r="AJ84" i="19" l="1"/>
  <c r="Z85" i="19"/>
  <c r="AK84" i="19"/>
  <c r="V85" i="19"/>
  <c r="AH85" i="19" s="1"/>
  <c r="AA85" i="19"/>
  <c r="AN84" i="19"/>
  <c r="X85" i="20"/>
  <c r="U86" i="20" s="1"/>
  <c r="X84" i="18"/>
  <c r="AC84" i="18" s="1"/>
  <c r="Z86" i="16"/>
  <c r="AK85" i="16"/>
  <c r="AA86" i="16"/>
  <c r="AN85" i="16"/>
  <c r="V86" i="16"/>
  <c r="AH86" i="16" s="1"/>
  <c r="AJ85" i="16"/>
  <c r="AL85" i="16"/>
  <c r="AC80" i="10"/>
  <c r="AN80" i="10" s="1"/>
  <c r="AF80" i="10"/>
  <c r="AB80" i="10"/>
  <c r="AK80" i="10" s="1"/>
  <c r="U81" i="10"/>
  <c r="V81" i="10" s="1"/>
  <c r="AH81" i="10" s="1"/>
  <c r="AE80" i="10"/>
  <c r="Z88" i="11"/>
  <c r="AK87" i="11"/>
  <c r="V88" i="11"/>
  <c r="AH88" i="11" s="1"/>
  <c r="AA88" i="11"/>
  <c r="AN87" i="11"/>
  <c r="AJ87" i="11"/>
  <c r="AL87" i="11"/>
  <c r="AM84" i="19" l="1"/>
  <c r="AO84" i="19" s="1"/>
  <c r="W85" i="19"/>
  <c r="AI85" i="19" s="1"/>
  <c r="AB85" i="20"/>
  <c r="Z86" i="20" s="1"/>
  <c r="AC85" i="20"/>
  <c r="AN85" i="20" s="1"/>
  <c r="AE85" i="20"/>
  <c r="AL85" i="20" s="1"/>
  <c r="AG85" i="20"/>
  <c r="AK85" i="20"/>
  <c r="AA86" i="20"/>
  <c r="V86" i="20"/>
  <c r="AH86" i="20" s="1"/>
  <c r="U85" i="18"/>
  <c r="V85" i="18" s="1"/>
  <c r="AH85" i="18" s="1"/>
  <c r="AB84" i="18"/>
  <c r="Z85" i="18" s="1"/>
  <c r="AE84" i="18"/>
  <c r="AL84" i="18" s="1"/>
  <c r="AG84" i="18"/>
  <c r="AA85" i="18"/>
  <c r="AN84" i="18"/>
  <c r="W86" i="16"/>
  <c r="AI86" i="16" s="1"/>
  <c r="AM85" i="16"/>
  <c r="AO85" i="16" s="1"/>
  <c r="Z81" i="10"/>
  <c r="AA81" i="10"/>
  <c r="AL80" i="10"/>
  <c r="AJ80" i="10"/>
  <c r="W81" i="10"/>
  <c r="AI81" i="10" s="1"/>
  <c r="AM87" i="11"/>
  <c r="AO87" i="11" s="1"/>
  <c r="W88" i="11"/>
  <c r="AI88" i="11" s="1"/>
  <c r="X85" i="19" l="1"/>
  <c r="AG85" i="19" s="1"/>
  <c r="AJ85" i="20"/>
  <c r="AM85" i="20" s="1"/>
  <c r="AO85" i="20" s="1"/>
  <c r="W86" i="20"/>
  <c r="AI86" i="20" s="1"/>
  <c r="AK84" i="18"/>
  <c r="AJ84" i="18"/>
  <c r="W85" i="18"/>
  <c r="X85" i="18" s="1"/>
  <c r="X86" i="16"/>
  <c r="AG86" i="16" s="1"/>
  <c r="X81" i="10"/>
  <c r="AB81" i="10" s="1"/>
  <c r="AM80" i="10"/>
  <c r="AO80" i="10" s="1"/>
  <c r="X88" i="11"/>
  <c r="AB85" i="19" l="1"/>
  <c r="AE85" i="19"/>
  <c r="AJ85" i="19" s="1"/>
  <c r="AC85" i="19"/>
  <c r="U86" i="19"/>
  <c r="V86" i="19" s="1"/>
  <c r="AH86" i="19" s="1"/>
  <c r="Z86" i="19"/>
  <c r="AK85" i="19"/>
  <c r="AA86" i="19"/>
  <c r="AN85" i="19"/>
  <c r="X86" i="20"/>
  <c r="AC86" i="20" s="1"/>
  <c r="AM84" i="18"/>
  <c r="AO84" i="18" s="1"/>
  <c r="AI85" i="18"/>
  <c r="AE85" i="18"/>
  <c r="AL85" i="18" s="1"/>
  <c r="AC85" i="18"/>
  <c r="AG85" i="18"/>
  <c r="U86" i="18"/>
  <c r="AB85" i="18"/>
  <c r="AB86" i="16"/>
  <c r="AK86" i="16" s="1"/>
  <c r="AC86" i="16"/>
  <c r="AN86" i="16" s="1"/>
  <c r="U87" i="16"/>
  <c r="V87" i="16" s="1"/>
  <c r="AH87" i="16" s="1"/>
  <c r="AE86" i="16"/>
  <c r="AJ86" i="16" s="1"/>
  <c r="AC81" i="10"/>
  <c r="AA82" i="10" s="1"/>
  <c r="U82" i="10"/>
  <c r="V82" i="10" s="1"/>
  <c r="AH82" i="10" s="1"/>
  <c r="AG81" i="10"/>
  <c r="AE81" i="10"/>
  <c r="AF81" i="10"/>
  <c r="U89" i="11"/>
  <c r="AG88" i="11"/>
  <c r="AE88" i="11"/>
  <c r="AC88" i="11"/>
  <c r="AB88" i="11"/>
  <c r="Z82" i="10"/>
  <c r="AK81" i="10"/>
  <c r="AL85" i="19" l="1"/>
  <c r="AM85" i="19" s="1"/>
  <c r="AO85" i="19" s="1"/>
  <c r="W86" i="19"/>
  <c r="AI86" i="19" s="1"/>
  <c r="AB86" i="20"/>
  <c r="AK86" i="20" s="1"/>
  <c r="U87" i="20"/>
  <c r="V87" i="20" s="1"/>
  <c r="AH87" i="20" s="1"/>
  <c r="AG86" i="20"/>
  <c r="AE86" i="20"/>
  <c r="AA87" i="20"/>
  <c r="AN86" i="20"/>
  <c r="Z86" i="18"/>
  <c r="AK85" i="18"/>
  <c r="V86" i="18"/>
  <c r="AH86" i="18" s="1"/>
  <c r="AA86" i="18"/>
  <c r="AN85" i="18"/>
  <c r="AJ85" i="18"/>
  <c r="Z87" i="16"/>
  <c r="AA87" i="16"/>
  <c r="AL86" i="16"/>
  <c r="AM86" i="16" s="1"/>
  <c r="AO86" i="16" s="1"/>
  <c r="W87" i="16"/>
  <c r="AI87" i="16" s="1"/>
  <c r="AN81" i="10"/>
  <c r="AL81" i="10"/>
  <c r="AJ81" i="10"/>
  <c r="Z89" i="11"/>
  <c r="AK88" i="11"/>
  <c r="AA89" i="11"/>
  <c r="AN88" i="11"/>
  <c r="AJ88" i="11"/>
  <c r="AL88" i="11"/>
  <c r="V89" i="11"/>
  <c r="AH89" i="11" s="1"/>
  <c r="W82" i="10"/>
  <c r="X86" i="19" l="1"/>
  <c r="AE86" i="19" s="1"/>
  <c r="Z87" i="20"/>
  <c r="AJ86" i="20"/>
  <c r="AL86" i="20"/>
  <c r="W87" i="20"/>
  <c r="AI87" i="20" s="1"/>
  <c r="AM85" i="18"/>
  <c r="AO85" i="18" s="1"/>
  <c r="W86" i="18"/>
  <c r="X86" i="18" s="1"/>
  <c r="X87" i="16"/>
  <c r="AG87" i="16" s="1"/>
  <c r="AM81" i="10"/>
  <c r="AO81" i="10" s="1"/>
  <c r="W89" i="11"/>
  <c r="AI89" i="11" s="1"/>
  <c r="AM88" i="11"/>
  <c r="AO88" i="11" s="1"/>
  <c r="AI82" i="10"/>
  <c r="X82" i="10"/>
  <c r="AB86" i="19" l="1"/>
  <c r="U87" i="19"/>
  <c r="AC86" i="19"/>
  <c r="AG86" i="19"/>
  <c r="AJ86" i="19" s="1"/>
  <c r="V87" i="19"/>
  <c r="AH87" i="19" s="1"/>
  <c r="AA87" i="19"/>
  <c r="AN86" i="19"/>
  <c r="Z87" i="19"/>
  <c r="AK86" i="19"/>
  <c r="AL86" i="19"/>
  <c r="AM86" i="20"/>
  <c r="AO86" i="20" s="1"/>
  <c r="X87" i="20"/>
  <c r="AE87" i="20" s="1"/>
  <c r="AI86" i="18"/>
  <c r="AE86" i="18"/>
  <c r="AL86" i="18" s="1"/>
  <c r="AG86" i="18"/>
  <c r="AC86" i="18"/>
  <c r="U87" i="18"/>
  <c r="AB86" i="18"/>
  <c r="AB87" i="16"/>
  <c r="Z88" i="16" s="1"/>
  <c r="AE87" i="16"/>
  <c r="AJ87" i="16" s="1"/>
  <c r="U88" i="16"/>
  <c r="V88" i="16" s="1"/>
  <c r="AH88" i="16" s="1"/>
  <c r="AC87" i="16"/>
  <c r="AA88" i="16" s="1"/>
  <c r="X89" i="11"/>
  <c r="AG89" i="11" s="1"/>
  <c r="AC82" i="10"/>
  <c r="AB82" i="10"/>
  <c r="AF82" i="10"/>
  <c r="AE82" i="10"/>
  <c r="AG82" i="10"/>
  <c r="U83" i="10"/>
  <c r="AM86" i="19" l="1"/>
  <c r="AO86" i="19" s="1"/>
  <c r="W87" i="19"/>
  <c r="AB87" i="20"/>
  <c r="AK87" i="20" s="1"/>
  <c r="U88" i="20"/>
  <c r="V88" i="20" s="1"/>
  <c r="AH88" i="20" s="1"/>
  <c r="AC87" i="20"/>
  <c r="AN87" i="20" s="1"/>
  <c r="AG87" i="20"/>
  <c r="AJ87" i="20" s="1"/>
  <c r="Z88" i="20"/>
  <c r="AL87" i="20"/>
  <c r="AK87" i="16"/>
  <c r="V87" i="18"/>
  <c r="AH87" i="18" s="1"/>
  <c r="AA87" i="18"/>
  <c r="AN86" i="18"/>
  <c r="Z87" i="18"/>
  <c r="AK86" i="18"/>
  <c r="AJ86" i="18"/>
  <c r="AN87" i="16"/>
  <c r="AL87" i="16"/>
  <c r="W88" i="16"/>
  <c r="AI88" i="16" s="1"/>
  <c r="AB89" i="11"/>
  <c r="Z90" i="11" s="1"/>
  <c r="U90" i="11"/>
  <c r="V90" i="11" s="1"/>
  <c r="AH90" i="11" s="1"/>
  <c r="AC89" i="11"/>
  <c r="AE89" i="11"/>
  <c r="AL89" i="11" s="1"/>
  <c r="AA90" i="11"/>
  <c r="AN89" i="11"/>
  <c r="AL82" i="10"/>
  <c r="AJ82" i="10"/>
  <c r="V83" i="10"/>
  <c r="AH83" i="10" s="1"/>
  <c r="Z83" i="10"/>
  <c r="AK82" i="10"/>
  <c r="AA83" i="10"/>
  <c r="AN82" i="10"/>
  <c r="AA88" i="20" l="1"/>
  <c r="X87" i="19"/>
  <c r="AI87" i="19"/>
  <c r="AM87" i="20"/>
  <c r="AO87" i="20" s="1"/>
  <c r="W88" i="20"/>
  <c r="AI88" i="20" s="1"/>
  <c r="AM87" i="16"/>
  <c r="AO87" i="16" s="1"/>
  <c r="AM86" i="18"/>
  <c r="AO86" i="18" s="1"/>
  <c r="W87" i="18"/>
  <c r="X88" i="16"/>
  <c r="AE88" i="16" s="1"/>
  <c r="AK89" i="11"/>
  <c r="AJ89" i="11"/>
  <c r="W83" i="10"/>
  <c r="AI83" i="10" s="1"/>
  <c r="W90" i="11"/>
  <c r="AM82" i="10"/>
  <c r="AO82" i="10" s="1"/>
  <c r="AE87" i="19" l="1"/>
  <c r="AL87" i="19" s="1"/>
  <c r="U88" i="19"/>
  <c r="AG87" i="19"/>
  <c r="AC87" i="19"/>
  <c r="AB87" i="19"/>
  <c r="X88" i="20"/>
  <c r="AG88" i="20" s="1"/>
  <c r="X87" i="18"/>
  <c r="AI87" i="18"/>
  <c r="AB88" i="16"/>
  <c r="Z89" i="16" s="1"/>
  <c r="U89" i="16"/>
  <c r="V89" i="16" s="1"/>
  <c r="AH89" i="16" s="1"/>
  <c r="AC88" i="16"/>
  <c r="AN88" i="16" s="1"/>
  <c r="AG88" i="16"/>
  <c r="AJ88" i="16" s="1"/>
  <c r="AL88" i="16"/>
  <c r="AM89" i="11"/>
  <c r="AO89" i="11" s="1"/>
  <c r="X83" i="10"/>
  <c r="AG83" i="10" s="1"/>
  <c r="AI90" i="11"/>
  <c r="X90" i="11"/>
  <c r="AA88" i="19" l="1"/>
  <c r="AN87" i="19"/>
  <c r="Z88" i="19"/>
  <c r="AK87" i="19"/>
  <c r="V88" i="19"/>
  <c r="AH88" i="19" s="1"/>
  <c r="AJ87" i="19"/>
  <c r="AB88" i="20"/>
  <c r="AK88" i="20" s="1"/>
  <c r="AE88" i="20"/>
  <c r="AJ88" i="20" s="1"/>
  <c r="AC88" i="20"/>
  <c r="U89" i="20"/>
  <c r="V89" i="20" s="1"/>
  <c r="AH89" i="20" s="1"/>
  <c r="AA89" i="20"/>
  <c r="AN88" i="20"/>
  <c r="AC87" i="18"/>
  <c r="AE87" i="18"/>
  <c r="AL87" i="18" s="1"/>
  <c r="U88" i="18"/>
  <c r="AG87" i="18"/>
  <c r="AB87" i="18"/>
  <c r="AK88" i="16"/>
  <c r="AM88" i="16" s="1"/>
  <c r="AO88" i="16" s="1"/>
  <c r="AA89" i="16"/>
  <c r="W89" i="16"/>
  <c r="AI89" i="16" s="1"/>
  <c r="U84" i="10"/>
  <c r="V84" i="10" s="1"/>
  <c r="AH84" i="10" s="1"/>
  <c r="AC83" i="10"/>
  <c r="AN83" i="10" s="1"/>
  <c r="AF83" i="10"/>
  <c r="AB83" i="10"/>
  <c r="Z84" i="10" s="1"/>
  <c r="AE83" i="10"/>
  <c r="U91" i="11"/>
  <c r="AE90" i="11"/>
  <c r="AC90" i="11"/>
  <c r="AG90" i="11"/>
  <c r="AB90" i="11"/>
  <c r="AA84" i="10"/>
  <c r="Z89" i="20" l="1"/>
  <c r="AL88" i="20"/>
  <c r="AM88" i="20" s="1"/>
  <c r="AO88" i="20" s="1"/>
  <c r="AM87" i="19"/>
  <c r="AO87" i="19" s="1"/>
  <c r="W88" i="19"/>
  <c r="AH129" i="20"/>
  <c r="AH133" i="20"/>
  <c r="AH131" i="20"/>
  <c r="W89" i="20"/>
  <c r="V88" i="18"/>
  <c r="AH88" i="18" s="1"/>
  <c r="Z88" i="18"/>
  <c r="AK87" i="18"/>
  <c r="AA88" i="18"/>
  <c r="AN87" i="18"/>
  <c r="AJ87" i="18"/>
  <c r="X89" i="16"/>
  <c r="AE89" i="16" s="1"/>
  <c r="AK83" i="10"/>
  <c r="AJ83" i="10"/>
  <c r="AL83" i="10"/>
  <c r="W84" i="10"/>
  <c r="AI84" i="10" s="1"/>
  <c r="Z91" i="11"/>
  <c r="AK90" i="11"/>
  <c r="AA91" i="11"/>
  <c r="AN90" i="11"/>
  <c r="AJ90" i="11"/>
  <c r="AL90" i="11"/>
  <c r="V91" i="11"/>
  <c r="AH91" i="11" s="1"/>
  <c r="AI88" i="19" l="1"/>
  <c r="X88" i="19"/>
  <c r="AI89" i="20"/>
  <c r="X89" i="20"/>
  <c r="W88" i="18"/>
  <c r="X88" i="18" s="1"/>
  <c r="AM87" i="18"/>
  <c r="AO87" i="18" s="1"/>
  <c r="AB89" i="16"/>
  <c r="AK89" i="16" s="1"/>
  <c r="AC89" i="16"/>
  <c r="AA90" i="16" s="1"/>
  <c r="U90" i="16"/>
  <c r="V90" i="16" s="1"/>
  <c r="AH90" i="16" s="1"/>
  <c r="AG89" i="16"/>
  <c r="AJ89" i="16" s="1"/>
  <c r="Z90" i="16"/>
  <c r="AL89" i="16"/>
  <c r="AM83" i="10"/>
  <c r="AO83" i="10" s="1"/>
  <c r="X84" i="10"/>
  <c r="AC84" i="10" s="1"/>
  <c r="W91" i="11"/>
  <c r="AI91" i="11" s="1"/>
  <c r="AM90" i="11"/>
  <c r="AO90" i="11" s="1"/>
  <c r="AG88" i="19" l="1"/>
  <c r="U89" i="19"/>
  <c r="AE88" i="19"/>
  <c r="AL88" i="19" s="1"/>
  <c r="AC88" i="19"/>
  <c r="AB88" i="19"/>
  <c r="AG89" i="20"/>
  <c r="AE89" i="20"/>
  <c r="AC89" i="20"/>
  <c r="AN89" i="20" s="1"/>
  <c r="AB89" i="20"/>
  <c r="AK89" i="20" s="1"/>
  <c r="AI129" i="20"/>
  <c r="AI131" i="20"/>
  <c r="AI133" i="20"/>
  <c r="AI88" i="18"/>
  <c r="AC88" i="18"/>
  <c r="AE88" i="18"/>
  <c r="AL88" i="18" s="1"/>
  <c r="AG88" i="18"/>
  <c r="U89" i="18"/>
  <c r="AB88" i="18"/>
  <c r="AN89" i="16"/>
  <c r="W90" i="16"/>
  <c r="AI90" i="16" s="1"/>
  <c r="AM89" i="16"/>
  <c r="AB84" i="10"/>
  <c r="AG84" i="10"/>
  <c r="AA85" i="10"/>
  <c r="AN84" i="10"/>
  <c r="AE84" i="10"/>
  <c r="AF84" i="10"/>
  <c r="U85" i="10"/>
  <c r="AK84" i="10"/>
  <c r="Z85" i="10"/>
  <c r="X91" i="11"/>
  <c r="AE91" i="11" s="1"/>
  <c r="AJ88" i="19" l="1"/>
  <c r="Z89" i="19"/>
  <c r="AK88" i="19"/>
  <c r="AA89" i="19"/>
  <c r="AN88" i="19"/>
  <c r="V89" i="19"/>
  <c r="AH89" i="19" s="1"/>
  <c r="AK133" i="20"/>
  <c r="AK129" i="20"/>
  <c r="AK131" i="20"/>
  <c r="AN131" i="20"/>
  <c r="AN133" i="20"/>
  <c r="AN129" i="20"/>
  <c r="AJ89" i="20"/>
  <c r="AE131" i="20"/>
  <c r="AE129" i="20"/>
  <c r="AE133" i="20"/>
  <c r="AL89" i="20"/>
  <c r="AG129" i="20"/>
  <c r="AG131" i="20"/>
  <c r="AG133" i="20"/>
  <c r="V89" i="18"/>
  <c r="AH89" i="18" s="1"/>
  <c r="Z89" i="18"/>
  <c r="AK88" i="18"/>
  <c r="AA89" i="18"/>
  <c r="AN88" i="18"/>
  <c r="AJ88" i="18"/>
  <c r="AO89" i="16"/>
  <c r="X90" i="16"/>
  <c r="AB90" i="16" s="1"/>
  <c r="AC91" i="11"/>
  <c r="AN91" i="11" s="1"/>
  <c r="AB91" i="11"/>
  <c r="AK91" i="11" s="1"/>
  <c r="AG91" i="11"/>
  <c r="AJ91" i="11" s="1"/>
  <c r="U92" i="11"/>
  <c r="V92" i="11" s="1"/>
  <c r="AH92" i="11" s="1"/>
  <c r="AL84" i="10"/>
  <c r="AJ84" i="10"/>
  <c r="V85" i="10"/>
  <c r="W85" i="10" s="1"/>
  <c r="AI85" i="10" s="1"/>
  <c r="AL91" i="11"/>
  <c r="W89" i="19" l="1"/>
  <c r="X89" i="19" s="1"/>
  <c r="AM88" i="19"/>
  <c r="AO88" i="19" s="1"/>
  <c r="AH131" i="19"/>
  <c r="AH133" i="19"/>
  <c r="AH129" i="19"/>
  <c r="AI89" i="19"/>
  <c r="AJ131" i="20"/>
  <c r="AJ133" i="20"/>
  <c r="AJ129" i="20"/>
  <c r="AM89" i="20"/>
  <c r="AL129" i="20"/>
  <c r="AL131" i="20"/>
  <c r="AL133" i="20"/>
  <c r="W89" i="18"/>
  <c r="X89" i="18" s="1"/>
  <c r="U90" i="18" s="1"/>
  <c r="AM88" i="18"/>
  <c r="AO88" i="18" s="1"/>
  <c r="AC90" i="16"/>
  <c r="AN90" i="16" s="1"/>
  <c r="U91" i="16"/>
  <c r="V91" i="16" s="1"/>
  <c r="AH91" i="16" s="1"/>
  <c r="AE90" i="16"/>
  <c r="AL90" i="16" s="1"/>
  <c r="AG90" i="16"/>
  <c r="Z91" i="16"/>
  <c r="AK90" i="16"/>
  <c r="AA91" i="16"/>
  <c r="Z92" i="11"/>
  <c r="AA92" i="11"/>
  <c r="AM84" i="10"/>
  <c r="AO84" i="10" s="1"/>
  <c r="AH85" i="10"/>
  <c r="X85" i="10"/>
  <c r="AM91" i="11"/>
  <c r="AO91" i="11" s="1"/>
  <c r="W92" i="11"/>
  <c r="AI92" i="11" s="1"/>
  <c r="V90" i="18" l="1"/>
  <c r="AH90" i="18" s="1"/>
  <c r="AC89" i="19"/>
  <c r="AN89" i="19" s="1"/>
  <c r="AE89" i="19"/>
  <c r="AG89" i="19"/>
  <c r="AB89" i="19"/>
  <c r="AK89" i="19" s="1"/>
  <c r="AI133" i="19"/>
  <c r="AI131" i="19"/>
  <c r="AI129" i="19"/>
  <c r="AO89" i="20"/>
  <c r="AM129" i="20"/>
  <c r="AM133" i="20"/>
  <c r="AM131" i="20"/>
  <c r="AI89" i="18"/>
  <c r="AG89" i="18"/>
  <c r="AC89" i="18"/>
  <c r="AE89" i="18"/>
  <c r="AB89" i="18"/>
  <c r="AJ90" i="16"/>
  <c r="AM90" i="16" s="1"/>
  <c r="AO90" i="16" s="1"/>
  <c r="W91" i="16"/>
  <c r="AI91" i="16" s="1"/>
  <c r="AE85" i="10"/>
  <c r="AB85" i="10"/>
  <c r="U86" i="10"/>
  <c r="AC85" i="10"/>
  <c r="AG85" i="10"/>
  <c r="AF85" i="10"/>
  <c r="X92" i="11"/>
  <c r="U93" i="11" s="1"/>
  <c r="AQ4" i="20" l="1"/>
  <c r="AZ5" i="20"/>
  <c r="AZ7" i="20" s="1"/>
  <c r="W90" i="18"/>
  <c r="AI90" i="18" s="1"/>
  <c r="AK89" i="18"/>
  <c r="Z90" i="18"/>
  <c r="AN89" i="18"/>
  <c r="AA90" i="18"/>
  <c r="AJ89" i="19"/>
  <c r="AJ133" i="19" s="1"/>
  <c r="AG129" i="19"/>
  <c r="AG133" i="19"/>
  <c r="AG131" i="19"/>
  <c r="AK131" i="19"/>
  <c r="AK133" i="19"/>
  <c r="AK129" i="19"/>
  <c r="AE131" i="19"/>
  <c r="AE133" i="19"/>
  <c r="AE129" i="19"/>
  <c r="AL89" i="19"/>
  <c r="AN131" i="19"/>
  <c r="AN133" i="19"/>
  <c r="AN129" i="19"/>
  <c r="AO129" i="20"/>
  <c r="AO133" i="20"/>
  <c r="AQ6" i="20" s="1"/>
  <c r="AO131" i="20"/>
  <c r="AL89" i="18"/>
  <c r="AJ89" i="18"/>
  <c r="X91" i="16"/>
  <c r="AB91" i="16" s="1"/>
  <c r="AB92" i="11"/>
  <c r="Z93" i="11" s="1"/>
  <c r="AC92" i="11"/>
  <c r="AA93" i="11" s="1"/>
  <c r="AG92" i="11"/>
  <c r="AE92" i="11"/>
  <c r="AL92" i="11" s="1"/>
  <c r="AN85" i="10"/>
  <c r="AA86" i="10"/>
  <c r="V86" i="10"/>
  <c r="Z86" i="10"/>
  <c r="AK85" i="10"/>
  <c r="AJ85" i="10"/>
  <c r="AL85" i="10"/>
  <c r="V93" i="11"/>
  <c r="AH93" i="11" s="1"/>
  <c r="X90" i="18" l="1"/>
  <c r="AJ131" i="19"/>
  <c r="AJ129" i="19"/>
  <c r="AM89" i="19"/>
  <c r="AO89" i="19" s="1"/>
  <c r="AL131" i="19"/>
  <c r="AL129" i="19"/>
  <c r="AL133" i="19"/>
  <c r="AM89" i="18"/>
  <c r="U92" i="16"/>
  <c r="V92" i="16" s="1"/>
  <c r="AH92" i="16" s="1"/>
  <c r="AG91" i="16"/>
  <c r="AE91" i="16"/>
  <c r="AC91" i="16"/>
  <c r="AN91" i="16" s="1"/>
  <c r="Z92" i="16"/>
  <c r="AK91" i="16"/>
  <c r="AJ92" i="11"/>
  <c r="AK92" i="11"/>
  <c r="AN92" i="11"/>
  <c r="W86" i="10"/>
  <c r="AH86" i="10"/>
  <c r="AM85" i="10"/>
  <c r="AO85" i="10" s="1"/>
  <c r="W93" i="11"/>
  <c r="AI93" i="11" s="1"/>
  <c r="AM131" i="19" l="1"/>
  <c r="AM129" i="19"/>
  <c r="AM133" i="19"/>
  <c r="AB90" i="18"/>
  <c r="AG90" i="18"/>
  <c r="U91" i="18"/>
  <c r="V91" i="18" s="1"/>
  <c r="AH91" i="18" s="1"/>
  <c r="AC90" i="18"/>
  <c r="AE90" i="18"/>
  <c r="AO129" i="19"/>
  <c r="AO131" i="19"/>
  <c r="AO133" i="19"/>
  <c r="AQ6" i="19" s="1"/>
  <c r="AO89" i="18"/>
  <c r="AA92" i="16"/>
  <c r="AJ91" i="16"/>
  <c r="AL91" i="16"/>
  <c r="W92" i="16"/>
  <c r="AM92" i="11"/>
  <c r="AO92" i="11" s="1"/>
  <c r="X93" i="11"/>
  <c r="AE93" i="11" s="1"/>
  <c r="AI86" i="10"/>
  <c r="X86" i="10"/>
  <c r="AQ4" i="19" l="1"/>
  <c r="AZ5" i="19"/>
  <c r="AZ7" i="19" s="1"/>
  <c r="AJ90" i="18"/>
  <c r="AL90" i="18"/>
  <c r="AA91" i="18"/>
  <c r="AN90" i="18"/>
  <c r="W91" i="18"/>
  <c r="Z91" i="18"/>
  <c r="AK90" i="18"/>
  <c r="AM91" i="16"/>
  <c r="AO91" i="16" s="1"/>
  <c r="AI92" i="16"/>
  <c r="X92" i="16"/>
  <c r="AB93" i="11"/>
  <c r="Z94" i="11" s="1"/>
  <c r="U94" i="11"/>
  <c r="V94" i="11" s="1"/>
  <c r="AH94" i="11" s="1"/>
  <c r="AC93" i="11"/>
  <c r="AA94" i="11" s="1"/>
  <c r="AG93" i="11"/>
  <c r="AJ93" i="11" s="1"/>
  <c r="U87" i="10"/>
  <c r="AB86" i="10"/>
  <c r="AE86" i="10"/>
  <c r="AG86" i="10"/>
  <c r="AF86" i="10"/>
  <c r="AC86" i="10"/>
  <c r="AL93" i="11"/>
  <c r="X91" i="18" l="1"/>
  <c r="AI91" i="18"/>
  <c r="AM90" i="18"/>
  <c r="AO90" i="18" s="1"/>
  <c r="AE92" i="16"/>
  <c r="AG92" i="16"/>
  <c r="U93" i="16"/>
  <c r="AC92" i="16"/>
  <c r="AB92" i="16"/>
  <c r="AN93" i="11"/>
  <c r="AK93" i="11"/>
  <c r="AM93" i="11" s="1"/>
  <c r="AL86" i="10"/>
  <c r="AJ86" i="10"/>
  <c r="Z87" i="10"/>
  <c r="AK86" i="10"/>
  <c r="AA87" i="10"/>
  <c r="AN86" i="10"/>
  <c r="V87" i="10"/>
  <c r="AH87" i="10" s="1"/>
  <c r="W94" i="11"/>
  <c r="AB91" i="18" l="1"/>
  <c r="AG91" i="18"/>
  <c r="AE91" i="18"/>
  <c r="AC91" i="18"/>
  <c r="U92" i="18"/>
  <c r="AA93" i="16"/>
  <c r="AN92" i="16"/>
  <c r="Z93" i="16"/>
  <c r="AK92" i="16"/>
  <c r="V93" i="16"/>
  <c r="AH93" i="16" s="1"/>
  <c r="AJ92" i="16"/>
  <c r="AL92" i="16"/>
  <c r="AO93" i="11"/>
  <c r="AM86" i="10"/>
  <c r="AO86" i="10" s="1"/>
  <c r="W87" i="10"/>
  <c r="AI94" i="11"/>
  <c r="X94" i="11"/>
  <c r="AL91" i="18" l="1"/>
  <c r="AJ91" i="18"/>
  <c r="Z92" i="18"/>
  <c r="AK91" i="18"/>
  <c r="V92" i="18"/>
  <c r="AH92" i="18" s="1"/>
  <c r="AN91" i="18"/>
  <c r="AA92" i="18"/>
  <c r="AM92" i="16"/>
  <c r="AO92" i="16" s="1"/>
  <c r="W93" i="16"/>
  <c r="AI93" i="16" s="1"/>
  <c r="X87" i="10"/>
  <c r="AI87" i="10"/>
  <c r="AG94" i="11"/>
  <c r="AC94" i="11"/>
  <c r="AE94" i="11"/>
  <c r="U95" i="11"/>
  <c r="AB94" i="11"/>
  <c r="W92" i="18" l="1"/>
  <c r="AI92" i="18" s="1"/>
  <c r="AM91" i="18"/>
  <c r="AO91" i="18" s="1"/>
  <c r="X93" i="16"/>
  <c r="AE87" i="10"/>
  <c r="AF87" i="10"/>
  <c r="AB87" i="10"/>
  <c r="AG87" i="10"/>
  <c r="AC87" i="10"/>
  <c r="U88" i="10"/>
  <c r="Z95" i="11"/>
  <c r="AK94" i="11"/>
  <c r="V95" i="11"/>
  <c r="AH95" i="11" s="1"/>
  <c r="AJ94" i="11"/>
  <c r="AL94" i="11"/>
  <c r="AA95" i="11"/>
  <c r="AN94" i="11"/>
  <c r="X92" i="18" l="1"/>
  <c r="AB92" i="18"/>
  <c r="AG92" i="18"/>
  <c r="U93" i="18"/>
  <c r="V93" i="18" s="1"/>
  <c r="AH93" i="18" s="1"/>
  <c r="AC92" i="18"/>
  <c r="AE92" i="18"/>
  <c r="AE93" i="16"/>
  <c r="AG93" i="16"/>
  <c r="U94" i="16"/>
  <c r="AC93" i="16"/>
  <c r="AB93" i="16"/>
  <c r="AA88" i="10"/>
  <c r="AN87" i="10"/>
  <c r="V88" i="10"/>
  <c r="AH88" i="10" s="1"/>
  <c r="Z88" i="10"/>
  <c r="AK87" i="10"/>
  <c r="AJ87" i="10"/>
  <c r="AL87" i="10"/>
  <c r="AM94" i="11"/>
  <c r="AO94" i="11" s="1"/>
  <c r="W95" i="11"/>
  <c r="AL92" i="18" l="1"/>
  <c r="AJ92" i="18"/>
  <c r="AA93" i="18"/>
  <c r="AN92" i="18"/>
  <c r="W93" i="18"/>
  <c r="Z93" i="18"/>
  <c r="AK92" i="18"/>
  <c r="Z94" i="16"/>
  <c r="AK93" i="16"/>
  <c r="AA94" i="16"/>
  <c r="AN93" i="16"/>
  <c r="V94" i="16"/>
  <c r="AH94" i="16" s="1"/>
  <c r="AJ93" i="16"/>
  <c r="AL93" i="16"/>
  <c r="W88" i="10"/>
  <c r="AM87" i="10"/>
  <c r="AO87" i="10" s="1"/>
  <c r="AI95" i="11"/>
  <c r="X95" i="11"/>
  <c r="X93" i="18" l="1"/>
  <c r="AI93" i="18"/>
  <c r="AM92" i="18"/>
  <c r="AO92" i="18" s="1"/>
  <c r="W94" i="16"/>
  <c r="AI94" i="16" s="1"/>
  <c r="AM93" i="16"/>
  <c r="AO93" i="16" s="1"/>
  <c r="AI88" i="10"/>
  <c r="X88" i="10"/>
  <c r="AE95" i="11"/>
  <c r="AG95" i="11"/>
  <c r="U96" i="11"/>
  <c r="AC95" i="11"/>
  <c r="AB95" i="11"/>
  <c r="AB93" i="18" l="1"/>
  <c r="U94" i="18"/>
  <c r="AG93" i="18"/>
  <c r="AE93" i="18"/>
  <c r="AC93" i="18"/>
  <c r="X94" i="16"/>
  <c r="AE94" i="16" s="1"/>
  <c r="U89" i="10"/>
  <c r="V89" i="10" s="1"/>
  <c r="AB88" i="10"/>
  <c r="AE88" i="10"/>
  <c r="AG88" i="10"/>
  <c r="AF88" i="10"/>
  <c r="AC88" i="10"/>
  <c r="AH89" i="10"/>
  <c r="Z96" i="11"/>
  <c r="AK95" i="11"/>
  <c r="AA96" i="11"/>
  <c r="AN95" i="11"/>
  <c r="V96" i="11"/>
  <c r="AH96" i="11" s="1"/>
  <c r="AJ95" i="11"/>
  <c r="AL95" i="11"/>
  <c r="AL93" i="18" l="1"/>
  <c r="AJ93" i="18"/>
  <c r="V94" i="18"/>
  <c r="AH94" i="18" s="1"/>
  <c r="AA94" i="18"/>
  <c r="AN93" i="18"/>
  <c r="Z94" i="18"/>
  <c r="AK93" i="18"/>
  <c r="AB94" i="16"/>
  <c r="Z95" i="16" s="1"/>
  <c r="AC94" i="16"/>
  <c r="AA95" i="16" s="1"/>
  <c r="U95" i="16"/>
  <c r="V95" i="16" s="1"/>
  <c r="AH95" i="16" s="1"/>
  <c r="AG94" i="16"/>
  <c r="AJ94" i="16" s="1"/>
  <c r="AK94" i="16"/>
  <c r="AL94" i="16"/>
  <c r="W89" i="10"/>
  <c r="AA89" i="10"/>
  <c r="AN88" i="10"/>
  <c r="AJ88" i="10"/>
  <c r="AL88" i="10"/>
  <c r="Z89" i="10"/>
  <c r="AK88" i="10"/>
  <c r="AI89" i="10"/>
  <c r="X89" i="10"/>
  <c r="AM95" i="11"/>
  <c r="AO95" i="11" s="1"/>
  <c r="W96" i="11"/>
  <c r="AI96" i="11" s="1"/>
  <c r="W94" i="18" l="1"/>
  <c r="AI94" i="18" s="1"/>
  <c r="X94" i="18"/>
  <c r="AM93" i="18"/>
  <c r="AO93" i="18" s="1"/>
  <c r="AN94" i="16"/>
  <c r="W95" i="16"/>
  <c r="AI95" i="16" s="1"/>
  <c r="AM94" i="16"/>
  <c r="AM88" i="10"/>
  <c r="AO88" i="10" s="1"/>
  <c r="AC89" i="10"/>
  <c r="AB89" i="10"/>
  <c r="AF89" i="10"/>
  <c r="AG89" i="10"/>
  <c r="AE89" i="10"/>
  <c r="U90" i="10"/>
  <c r="X96" i="11"/>
  <c r="AG96" i="11" s="1"/>
  <c r="AB94" i="18" l="1"/>
  <c r="U95" i="18"/>
  <c r="AE94" i="18"/>
  <c r="AG94" i="18"/>
  <c r="AC94" i="18"/>
  <c r="AO94" i="16"/>
  <c r="X95" i="16"/>
  <c r="AE95" i="16" s="1"/>
  <c r="AE96" i="11"/>
  <c r="AL96" i="11" s="1"/>
  <c r="AB96" i="11"/>
  <c r="Z97" i="11" s="1"/>
  <c r="AC96" i="11"/>
  <c r="AN96" i="11" s="1"/>
  <c r="U97" i="11"/>
  <c r="V97" i="11" s="1"/>
  <c r="AH97" i="11" s="1"/>
  <c r="Z90" i="10"/>
  <c r="AK89" i="10"/>
  <c r="V90" i="10"/>
  <c r="AH90" i="10" s="1"/>
  <c r="AL89" i="10"/>
  <c r="AJ89" i="10"/>
  <c r="AN89" i="10"/>
  <c r="AA90" i="10"/>
  <c r="AA97" i="11"/>
  <c r="AA95" i="18" l="1"/>
  <c r="AN94" i="18"/>
  <c r="AJ94" i="18"/>
  <c r="AL94" i="18"/>
  <c r="V95" i="18"/>
  <c r="AH95" i="18" s="1"/>
  <c r="Z95" i="18"/>
  <c r="AK94" i="18"/>
  <c r="AB95" i="16"/>
  <c r="AK95" i="16" s="1"/>
  <c r="AC95" i="16"/>
  <c r="AN95" i="16" s="1"/>
  <c r="AG95" i="16"/>
  <c r="AJ95" i="16" s="1"/>
  <c r="U96" i="16"/>
  <c r="V96" i="16" s="1"/>
  <c r="AH96" i="16" s="1"/>
  <c r="AL95" i="16"/>
  <c r="AJ96" i="11"/>
  <c r="AK96" i="11"/>
  <c r="W90" i="10"/>
  <c r="AI90" i="10" s="1"/>
  <c r="AM89" i="10"/>
  <c r="AO89" i="10" s="1"/>
  <c r="W97" i="11"/>
  <c r="AI97" i="11" s="1"/>
  <c r="AM94" i="18" l="1"/>
  <c r="W95" i="18"/>
  <c r="Z96" i="16"/>
  <c r="AA96" i="16"/>
  <c r="AM95" i="16"/>
  <c r="AO95" i="16" s="1"/>
  <c r="W96" i="16"/>
  <c r="AI96" i="16" s="1"/>
  <c r="AM96" i="11"/>
  <c r="AO96" i="11" s="1"/>
  <c r="X90" i="10"/>
  <c r="U91" i="10" s="1"/>
  <c r="X97" i="11"/>
  <c r="AO94" i="18" l="1"/>
  <c r="X95" i="18"/>
  <c r="AI95" i="18"/>
  <c r="X96" i="16"/>
  <c r="AE90" i="10"/>
  <c r="AF90" i="10"/>
  <c r="AG90" i="10"/>
  <c r="AB90" i="10"/>
  <c r="AC90" i="10"/>
  <c r="AA91" i="10" s="1"/>
  <c r="Z91" i="10"/>
  <c r="AK90" i="10"/>
  <c r="V91" i="10"/>
  <c r="AH91" i="10" s="1"/>
  <c r="AG97" i="11"/>
  <c r="U98" i="11"/>
  <c r="AC97" i="11"/>
  <c r="AE97" i="11"/>
  <c r="AB97" i="11"/>
  <c r="AC95" i="18" l="1"/>
  <c r="U96" i="18"/>
  <c r="AG95" i="18"/>
  <c r="AE95" i="18"/>
  <c r="AB95" i="18"/>
  <c r="AE96" i="16"/>
  <c r="AG96" i="16"/>
  <c r="U97" i="16"/>
  <c r="AC96" i="16"/>
  <c r="AB96" i="16"/>
  <c r="AL90" i="10"/>
  <c r="AN90" i="10"/>
  <c r="AJ90" i="10"/>
  <c r="W91" i="10"/>
  <c r="AI91" i="10" s="1"/>
  <c r="AJ97" i="11"/>
  <c r="AL97" i="11"/>
  <c r="Z98" i="11"/>
  <c r="AK97" i="11"/>
  <c r="AA98" i="11"/>
  <c r="AN97" i="11"/>
  <c r="V98" i="11"/>
  <c r="AH98" i="11" s="1"/>
  <c r="V96" i="18" l="1"/>
  <c r="AH96" i="18" s="1"/>
  <c r="AL95" i="18"/>
  <c r="AA96" i="18"/>
  <c r="AN95" i="18"/>
  <c r="Z96" i="18"/>
  <c r="AK95" i="18"/>
  <c r="AJ95" i="18"/>
  <c r="AA97" i="16"/>
  <c r="AN96" i="16"/>
  <c r="Z97" i="16"/>
  <c r="AK96" i="16"/>
  <c r="V97" i="16"/>
  <c r="AH97" i="16" s="1"/>
  <c r="AJ96" i="16"/>
  <c r="AL96" i="16"/>
  <c r="AM90" i="10"/>
  <c r="AO90" i="10" s="1"/>
  <c r="X91" i="10"/>
  <c r="AF91" i="10" s="1"/>
  <c r="W98" i="11"/>
  <c r="AI98" i="11" s="1"/>
  <c r="AM97" i="11"/>
  <c r="AO97" i="11" s="1"/>
  <c r="AM95" i="18" l="1"/>
  <c r="W96" i="18"/>
  <c r="AM96" i="16"/>
  <c r="AO96" i="16" s="1"/>
  <c r="W97" i="16"/>
  <c r="AI97" i="16" s="1"/>
  <c r="X98" i="11"/>
  <c r="AG98" i="11" s="1"/>
  <c r="U92" i="10"/>
  <c r="AC91" i="10"/>
  <c r="AG91" i="10"/>
  <c r="AB91" i="10"/>
  <c r="AK91" i="10" s="1"/>
  <c r="AE91" i="10"/>
  <c r="V92" i="10"/>
  <c r="AH92" i="10" s="1"/>
  <c r="AA92" i="10"/>
  <c r="AN91" i="10"/>
  <c r="X96" i="18" l="1"/>
  <c r="AI96" i="18"/>
  <c r="AO95" i="18"/>
  <c r="AJ91" i="10"/>
  <c r="X97" i="16"/>
  <c r="AB97" i="16" s="1"/>
  <c r="AC98" i="11"/>
  <c r="AN98" i="11" s="1"/>
  <c r="AB98" i="11"/>
  <c r="Z99" i="11" s="1"/>
  <c r="AE98" i="11"/>
  <c r="AJ98" i="11" s="1"/>
  <c r="U99" i="11"/>
  <c r="V99" i="11" s="1"/>
  <c r="AH99" i="11" s="1"/>
  <c r="Z92" i="10"/>
  <c r="AL91" i="10"/>
  <c r="AM91" i="10" s="1"/>
  <c r="AO91" i="10" s="1"/>
  <c r="W92" i="10"/>
  <c r="AI92" i="10" s="1"/>
  <c r="U97" i="18" l="1"/>
  <c r="AG96" i="18"/>
  <c r="AE96" i="18"/>
  <c r="AC96" i="18"/>
  <c r="AB96" i="18"/>
  <c r="AC97" i="16"/>
  <c r="AN97" i="16" s="1"/>
  <c r="U98" i="16"/>
  <c r="V98" i="16" s="1"/>
  <c r="AH98" i="16" s="1"/>
  <c r="AG97" i="16"/>
  <c r="AE97" i="16"/>
  <c r="Z98" i="16"/>
  <c r="AK97" i="16"/>
  <c r="AK98" i="11"/>
  <c r="AL98" i="11"/>
  <c r="AA99" i="11"/>
  <c r="X92" i="10"/>
  <c r="W99" i="11"/>
  <c r="AI99" i="11" s="1"/>
  <c r="AL96" i="18" l="1"/>
  <c r="V97" i="18"/>
  <c r="AH97" i="18" s="1"/>
  <c r="AA97" i="18"/>
  <c r="AN96" i="18"/>
  <c r="AJ96" i="18"/>
  <c r="Z97" i="18"/>
  <c r="AK96" i="18"/>
  <c r="AA98" i="16"/>
  <c r="AJ97" i="16"/>
  <c r="AL97" i="16"/>
  <c r="W98" i="16"/>
  <c r="AI98" i="16" s="1"/>
  <c r="AM98" i="11"/>
  <c r="AO98" i="11" s="1"/>
  <c r="X99" i="11"/>
  <c r="AE99" i="11" s="1"/>
  <c r="U93" i="10"/>
  <c r="AG92" i="10"/>
  <c r="AF92" i="10"/>
  <c r="AE92" i="10"/>
  <c r="AC92" i="10"/>
  <c r="AB92" i="10"/>
  <c r="W97" i="18" l="1"/>
  <c r="X97" i="18"/>
  <c r="AI97" i="18"/>
  <c r="AM96" i="18"/>
  <c r="AM97" i="16"/>
  <c r="AO97" i="16" s="1"/>
  <c r="X98" i="16"/>
  <c r="AG98" i="16" s="1"/>
  <c r="AG99" i="11"/>
  <c r="AJ99" i="11" s="1"/>
  <c r="AB99" i="11"/>
  <c r="U100" i="11"/>
  <c r="V100" i="11" s="1"/>
  <c r="AH100" i="11" s="1"/>
  <c r="AC99" i="11"/>
  <c r="AN99" i="11" s="1"/>
  <c r="AK92" i="10"/>
  <c r="Z93" i="10"/>
  <c r="AN92" i="10"/>
  <c r="AA93" i="10"/>
  <c r="AJ92" i="10"/>
  <c r="AL92" i="10"/>
  <c r="V93" i="10"/>
  <c r="AH93" i="10" s="1"/>
  <c r="Z100" i="11"/>
  <c r="AK99" i="11"/>
  <c r="AL99" i="11"/>
  <c r="AO96" i="18" l="1"/>
  <c r="AE97" i="18"/>
  <c r="U98" i="18"/>
  <c r="AG97" i="18"/>
  <c r="AC97" i="18"/>
  <c r="AB97" i="18"/>
  <c r="AC98" i="16"/>
  <c r="AA99" i="16" s="1"/>
  <c r="AE98" i="16"/>
  <c r="AL98" i="16" s="1"/>
  <c r="U99" i="16"/>
  <c r="V99" i="16" s="1"/>
  <c r="AH99" i="16" s="1"/>
  <c r="AB98" i="16"/>
  <c r="AA100" i="11"/>
  <c r="W100" i="11"/>
  <c r="AI100" i="11" s="1"/>
  <c r="W93" i="10"/>
  <c r="AI93" i="10" s="1"/>
  <c r="AM92" i="10"/>
  <c r="AO92" i="10" s="1"/>
  <c r="AM99" i="11"/>
  <c r="AO99" i="11" s="1"/>
  <c r="AL97" i="18" l="1"/>
  <c r="V98" i="18"/>
  <c r="AH98" i="18" s="1"/>
  <c r="Z98" i="18"/>
  <c r="AK97" i="18"/>
  <c r="AJ97" i="18"/>
  <c r="AA98" i="18"/>
  <c r="AN97" i="18"/>
  <c r="AJ98" i="16"/>
  <c r="W99" i="16"/>
  <c r="AI99" i="16" s="1"/>
  <c r="AN98" i="16"/>
  <c r="Z99" i="16"/>
  <c r="AK98" i="16"/>
  <c r="X99" i="16"/>
  <c r="U100" i="16" s="1"/>
  <c r="X100" i="11"/>
  <c r="X93" i="10"/>
  <c r="AB93" i="10" s="1"/>
  <c r="AF93" i="10"/>
  <c r="AC93" i="10"/>
  <c r="U94" i="10"/>
  <c r="AE93" i="10"/>
  <c r="AM97" i="18" l="1"/>
  <c r="AO97" i="18" s="1"/>
  <c r="W98" i="18"/>
  <c r="AM98" i="16"/>
  <c r="AO98" i="16" s="1"/>
  <c r="AB99" i="16"/>
  <c r="AC99" i="16"/>
  <c r="AN99" i="16" s="1"/>
  <c r="AE99" i="16"/>
  <c r="AL99" i="16" s="1"/>
  <c r="AG99" i="16"/>
  <c r="Z100" i="16"/>
  <c r="AK99" i="16"/>
  <c r="AA100" i="16"/>
  <c r="V100" i="16"/>
  <c r="AH100" i="16" s="1"/>
  <c r="AB100" i="11"/>
  <c r="AG100" i="11"/>
  <c r="AE100" i="11"/>
  <c r="AC100" i="11"/>
  <c r="U101" i="11"/>
  <c r="V101" i="11" s="1"/>
  <c r="AH101" i="11" s="1"/>
  <c r="AG93" i="10"/>
  <c r="AJ93" i="10" s="1"/>
  <c r="AL93" i="10"/>
  <c r="V94" i="10"/>
  <c r="AH94" i="10" s="1"/>
  <c r="AA94" i="10"/>
  <c r="AN93" i="10"/>
  <c r="AK93" i="10"/>
  <c r="Z94" i="10"/>
  <c r="X98" i="18" l="1"/>
  <c r="AI98" i="18"/>
  <c r="AJ99" i="16"/>
  <c r="AM99" i="16" s="1"/>
  <c r="AO99" i="16" s="1"/>
  <c r="W100" i="16"/>
  <c r="AI100" i="16" s="1"/>
  <c r="W101" i="11"/>
  <c r="AI101" i="11" s="1"/>
  <c r="AA101" i="11"/>
  <c r="AN100" i="11"/>
  <c r="AL100" i="11"/>
  <c r="AJ100" i="11"/>
  <c r="Z101" i="11"/>
  <c r="AK100" i="11"/>
  <c r="W94" i="10"/>
  <c r="AM93" i="10"/>
  <c r="AO93" i="10" s="1"/>
  <c r="X101" i="11"/>
  <c r="U99" i="18" l="1"/>
  <c r="AG98" i="18"/>
  <c r="AE98" i="18"/>
  <c r="AC98" i="18"/>
  <c r="AB98" i="18"/>
  <c r="X100" i="16"/>
  <c r="AE100" i="16" s="1"/>
  <c r="AM100" i="11"/>
  <c r="AO100" i="11" s="1"/>
  <c r="AI94" i="10"/>
  <c r="X94" i="10"/>
  <c r="AG101" i="11"/>
  <c r="AE101" i="11"/>
  <c r="AC101" i="11"/>
  <c r="U102" i="11"/>
  <c r="AB101" i="11"/>
  <c r="Z99" i="18" l="1"/>
  <c r="AK98" i="18"/>
  <c r="AA99" i="18"/>
  <c r="AN98" i="18"/>
  <c r="AL98" i="18"/>
  <c r="V99" i="18"/>
  <c r="AH99" i="18" s="1"/>
  <c r="AJ98" i="18"/>
  <c r="AB100" i="16"/>
  <c r="Z101" i="16" s="1"/>
  <c r="U101" i="16"/>
  <c r="V101" i="16" s="1"/>
  <c r="AH101" i="16" s="1"/>
  <c r="AC100" i="16"/>
  <c r="AN100" i="16" s="1"/>
  <c r="AG100" i="16"/>
  <c r="AJ100" i="16" s="1"/>
  <c r="AL100" i="16"/>
  <c r="AE94" i="10"/>
  <c r="AG94" i="10"/>
  <c r="AF94" i="10"/>
  <c r="U95" i="10"/>
  <c r="AB94" i="10"/>
  <c r="AC94" i="10"/>
  <c r="Z102" i="11"/>
  <c r="AK101" i="11"/>
  <c r="V102" i="11"/>
  <c r="AH102" i="11" s="1"/>
  <c r="AA102" i="11"/>
  <c r="AN101" i="11"/>
  <c r="AJ101" i="11"/>
  <c r="AL101" i="11"/>
  <c r="W99" i="18" l="1"/>
  <c r="AI99" i="18" s="1"/>
  <c r="AM98" i="18"/>
  <c r="AA101" i="16"/>
  <c r="AK100" i="16"/>
  <c r="AM100" i="16" s="1"/>
  <c r="AO100" i="16" s="1"/>
  <c r="W101" i="16"/>
  <c r="AI101" i="16" s="1"/>
  <c r="AL94" i="10"/>
  <c r="AN94" i="10"/>
  <c r="AA95" i="10"/>
  <c r="V95" i="10"/>
  <c r="AH95" i="10" s="1"/>
  <c r="Z95" i="10"/>
  <c r="AK94" i="10"/>
  <c r="AJ94" i="10"/>
  <c r="AM101" i="11"/>
  <c r="AO101" i="11" s="1"/>
  <c r="W102" i="11"/>
  <c r="AI102" i="11" s="1"/>
  <c r="X99" i="18" l="1"/>
  <c r="AE99" i="18" s="1"/>
  <c r="AG99" i="18"/>
  <c r="AC99" i="18"/>
  <c r="U100" i="18"/>
  <c r="AB99" i="18"/>
  <c r="AO98" i="18"/>
  <c r="X101" i="16"/>
  <c r="AM94" i="10"/>
  <c r="AO94" i="10" s="1"/>
  <c r="W95" i="10"/>
  <c r="X102" i="11"/>
  <c r="AC102" i="11" s="1"/>
  <c r="AL99" i="18" l="1"/>
  <c r="AJ99" i="18"/>
  <c r="V100" i="18"/>
  <c r="AH100" i="18" s="1"/>
  <c r="Z100" i="18"/>
  <c r="AK99" i="18"/>
  <c r="AA100" i="18"/>
  <c r="AN99" i="18"/>
  <c r="AG101" i="16"/>
  <c r="U102" i="16"/>
  <c r="AE101" i="16"/>
  <c r="AC101" i="16"/>
  <c r="AB101" i="16"/>
  <c r="AB102" i="11"/>
  <c r="U103" i="11"/>
  <c r="V103" i="11" s="1"/>
  <c r="AH103" i="11" s="1"/>
  <c r="AE102" i="11"/>
  <c r="AL102" i="11" s="1"/>
  <c r="AG102" i="11"/>
  <c r="AI95" i="10"/>
  <c r="X95" i="10"/>
  <c r="Z103" i="11"/>
  <c r="AK102" i="11"/>
  <c r="AA103" i="11"/>
  <c r="AN102" i="11"/>
  <c r="AM99" i="18" l="1"/>
  <c r="AO99" i="18" s="1"/>
  <c r="W100" i="18"/>
  <c r="AJ101" i="16"/>
  <c r="AL101" i="16"/>
  <c r="V102" i="16"/>
  <c r="AH102" i="16" s="1"/>
  <c r="Z102" i="16"/>
  <c r="AK101" i="16"/>
  <c r="AA102" i="16"/>
  <c r="AN101" i="16"/>
  <c r="AJ102" i="11"/>
  <c r="AM102" i="11" s="1"/>
  <c r="AO102" i="11" s="1"/>
  <c r="U96" i="10"/>
  <c r="AE95" i="10"/>
  <c r="AG95" i="10"/>
  <c r="AF95" i="10"/>
  <c r="AC95" i="10"/>
  <c r="AB95" i="10"/>
  <c r="W103" i="11"/>
  <c r="AI103" i="11" s="1"/>
  <c r="AI100" i="18" l="1"/>
  <c r="X100" i="18"/>
  <c r="W102" i="16"/>
  <c r="AI102" i="16" s="1"/>
  <c r="AM101" i="16"/>
  <c r="AO101" i="16" s="1"/>
  <c r="AJ95" i="10"/>
  <c r="AL95" i="10"/>
  <c r="AK95" i="10"/>
  <c r="Z96" i="10"/>
  <c r="AA96" i="10"/>
  <c r="AN95" i="10"/>
  <c r="V96" i="10"/>
  <c r="AH96" i="10" s="1"/>
  <c r="X103" i="11"/>
  <c r="U104" i="11" s="1"/>
  <c r="AE100" i="18" l="1"/>
  <c r="AL100" i="18" s="1"/>
  <c r="U101" i="18"/>
  <c r="AG100" i="18"/>
  <c r="AC100" i="18"/>
  <c r="AB100" i="18"/>
  <c r="X102" i="16"/>
  <c r="U103" i="16" s="1"/>
  <c r="AC103" i="11"/>
  <c r="AN103" i="11" s="1"/>
  <c r="AE103" i="11"/>
  <c r="AL103" i="11" s="1"/>
  <c r="AG103" i="11"/>
  <c r="AB103" i="11"/>
  <c r="Z104" i="11" s="1"/>
  <c r="W96" i="10"/>
  <c r="AI96" i="10" s="1"/>
  <c r="AM95" i="10"/>
  <c r="AO95" i="10" s="1"/>
  <c r="V104" i="11"/>
  <c r="AH104" i="11" s="1"/>
  <c r="AJ100" i="18" l="1"/>
  <c r="Z101" i="18"/>
  <c r="AK100" i="18"/>
  <c r="AA101" i="18"/>
  <c r="AN100" i="18"/>
  <c r="V101" i="18"/>
  <c r="AH101" i="18" s="1"/>
  <c r="AB102" i="16"/>
  <c r="AK102" i="16" s="1"/>
  <c r="AC102" i="16"/>
  <c r="AG102" i="16"/>
  <c r="AE102" i="16"/>
  <c r="AL102" i="16" s="1"/>
  <c r="AA103" i="16"/>
  <c r="AN102" i="16"/>
  <c r="Z103" i="16"/>
  <c r="V103" i="16"/>
  <c r="AH103" i="16" s="1"/>
  <c r="AK103" i="11"/>
  <c r="AA104" i="11"/>
  <c r="AJ103" i="11"/>
  <c r="W104" i="11"/>
  <c r="AI104" i="11" s="1"/>
  <c r="X96" i="10"/>
  <c r="AB96" i="10" s="1"/>
  <c r="AM100" i="18" l="1"/>
  <c r="AO100" i="18" s="1"/>
  <c r="W101" i="18"/>
  <c r="AJ102" i="16"/>
  <c r="AM102" i="16" s="1"/>
  <c r="AO102" i="16" s="1"/>
  <c r="W103" i="16"/>
  <c r="AI103" i="16" s="1"/>
  <c r="AM103" i="11"/>
  <c r="AO103" i="11" s="1"/>
  <c r="X104" i="11"/>
  <c r="AB104" i="11" s="1"/>
  <c r="Z105" i="11" s="1"/>
  <c r="U97" i="10"/>
  <c r="V97" i="10" s="1"/>
  <c r="AH97" i="10" s="1"/>
  <c r="AE96" i="10"/>
  <c r="AF96" i="10"/>
  <c r="AC96" i="10"/>
  <c r="AN96" i="10" s="1"/>
  <c r="AG96" i="10"/>
  <c r="AA97" i="10"/>
  <c r="Z97" i="10"/>
  <c r="AK96" i="10"/>
  <c r="X101" i="18" l="1"/>
  <c r="AI101" i="18"/>
  <c r="X103" i="16"/>
  <c r="AE103" i="16" s="1"/>
  <c r="AE104" i="11"/>
  <c r="AL104" i="11" s="1"/>
  <c r="AK104" i="11"/>
  <c r="AG104" i="11"/>
  <c r="AC104" i="11"/>
  <c r="U105" i="11"/>
  <c r="V105" i="11" s="1"/>
  <c r="AH105" i="11" s="1"/>
  <c r="AL96" i="10"/>
  <c r="AJ96" i="10"/>
  <c r="W97" i="10"/>
  <c r="AI97" i="10" s="1"/>
  <c r="AG101" i="18" l="1"/>
  <c r="AC101" i="18"/>
  <c r="U102" i="18"/>
  <c r="AE101" i="18"/>
  <c r="AL101" i="18" s="1"/>
  <c r="AB101" i="18"/>
  <c r="AB103" i="16"/>
  <c r="U104" i="16"/>
  <c r="V104" i="16" s="1"/>
  <c r="AH104" i="16" s="1"/>
  <c r="AC103" i="16"/>
  <c r="AN103" i="16" s="1"/>
  <c r="AG103" i="16"/>
  <c r="AJ103" i="16" s="1"/>
  <c r="Z104" i="16"/>
  <c r="AK103" i="16"/>
  <c r="AA104" i="16"/>
  <c r="AL103" i="16"/>
  <c r="AJ104" i="11"/>
  <c r="AM104" i="11" s="1"/>
  <c r="W105" i="11"/>
  <c r="AI105" i="11" s="1"/>
  <c r="AA105" i="11"/>
  <c r="AN104" i="11"/>
  <c r="AM96" i="10"/>
  <c r="AO96" i="10" s="1"/>
  <c r="X97" i="10"/>
  <c r="Z102" i="18" l="1"/>
  <c r="AK101" i="18"/>
  <c r="V102" i="18"/>
  <c r="AH102" i="18" s="1"/>
  <c r="W102" i="18"/>
  <c r="AA102" i="18"/>
  <c r="AN101" i="18"/>
  <c r="AJ101" i="18"/>
  <c r="AM103" i="16"/>
  <c r="AO103" i="16" s="1"/>
  <c r="W104" i="16"/>
  <c r="AI104" i="16" s="1"/>
  <c r="AO104" i="11"/>
  <c r="X105" i="11"/>
  <c r="U106" i="11" s="1"/>
  <c r="V106" i="11" s="1"/>
  <c r="AH106" i="11" s="1"/>
  <c r="AC97" i="10"/>
  <c r="AB97" i="10"/>
  <c r="U98" i="10"/>
  <c r="AF97" i="10"/>
  <c r="AG97" i="10"/>
  <c r="AE97" i="10"/>
  <c r="X102" i="18" l="1"/>
  <c r="AI102" i="18"/>
  <c r="AM101" i="18"/>
  <c r="AO101" i="18" s="1"/>
  <c r="X104" i="16"/>
  <c r="AG104" i="16" s="1"/>
  <c r="AG105" i="11"/>
  <c r="AE105" i="11"/>
  <c r="AC105" i="11"/>
  <c r="AB105" i="11"/>
  <c r="V98" i="10"/>
  <c r="AH98" i="10" s="1"/>
  <c r="Z98" i="10"/>
  <c r="AK97" i="10"/>
  <c r="AJ97" i="10"/>
  <c r="AL97" i="10"/>
  <c r="AA98" i="10"/>
  <c r="AN97" i="10"/>
  <c r="W106" i="11"/>
  <c r="AI106" i="11" s="1"/>
  <c r="AE102" i="18" l="1"/>
  <c r="AL102" i="18" s="1"/>
  <c r="U103" i="18"/>
  <c r="AG102" i="18"/>
  <c r="AC102" i="18"/>
  <c r="AB102" i="18"/>
  <c r="AB104" i="16"/>
  <c r="AC104" i="16"/>
  <c r="AE104" i="16"/>
  <c r="AJ104" i="16" s="1"/>
  <c r="U105" i="16"/>
  <c r="AA105" i="16"/>
  <c r="AN104" i="16"/>
  <c r="V105" i="16"/>
  <c r="AH105" i="16" s="1"/>
  <c r="Z105" i="16"/>
  <c r="AK104" i="16"/>
  <c r="Z106" i="11"/>
  <c r="AK105" i="11"/>
  <c r="AN105" i="11"/>
  <c r="AA106" i="11"/>
  <c r="AJ105" i="11"/>
  <c r="AL105" i="11"/>
  <c r="X106" i="11"/>
  <c r="AE106" i="11" s="1"/>
  <c r="W98" i="10"/>
  <c r="AM97" i="10"/>
  <c r="AO97" i="10" s="1"/>
  <c r="Z103" i="18" l="1"/>
  <c r="AK102" i="18"/>
  <c r="AA103" i="18"/>
  <c r="AN102" i="18"/>
  <c r="V103" i="18"/>
  <c r="AH103" i="18" s="1"/>
  <c r="AJ102" i="18"/>
  <c r="AL104" i="16"/>
  <c r="AM104" i="16" s="1"/>
  <c r="AO104" i="16" s="1"/>
  <c r="W105" i="16"/>
  <c r="AI105" i="16" s="1"/>
  <c r="AC106" i="11"/>
  <c r="AN106" i="11" s="1"/>
  <c r="AM105" i="11"/>
  <c r="AO105" i="11" s="1"/>
  <c r="AB106" i="11"/>
  <c r="AK106" i="11" s="1"/>
  <c r="U107" i="11"/>
  <c r="V107" i="11" s="1"/>
  <c r="AH107" i="11" s="1"/>
  <c r="AG106" i="11"/>
  <c r="AJ106" i="11" s="1"/>
  <c r="AI98" i="10"/>
  <c r="X98" i="10"/>
  <c r="Z107" i="11"/>
  <c r="AA107" i="11"/>
  <c r="AL106" i="11"/>
  <c r="W103" i="18" l="1"/>
  <c r="AM102" i="18"/>
  <c r="AO102" i="18" s="1"/>
  <c r="X105" i="16"/>
  <c r="W107" i="11"/>
  <c r="AI107" i="11" s="1"/>
  <c r="AE98" i="10"/>
  <c r="AC98" i="10"/>
  <c r="AG98" i="10"/>
  <c r="U99" i="10"/>
  <c r="AB98" i="10"/>
  <c r="AF98" i="10"/>
  <c r="AM106" i="11"/>
  <c r="AO106" i="11" s="1"/>
  <c r="X103" i="18" l="1"/>
  <c r="AI103" i="18"/>
  <c r="AE105" i="16"/>
  <c r="U106" i="16"/>
  <c r="AG105" i="16"/>
  <c r="AC105" i="16"/>
  <c r="AB105" i="16"/>
  <c r="X107" i="11"/>
  <c r="AG107" i="11" s="1"/>
  <c r="AL98" i="10"/>
  <c r="Z99" i="10"/>
  <c r="AK98" i="10"/>
  <c r="V99" i="10"/>
  <c r="AH99" i="10" s="1"/>
  <c r="AA99" i="10"/>
  <c r="AN98" i="10"/>
  <c r="AJ98" i="10"/>
  <c r="AG103" i="18" l="1"/>
  <c r="AE103" i="18"/>
  <c r="AL103" i="18" s="1"/>
  <c r="AC103" i="18"/>
  <c r="U104" i="18"/>
  <c r="AB103" i="18"/>
  <c r="Z106" i="16"/>
  <c r="AK105" i="16"/>
  <c r="AA106" i="16"/>
  <c r="AN105" i="16"/>
  <c r="V106" i="16"/>
  <c r="AH106" i="16" s="1"/>
  <c r="AJ105" i="16"/>
  <c r="AL105" i="16"/>
  <c r="AC107" i="11"/>
  <c r="AN107" i="11" s="1"/>
  <c r="U108" i="11"/>
  <c r="V108" i="11" s="1"/>
  <c r="AH108" i="11" s="1"/>
  <c r="AE107" i="11"/>
  <c r="AL107" i="11" s="1"/>
  <c r="AB107" i="11"/>
  <c r="Z108" i="11" s="1"/>
  <c r="AM98" i="10"/>
  <c r="AO98" i="10" s="1"/>
  <c r="W99" i="10"/>
  <c r="Z104" i="18" l="1"/>
  <c r="AK103" i="18"/>
  <c r="V104" i="18"/>
  <c r="AH104" i="18" s="1"/>
  <c r="AA104" i="18"/>
  <c r="AN103" i="18"/>
  <c r="AJ103" i="18"/>
  <c r="AM105" i="16"/>
  <c r="AO105" i="16" s="1"/>
  <c r="W106" i="16"/>
  <c r="AI106" i="16" s="1"/>
  <c r="AK107" i="11"/>
  <c r="AA108" i="11"/>
  <c r="AJ107" i="11"/>
  <c r="AI99" i="10"/>
  <c r="X99" i="10"/>
  <c r="W108" i="11"/>
  <c r="AI108" i="11" s="1"/>
  <c r="W104" i="18" l="1"/>
  <c r="X104" i="18"/>
  <c r="AI104" i="18"/>
  <c r="AM103" i="18"/>
  <c r="AO103" i="18" s="1"/>
  <c r="X106" i="16"/>
  <c r="AM107" i="11"/>
  <c r="AO107" i="11" s="1"/>
  <c r="X108" i="11"/>
  <c r="AG108" i="11" s="1"/>
  <c r="AE99" i="10"/>
  <c r="AB99" i="10"/>
  <c r="AF99" i="10"/>
  <c r="U100" i="10"/>
  <c r="AG99" i="10"/>
  <c r="AC99" i="10"/>
  <c r="AG104" i="18" l="1"/>
  <c r="U105" i="18"/>
  <c r="AE104" i="18"/>
  <c r="AL104" i="18" s="1"/>
  <c r="AC104" i="18"/>
  <c r="AB104" i="18"/>
  <c r="AG106" i="16"/>
  <c r="U107" i="16"/>
  <c r="AE106" i="16"/>
  <c r="AC106" i="16"/>
  <c r="AB106" i="16"/>
  <c r="AB108" i="11"/>
  <c r="Z109" i="11" s="1"/>
  <c r="U109" i="11"/>
  <c r="AE108" i="11"/>
  <c r="AJ108" i="11" s="1"/>
  <c r="AC108" i="11"/>
  <c r="AA109" i="11" s="1"/>
  <c r="AL99" i="10"/>
  <c r="V100" i="10"/>
  <c r="AH100" i="10" s="1"/>
  <c r="Z100" i="10"/>
  <c r="AK99" i="10"/>
  <c r="AA100" i="10"/>
  <c r="AN99" i="10"/>
  <c r="AJ99" i="10"/>
  <c r="V109" i="11"/>
  <c r="AH109" i="11" s="1"/>
  <c r="Z105" i="18" l="1"/>
  <c r="AK104" i="18"/>
  <c r="AA105" i="18"/>
  <c r="AN104" i="18"/>
  <c r="V105" i="18"/>
  <c r="AH105" i="18" s="1"/>
  <c r="AJ104" i="18"/>
  <c r="Z107" i="16"/>
  <c r="AK106" i="16"/>
  <c r="AA107" i="16"/>
  <c r="AN106" i="16"/>
  <c r="AJ106" i="16"/>
  <c r="AL106" i="16"/>
  <c r="V107" i="16"/>
  <c r="AH107" i="16" s="1"/>
  <c r="AN108" i="11"/>
  <c r="AK108" i="11"/>
  <c r="AL108" i="11"/>
  <c r="AM99" i="10"/>
  <c r="AO99" i="10" s="1"/>
  <c r="W100" i="10"/>
  <c r="W109" i="11"/>
  <c r="AI109" i="11" s="1"/>
  <c r="AM104" i="18" l="1"/>
  <c r="AO104" i="18" s="1"/>
  <c r="W105" i="18"/>
  <c r="W107" i="16"/>
  <c r="AI107" i="16" s="1"/>
  <c r="AM106" i="16"/>
  <c r="AO106" i="16" s="1"/>
  <c r="AM108" i="11"/>
  <c r="AO108" i="11" s="1"/>
  <c r="AI100" i="10"/>
  <c r="X100" i="10"/>
  <c r="X109" i="11"/>
  <c r="AE109" i="11" s="1"/>
  <c r="AI105" i="18" l="1"/>
  <c r="X105" i="18"/>
  <c r="X107" i="16"/>
  <c r="AG107" i="16" s="1"/>
  <c r="AB109" i="11"/>
  <c r="AK109" i="11" s="1"/>
  <c r="U110" i="11"/>
  <c r="V110" i="11" s="1"/>
  <c r="AH110" i="11" s="1"/>
  <c r="AC109" i="11"/>
  <c r="AA110" i="11" s="1"/>
  <c r="AG109" i="11"/>
  <c r="AJ109" i="11" s="1"/>
  <c r="AE100" i="10"/>
  <c r="U101" i="10"/>
  <c r="AF100" i="10"/>
  <c r="AC100" i="10"/>
  <c r="AG100" i="10"/>
  <c r="AB100" i="10"/>
  <c r="AL109" i="11"/>
  <c r="U106" i="18" l="1"/>
  <c r="AC105" i="18"/>
  <c r="AE105" i="18"/>
  <c r="AG105" i="18"/>
  <c r="AB105" i="18"/>
  <c r="AB107" i="16"/>
  <c r="U108" i="16"/>
  <c r="AC107" i="16"/>
  <c r="AN107" i="16" s="1"/>
  <c r="AE107" i="16"/>
  <c r="AJ107" i="16" s="1"/>
  <c r="Z108" i="16"/>
  <c r="AK107" i="16"/>
  <c r="V108" i="16"/>
  <c r="AH108" i="16" s="1"/>
  <c r="Z110" i="11"/>
  <c r="AN109" i="11"/>
  <c r="Z101" i="10"/>
  <c r="AK100" i="10"/>
  <c r="V101" i="10"/>
  <c r="AH101" i="10" s="1"/>
  <c r="AA101" i="10"/>
  <c r="AN100" i="10"/>
  <c r="AJ100" i="10"/>
  <c r="AL100" i="10"/>
  <c r="AM109" i="11"/>
  <c r="W110" i="11"/>
  <c r="AI110" i="11" s="1"/>
  <c r="AA106" i="18" l="1"/>
  <c r="AN105" i="18"/>
  <c r="Z106" i="18"/>
  <c r="AK105" i="18"/>
  <c r="AL105" i="18"/>
  <c r="AJ105" i="18"/>
  <c r="V106" i="18"/>
  <c r="AH106" i="18" s="1"/>
  <c r="AA108" i="16"/>
  <c r="AL107" i="16"/>
  <c r="AM107" i="16" s="1"/>
  <c r="AO107" i="16" s="1"/>
  <c r="W108" i="16"/>
  <c r="AO109" i="11"/>
  <c r="W101" i="10"/>
  <c r="AI101" i="10" s="1"/>
  <c r="X101" i="10"/>
  <c r="AM100" i="10"/>
  <c r="AO100" i="10" s="1"/>
  <c r="X110" i="11"/>
  <c r="AB110" i="11" s="1"/>
  <c r="W106" i="18" l="1"/>
  <c r="AI106" i="18" s="1"/>
  <c r="AM105" i="18"/>
  <c r="AO105" i="18" s="1"/>
  <c r="X106" i="18"/>
  <c r="AI108" i="16"/>
  <c r="X108" i="16"/>
  <c r="AC110" i="11"/>
  <c r="AG110" i="11"/>
  <c r="AE110" i="11"/>
  <c r="AL110" i="11" s="1"/>
  <c r="U111" i="11"/>
  <c r="V111" i="11" s="1"/>
  <c r="AH111" i="11" s="1"/>
  <c r="AE101" i="10"/>
  <c r="AB101" i="10"/>
  <c r="AG101" i="10"/>
  <c r="U102" i="10"/>
  <c r="AC101" i="10"/>
  <c r="AF101" i="10"/>
  <c r="Z111" i="11"/>
  <c r="AK110" i="11"/>
  <c r="AA111" i="11"/>
  <c r="AN110" i="11"/>
  <c r="AC106" i="18" l="1"/>
  <c r="AB106" i="18"/>
  <c r="AG106" i="18"/>
  <c r="AE106" i="18"/>
  <c r="U107" i="18"/>
  <c r="U109" i="16"/>
  <c r="AE108" i="16"/>
  <c r="AG108" i="16"/>
  <c r="AC108" i="16"/>
  <c r="AB108" i="16"/>
  <c r="AJ110" i="11"/>
  <c r="AM110" i="11" s="1"/>
  <c r="AO110" i="11" s="1"/>
  <c r="V102" i="10"/>
  <c r="AH102" i="10" s="1"/>
  <c r="W102" i="10"/>
  <c r="AI102" i="10" s="1"/>
  <c r="Z102" i="10"/>
  <c r="AK101" i="10"/>
  <c r="AA102" i="10"/>
  <c r="AN101" i="10"/>
  <c r="AJ101" i="10"/>
  <c r="AL101" i="10"/>
  <c r="W111" i="11"/>
  <c r="AI111" i="11" s="1"/>
  <c r="AL106" i="18" l="1"/>
  <c r="AJ106" i="18"/>
  <c r="V107" i="18"/>
  <c r="AH107" i="18" s="1"/>
  <c r="W107" i="18"/>
  <c r="AI107" i="18" s="1"/>
  <c r="Z107" i="18"/>
  <c r="AK106" i="18"/>
  <c r="AA107" i="18"/>
  <c r="AN106" i="18"/>
  <c r="Z109" i="16"/>
  <c r="AK108" i="16"/>
  <c r="AA109" i="16"/>
  <c r="AN108" i="16"/>
  <c r="AJ108" i="16"/>
  <c r="AL108" i="16"/>
  <c r="V109" i="16"/>
  <c r="AH109" i="16" s="1"/>
  <c r="X111" i="11"/>
  <c r="AE111" i="11" s="1"/>
  <c r="X102" i="10"/>
  <c r="AM101" i="10"/>
  <c r="AO101" i="10" s="1"/>
  <c r="AC102" i="10"/>
  <c r="AA103" i="10" s="1"/>
  <c r="AE102" i="10"/>
  <c r="U103" i="10"/>
  <c r="AB102" i="10"/>
  <c r="Z103" i="10" s="1"/>
  <c r="AF102" i="10"/>
  <c r="AG102" i="10"/>
  <c r="AM106" i="18" l="1"/>
  <c r="AO106" i="18" s="1"/>
  <c r="X107" i="18"/>
  <c r="W109" i="16"/>
  <c r="AI109" i="16" s="1"/>
  <c r="AM108" i="16"/>
  <c r="AO108" i="16" s="1"/>
  <c r="AB111" i="11"/>
  <c r="Z112" i="11" s="1"/>
  <c r="AC111" i="11"/>
  <c r="AA112" i="11" s="1"/>
  <c r="AG111" i="11"/>
  <c r="AJ111" i="11" s="1"/>
  <c r="U112" i="11"/>
  <c r="V112" i="11" s="1"/>
  <c r="AH112" i="11" s="1"/>
  <c r="AL102" i="10"/>
  <c r="V103" i="10"/>
  <c r="AH103" i="10" s="1"/>
  <c r="AJ102" i="10"/>
  <c r="AK102" i="10"/>
  <c r="AN102" i="10"/>
  <c r="AL111" i="11"/>
  <c r="U108" i="18" l="1"/>
  <c r="AB107" i="18"/>
  <c r="AE107" i="18"/>
  <c r="AG107" i="18"/>
  <c r="AC107" i="18"/>
  <c r="X109" i="16"/>
  <c r="AN111" i="11"/>
  <c r="AK111" i="11"/>
  <c r="AM111" i="11" s="1"/>
  <c r="W103" i="10"/>
  <c r="AI103" i="10" s="1"/>
  <c r="AM102" i="10"/>
  <c r="AO102" i="10" s="1"/>
  <c r="X103" i="10"/>
  <c r="W112" i="11"/>
  <c r="AI112" i="11" s="1"/>
  <c r="AA108" i="18" l="1"/>
  <c r="AN107" i="18"/>
  <c r="Z108" i="18"/>
  <c r="AK107" i="18"/>
  <c r="AJ107" i="18"/>
  <c r="AL107" i="18"/>
  <c r="V108" i="18"/>
  <c r="AH108" i="18" s="1"/>
  <c r="AG109" i="16"/>
  <c r="AE109" i="16"/>
  <c r="U110" i="16"/>
  <c r="AC109" i="16"/>
  <c r="AB109" i="16"/>
  <c r="AO111" i="11"/>
  <c r="X112" i="11"/>
  <c r="AE112" i="11" s="1"/>
  <c r="AE103" i="10"/>
  <c r="AG103" i="10"/>
  <c r="AF103" i="10"/>
  <c r="U104" i="10"/>
  <c r="AC103" i="10"/>
  <c r="AB103" i="10"/>
  <c r="AG112" i="11"/>
  <c r="U113" i="11"/>
  <c r="W108" i="18" l="1"/>
  <c r="AI108" i="18" s="1"/>
  <c r="AM107" i="18"/>
  <c r="AO107" i="18" s="1"/>
  <c r="Z110" i="16"/>
  <c r="AK109" i="16"/>
  <c r="AA110" i="16"/>
  <c r="AN109" i="16"/>
  <c r="V110" i="16"/>
  <c r="AJ109" i="16"/>
  <c r="AL109" i="16"/>
  <c r="AB112" i="11"/>
  <c r="AC112" i="11"/>
  <c r="Z104" i="10"/>
  <c r="AK103" i="10"/>
  <c r="V104" i="10"/>
  <c r="AH104" i="10" s="1"/>
  <c r="AA104" i="10"/>
  <c r="AN103" i="10"/>
  <c r="AJ103" i="10"/>
  <c r="AL103" i="10"/>
  <c r="Z113" i="11"/>
  <c r="AK112" i="11"/>
  <c r="AA113" i="11"/>
  <c r="AN112" i="11"/>
  <c r="AJ112" i="11"/>
  <c r="AL112" i="11"/>
  <c r="V113" i="11"/>
  <c r="AH113" i="11" s="1"/>
  <c r="X108" i="18" l="1"/>
  <c r="U109" i="18"/>
  <c r="AB108" i="18"/>
  <c r="AE108" i="18"/>
  <c r="AC108" i="18"/>
  <c r="AG108" i="18"/>
  <c r="AH110" i="16"/>
  <c r="W110" i="16"/>
  <c r="AI110" i="16" s="1"/>
  <c r="AM109" i="16"/>
  <c r="AO109" i="16" s="1"/>
  <c r="W113" i="11"/>
  <c r="AI113" i="11" s="1"/>
  <c r="W104" i="10"/>
  <c r="AI104" i="10" s="1"/>
  <c r="AM103" i="10"/>
  <c r="AO103" i="10" s="1"/>
  <c r="X104" i="10"/>
  <c r="AM112" i="11"/>
  <c r="AO112" i="11" s="1"/>
  <c r="AL108" i="18" l="1"/>
  <c r="AJ108" i="18"/>
  <c r="AA109" i="18"/>
  <c r="AN108" i="18"/>
  <c r="Z109" i="18"/>
  <c r="AK108" i="18"/>
  <c r="V109" i="18"/>
  <c r="W109" i="18" s="1"/>
  <c r="AI109" i="18" s="1"/>
  <c r="X110" i="16"/>
  <c r="X113" i="11"/>
  <c r="AC104" i="10"/>
  <c r="AG104" i="10"/>
  <c r="AF104" i="10"/>
  <c r="U105" i="10"/>
  <c r="AB104" i="10"/>
  <c r="AE104" i="10"/>
  <c r="AM108" i="18" l="1"/>
  <c r="AO108" i="18" s="1"/>
  <c r="AH109" i="18"/>
  <c r="X109" i="18"/>
  <c r="U111" i="16"/>
  <c r="AG110" i="16"/>
  <c r="AC110" i="16"/>
  <c r="AE110" i="16"/>
  <c r="AB110" i="16"/>
  <c r="AB113" i="11"/>
  <c r="AG113" i="11"/>
  <c r="U114" i="11"/>
  <c r="V114" i="11" s="1"/>
  <c r="AH114" i="11" s="1"/>
  <c r="AC113" i="11"/>
  <c r="AE113" i="11"/>
  <c r="AJ104" i="10"/>
  <c r="AL104" i="10"/>
  <c r="Z105" i="10"/>
  <c r="AK104" i="10"/>
  <c r="V105" i="10"/>
  <c r="AH105" i="10" s="1"/>
  <c r="W105" i="10"/>
  <c r="AI105" i="10" s="1"/>
  <c r="AA105" i="10"/>
  <c r="AN104" i="10"/>
  <c r="AC109" i="18" l="1"/>
  <c r="AE109" i="18"/>
  <c r="AG109" i="18"/>
  <c r="U110" i="18"/>
  <c r="AB109" i="18"/>
  <c r="V111" i="16"/>
  <c r="AH111" i="16" s="1"/>
  <c r="AK110" i="16"/>
  <c r="Z111" i="16"/>
  <c r="AJ110" i="16"/>
  <c r="AL110" i="16"/>
  <c r="AN110" i="16"/>
  <c r="AA111" i="16"/>
  <c r="W114" i="11"/>
  <c r="AI114" i="11" s="1"/>
  <c r="AJ113" i="11"/>
  <c r="AL113" i="11"/>
  <c r="AA114" i="11"/>
  <c r="AN113" i="11"/>
  <c r="Z114" i="11"/>
  <c r="AK113" i="11"/>
  <c r="X105" i="10"/>
  <c r="AM104" i="10"/>
  <c r="AO104" i="10" s="1"/>
  <c r="Z110" i="18" l="1"/>
  <c r="AK109" i="18"/>
  <c r="V110" i="18"/>
  <c r="W110" i="18"/>
  <c r="AI110" i="18" s="1"/>
  <c r="AL109" i="18"/>
  <c r="AJ109" i="18"/>
  <c r="AA110" i="18"/>
  <c r="AN109" i="18"/>
  <c r="W111" i="16"/>
  <c r="AI111" i="16" s="1"/>
  <c r="AM110" i="16"/>
  <c r="AO110" i="16" s="1"/>
  <c r="X114" i="11"/>
  <c r="AG114" i="11" s="1"/>
  <c r="AM113" i="11"/>
  <c r="AO113" i="11" s="1"/>
  <c r="AE105" i="10"/>
  <c r="AB105" i="10"/>
  <c r="AF105" i="10"/>
  <c r="U106" i="10"/>
  <c r="AG105" i="10"/>
  <c r="AC105" i="10"/>
  <c r="U115" i="11"/>
  <c r="AC114" i="11"/>
  <c r="AM109" i="18" l="1"/>
  <c r="AO109" i="18" s="1"/>
  <c r="AH110" i="18"/>
  <c r="X110" i="18"/>
  <c r="X111" i="16"/>
  <c r="AC111" i="16" s="1"/>
  <c r="AB114" i="11"/>
  <c r="AE114" i="11"/>
  <c r="AJ114" i="11" s="1"/>
  <c r="V106" i="10"/>
  <c r="AH106" i="10" s="1"/>
  <c r="Z106" i="10"/>
  <c r="AK105" i="10"/>
  <c r="AA106" i="10"/>
  <c r="AN105" i="10"/>
  <c r="AJ105" i="10"/>
  <c r="AL105" i="10"/>
  <c r="Z115" i="11"/>
  <c r="AK114" i="11"/>
  <c r="AA115" i="11"/>
  <c r="AN114" i="11"/>
  <c r="V115" i="11"/>
  <c r="AH115" i="11" s="1"/>
  <c r="AG110" i="18" l="1"/>
  <c r="U111" i="18"/>
  <c r="AC110" i="18"/>
  <c r="AE110" i="18"/>
  <c r="AB110" i="18"/>
  <c r="AG111" i="16"/>
  <c r="U112" i="16"/>
  <c r="V112" i="16" s="1"/>
  <c r="W112" i="16" s="1"/>
  <c r="AI112" i="16" s="1"/>
  <c r="AE111" i="16"/>
  <c r="AL111" i="16" s="1"/>
  <c r="AB111" i="16"/>
  <c r="AK111" i="16" s="1"/>
  <c r="AA112" i="16"/>
  <c r="AN111" i="16"/>
  <c r="AL114" i="11"/>
  <c r="AM114" i="11" s="1"/>
  <c r="AO114" i="11" s="1"/>
  <c r="W115" i="11"/>
  <c r="AI115" i="11" s="1"/>
  <c r="W106" i="10"/>
  <c r="AM105" i="10"/>
  <c r="AO105" i="10" s="1"/>
  <c r="AL110" i="18" l="1"/>
  <c r="AJ110" i="18"/>
  <c r="Z111" i="18"/>
  <c r="AK110" i="18"/>
  <c r="AN110" i="18"/>
  <c r="AA111" i="18"/>
  <c r="V111" i="18"/>
  <c r="AJ111" i="16"/>
  <c r="AM111" i="16" s="1"/>
  <c r="AO111" i="16" s="1"/>
  <c r="Z112" i="16"/>
  <c r="AH112" i="16"/>
  <c r="X112" i="16"/>
  <c r="X115" i="11"/>
  <c r="AI106" i="10"/>
  <c r="X106" i="10"/>
  <c r="AH111" i="18" l="1"/>
  <c r="W111" i="18"/>
  <c r="AI111" i="18" s="1"/>
  <c r="AM110" i="18"/>
  <c r="AO110" i="18" s="1"/>
  <c r="U113" i="16"/>
  <c r="V113" i="16" s="1"/>
  <c r="AH113" i="16" s="1"/>
  <c r="AE112" i="16"/>
  <c r="AG112" i="16"/>
  <c r="AC112" i="16"/>
  <c r="AB112" i="16"/>
  <c r="AB115" i="11"/>
  <c r="AE115" i="11"/>
  <c r="U116" i="11"/>
  <c r="AG115" i="11"/>
  <c r="AC115" i="11"/>
  <c r="U107" i="10"/>
  <c r="V107" i="10" s="1"/>
  <c r="AH107" i="10" s="1"/>
  <c r="AC106" i="10"/>
  <c r="AF106" i="10"/>
  <c r="AE106" i="10"/>
  <c r="AG106" i="10"/>
  <c r="AB106" i="10"/>
  <c r="W107" i="10"/>
  <c r="X111" i="18" l="1"/>
  <c r="AA113" i="16"/>
  <c r="AN112" i="16"/>
  <c r="W113" i="16"/>
  <c r="AI113" i="16" s="1"/>
  <c r="Z113" i="16"/>
  <c r="AK112" i="16"/>
  <c r="AJ112" i="16"/>
  <c r="AL112" i="16"/>
  <c r="AA116" i="11"/>
  <c r="AN115" i="11"/>
  <c r="AL115" i="11"/>
  <c r="AJ115" i="11"/>
  <c r="V116" i="11"/>
  <c r="W116" i="11" s="1"/>
  <c r="AI116" i="11" s="1"/>
  <c r="Z116" i="11"/>
  <c r="AK115" i="11"/>
  <c r="Z107" i="10"/>
  <c r="AK106" i="10"/>
  <c r="AL106" i="10"/>
  <c r="AA107" i="10"/>
  <c r="AN106" i="10"/>
  <c r="AJ106" i="10"/>
  <c r="AI107" i="10"/>
  <c r="X107" i="10"/>
  <c r="AG111" i="18" l="1"/>
  <c r="AC111" i="18"/>
  <c r="U112" i="18"/>
  <c r="AE111" i="18"/>
  <c r="AB111" i="18"/>
  <c r="X113" i="16"/>
  <c r="AC113" i="16" s="1"/>
  <c r="AM112" i="16"/>
  <c r="AO112" i="16" s="1"/>
  <c r="U114" i="16"/>
  <c r="AB113" i="16"/>
  <c r="AM115" i="11"/>
  <c r="AO115" i="11" s="1"/>
  <c r="AH116" i="11"/>
  <c r="X116" i="11"/>
  <c r="AM106" i="10"/>
  <c r="AO106" i="10" s="1"/>
  <c r="AG107" i="10"/>
  <c r="U108" i="10"/>
  <c r="AF107" i="10"/>
  <c r="AB107" i="10"/>
  <c r="AE107" i="10"/>
  <c r="AC107" i="10"/>
  <c r="Z112" i="18" l="1"/>
  <c r="AK111" i="18"/>
  <c r="AL111" i="18"/>
  <c r="AJ111" i="18"/>
  <c r="V112" i="18"/>
  <c r="AH112" i="18" s="1"/>
  <c r="W112" i="18"/>
  <c r="AI112" i="18" s="1"/>
  <c r="AA112" i="18"/>
  <c r="AN111" i="18"/>
  <c r="AG113" i="16"/>
  <c r="AE113" i="16"/>
  <c r="AL113" i="16" s="1"/>
  <c r="Z114" i="16"/>
  <c r="AK113" i="16"/>
  <c r="V114" i="16"/>
  <c r="AH114" i="16" s="1"/>
  <c r="AA114" i="16"/>
  <c r="AN113" i="16"/>
  <c r="AE116" i="11"/>
  <c r="AC116" i="11"/>
  <c r="U117" i="11"/>
  <c r="V117" i="11" s="1"/>
  <c r="AH117" i="11" s="1"/>
  <c r="AG116" i="11"/>
  <c r="AB116" i="11"/>
  <c r="AA108" i="10"/>
  <c r="AN107" i="10"/>
  <c r="AL107" i="10"/>
  <c r="AJ107" i="10"/>
  <c r="Z108" i="10"/>
  <c r="AK107" i="10"/>
  <c r="V108" i="10"/>
  <c r="AH108" i="10" s="1"/>
  <c r="W108" i="10"/>
  <c r="AI108" i="10" s="1"/>
  <c r="U111" i="10"/>
  <c r="AM111" i="18" l="1"/>
  <c r="AO111" i="18" s="1"/>
  <c r="X112" i="18"/>
  <c r="AC112" i="18"/>
  <c r="AA113" i="18" s="1"/>
  <c r="AG112" i="18"/>
  <c r="AB112" i="18"/>
  <c r="AE112" i="18"/>
  <c r="U113" i="18"/>
  <c r="V113" i="18" s="1"/>
  <c r="AH113" i="18" s="1"/>
  <c r="AJ113" i="16"/>
  <c r="AM113" i="16" s="1"/>
  <c r="AO113" i="16" s="1"/>
  <c r="W114" i="16"/>
  <c r="AI114" i="16" s="1"/>
  <c r="W117" i="11"/>
  <c r="AI117" i="11" s="1"/>
  <c r="AK116" i="11"/>
  <c r="Z117" i="11"/>
  <c r="AL116" i="11"/>
  <c r="AJ116" i="11"/>
  <c r="AN116" i="11"/>
  <c r="AA117" i="11"/>
  <c r="AM107" i="10"/>
  <c r="AO107" i="10" s="1"/>
  <c r="X108" i="10"/>
  <c r="Z111" i="10"/>
  <c r="AA111" i="10"/>
  <c r="V111" i="10"/>
  <c r="W113" i="18" l="1"/>
  <c r="AI113" i="18" s="1"/>
  <c r="AL112" i="18"/>
  <c r="AJ112" i="18"/>
  <c r="Z113" i="18"/>
  <c r="AK112" i="18"/>
  <c r="AN112" i="18"/>
  <c r="X114" i="16"/>
  <c r="X117" i="11"/>
  <c r="AM116" i="11"/>
  <c r="AO116" i="11" s="1"/>
  <c r="U109" i="10"/>
  <c r="AE108" i="10"/>
  <c r="AG108" i="10"/>
  <c r="AF108" i="10"/>
  <c r="AC108" i="10"/>
  <c r="AB108" i="10"/>
  <c r="AC117" i="11"/>
  <c r="AG117" i="11"/>
  <c r="AE117" i="11"/>
  <c r="U118" i="11"/>
  <c r="AB117" i="11"/>
  <c r="W111" i="10"/>
  <c r="AH111" i="10"/>
  <c r="X113" i="18" l="1"/>
  <c r="AC113" i="18" s="1"/>
  <c r="U114" i="18"/>
  <c r="AM112" i="18"/>
  <c r="AO112" i="18" s="1"/>
  <c r="V114" i="18"/>
  <c r="AH114" i="18" s="1"/>
  <c r="AE114" i="16"/>
  <c r="AG114" i="16"/>
  <c r="AC114" i="16"/>
  <c r="U115" i="16"/>
  <c r="V115" i="16" s="1"/>
  <c r="AH115" i="16" s="1"/>
  <c r="AB114" i="16"/>
  <c r="Z109" i="10"/>
  <c r="AK108" i="10"/>
  <c r="AA109" i="10"/>
  <c r="AN108" i="10"/>
  <c r="AJ108" i="10"/>
  <c r="AL108" i="10"/>
  <c r="V109" i="10"/>
  <c r="AH109" i="10" s="1"/>
  <c r="W109" i="10"/>
  <c r="AI109" i="10" s="1"/>
  <c r="Z118" i="11"/>
  <c r="AK117" i="11"/>
  <c r="AA118" i="11"/>
  <c r="AN117" i="11"/>
  <c r="V118" i="11"/>
  <c r="AH118" i="11" s="1"/>
  <c r="AJ117" i="11"/>
  <c r="AL117" i="11"/>
  <c r="X111" i="10"/>
  <c r="AI111" i="10"/>
  <c r="AN113" i="18" l="1"/>
  <c r="AA114" i="18"/>
  <c r="AE113" i="18"/>
  <c r="AB113" i="18"/>
  <c r="AG113" i="18"/>
  <c r="W114" i="18"/>
  <c r="AI114" i="18" s="1"/>
  <c r="W115" i="16"/>
  <c r="AI115" i="16" s="1"/>
  <c r="Z115" i="16"/>
  <c r="AK114" i="16"/>
  <c r="AA115" i="16"/>
  <c r="AN114" i="16"/>
  <c r="AJ114" i="16"/>
  <c r="AL114" i="16"/>
  <c r="X115" i="16"/>
  <c r="AM108" i="10"/>
  <c r="AO108" i="10" s="1"/>
  <c r="X109" i="10"/>
  <c r="AM117" i="11"/>
  <c r="AO117" i="11" s="1"/>
  <c r="W118" i="11"/>
  <c r="AI118" i="11" s="1"/>
  <c r="AC111" i="10"/>
  <c r="AB111" i="10"/>
  <c r="AG111" i="10"/>
  <c r="AF111" i="10"/>
  <c r="U112" i="10"/>
  <c r="V112" i="10" s="1"/>
  <c r="AE111" i="10"/>
  <c r="X114" i="18" l="1"/>
  <c r="Z114" i="18"/>
  <c r="AK113" i="18"/>
  <c r="AL113" i="18"/>
  <c r="AJ113" i="18"/>
  <c r="AE114" i="18"/>
  <c r="AC114" i="18"/>
  <c r="U115" i="18"/>
  <c r="AG114" i="18"/>
  <c r="AB114" i="18"/>
  <c r="AM114" i="16"/>
  <c r="AO114" i="16" s="1"/>
  <c r="AG115" i="16"/>
  <c r="AE115" i="16"/>
  <c r="U116" i="16"/>
  <c r="AC115" i="16"/>
  <c r="AB115" i="16"/>
  <c r="AG109" i="10"/>
  <c r="AE109" i="10"/>
  <c r="AC109" i="10"/>
  <c r="AF109" i="10"/>
  <c r="U110" i="10"/>
  <c r="AB109" i="10"/>
  <c r="X118" i="11"/>
  <c r="W112" i="10"/>
  <c r="AH112" i="10"/>
  <c r="Z112" i="10"/>
  <c r="AK111" i="10"/>
  <c r="AL111" i="10"/>
  <c r="AJ111" i="10"/>
  <c r="AA112" i="10"/>
  <c r="AN111" i="10"/>
  <c r="AL114" i="18" l="1"/>
  <c r="AM113" i="18"/>
  <c r="AO113" i="18" s="1"/>
  <c r="AJ114" i="18"/>
  <c r="Z115" i="18"/>
  <c r="AK114" i="18"/>
  <c r="V115" i="18"/>
  <c r="AH115" i="18" s="1"/>
  <c r="AA115" i="18"/>
  <c r="AN114" i="18"/>
  <c r="AA116" i="16"/>
  <c r="AN115" i="16"/>
  <c r="AJ115" i="16"/>
  <c r="AL115" i="16"/>
  <c r="Z116" i="16"/>
  <c r="AK115" i="16"/>
  <c r="V116" i="16"/>
  <c r="AH116" i="16" s="1"/>
  <c r="AA110" i="10"/>
  <c r="AN109" i="10"/>
  <c r="AJ109" i="10"/>
  <c r="AL109" i="10"/>
  <c r="Z110" i="10"/>
  <c r="AK109" i="10"/>
  <c r="V110" i="10"/>
  <c r="AH110" i="10" s="1"/>
  <c r="W110" i="10"/>
  <c r="AI110" i="10" s="1"/>
  <c r="AM111" i="10"/>
  <c r="AO111" i="10" s="1"/>
  <c r="AE118" i="11"/>
  <c r="U119" i="11"/>
  <c r="AC118" i="11"/>
  <c r="AG118" i="11"/>
  <c r="AB118" i="11"/>
  <c r="X112" i="10"/>
  <c r="AI112" i="10"/>
  <c r="AM114" i="18" l="1"/>
  <c r="AO114" i="18" s="1"/>
  <c r="W115" i="18"/>
  <c r="AI115" i="18" s="1"/>
  <c r="AM115" i="16"/>
  <c r="AO115" i="16" s="1"/>
  <c r="W116" i="16"/>
  <c r="AI116" i="16" s="1"/>
  <c r="AM109" i="10"/>
  <c r="AO109" i="10" s="1"/>
  <c r="X110" i="10"/>
  <c r="Z119" i="11"/>
  <c r="AK118" i="11"/>
  <c r="AA119" i="11"/>
  <c r="AN118" i="11"/>
  <c r="V119" i="11"/>
  <c r="AH119" i="11" s="1"/>
  <c r="AJ118" i="11"/>
  <c r="AL118" i="11"/>
  <c r="AC112" i="10"/>
  <c r="AB112" i="10"/>
  <c r="AG112" i="10"/>
  <c r="AF112" i="10"/>
  <c r="U113" i="10"/>
  <c r="AE112" i="10"/>
  <c r="X115" i="18" l="1"/>
  <c r="AG115" i="18" s="1"/>
  <c r="X116" i="16"/>
  <c r="AC110" i="10"/>
  <c r="AN110" i="10" s="1"/>
  <c r="AB110" i="10"/>
  <c r="AK110" i="10" s="1"/>
  <c r="AE110" i="10"/>
  <c r="AF110" i="10"/>
  <c r="AG110" i="10"/>
  <c r="AM118" i="11"/>
  <c r="AO118" i="11" s="1"/>
  <c r="W119" i="11"/>
  <c r="AI119" i="11" s="1"/>
  <c r="V113" i="10"/>
  <c r="Z113" i="10"/>
  <c r="AK112" i="10"/>
  <c r="AJ112" i="10"/>
  <c r="AL112" i="10"/>
  <c r="AA113" i="10"/>
  <c r="AN112" i="10"/>
  <c r="AC115" i="18" l="1"/>
  <c r="AE115" i="18"/>
  <c r="AL115" i="18" s="1"/>
  <c r="U116" i="18"/>
  <c r="AB115" i="18"/>
  <c r="U117" i="16"/>
  <c r="AG116" i="16"/>
  <c r="AE116" i="16"/>
  <c r="AC116" i="16"/>
  <c r="AB116" i="16"/>
  <c r="AJ110" i="10"/>
  <c r="AL110" i="10"/>
  <c r="X119" i="11"/>
  <c r="U120" i="11" s="1"/>
  <c r="AG119" i="11"/>
  <c r="AC119" i="11"/>
  <c r="AE119" i="11"/>
  <c r="AB119" i="11"/>
  <c r="AM112" i="10"/>
  <c r="AO112" i="10" s="1"/>
  <c r="W113" i="10"/>
  <c r="AH113" i="10"/>
  <c r="V116" i="18" l="1"/>
  <c r="W116" i="18"/>
  <c r="AI116" i="18" s="1"/>
  <c r="AN115" i="18"/>
  <c r="AA116" i="18"/>
  <c r="Z116" i="18"/>
  <c r="AK115" i="18"/>
  <c r="AJ115" i="18"/>
  <c r="Z117" i="16"/>
  <c r="AK116" i="16"/>
  <c r="AA117" i="16"/>
  <c r="AN116" i="16"/>
  <c r="AJ116" i="16"/>
  <c r="AL116" i="16"/>
  <c r="V117" i="16"/>
  <c r="AH117" i="16" s="1"/>
  <c r="AM110" i="10"/>
  <c r="AO110" i="10" s="1"/>
  <c r="Z120" i="11"/>
  <c r="AK119" i="11"/>
  <c r="AJ119" i="11"/>
  <c r="AL119" i="11"/>
  <c r="AA120" i="11"/>
  <c r="AN119" i="11"/>
  <c r="V120" i="11"/>
  <c r="AH120" i="11" s="1"/>
  <c r="AI113" i="10"/>
  <c r="X113" i="10"/>
  <c r="AM115" i="18" l="1"/>
  <c r="AO115" i="18" s="1"/>
  <c r="AH116" i="18"/>
  <c r="X116" i="18"/>
  <c r="W117" i="16"/>
  <c r="AI117" i="16" s="1"/>
  <c r="AM116" i="16"/>
  <c r="AO116" i="16" s="1"/>
  <c r="AM119" i="11"/>
  <c r="AO119" i="11" s="1"/>
  <c r="W120" i="11"/>
  <c r="AI120" i="11" s="1"/>
  <c r="AC113" i="10"/>
  <c r="AB113" i="10"/>
  <c r="AF113" i="10"/>
  <c r="AG113" i="10"/>
  <c r="U114" i="10"/>
  <c r="AE113" i="10"/>
  <c r="AC116" i="18" l="1"/>
  <c r="AG116" i="18"/>
  <c r="U117" i="18"/>
  <c r="AE116" i="18"/>
  <c r="AB116" i="18"/>
  <c r="X117" i="16"/>
  <c r="AG117" i="16" s="1"/>
  <c r="U118" i="16"/>
  <c r="AC117" i="16"/>
  <c r="AB117" i="16"/>
  <c r="X120" i="11"/>
  <c r="AE120" i="11" s="1"/>
  <c r="AJ113" i="10"/>
  <c r="AL113" i="10"/>
  <c r="Z114" i="10"/>
  <c r="AK113" i="10"/>
  <c r="V114" i="10"/>
  <c r="AA114" i="10"/>
  <c r="AN113" i="10"/>
  <c r="AL116" i="18" l="1"/>
  <c r="AJ116" i="18"/>
  <c r="AK116" i="18"/>
  <c r="Z117" i="18"/>
  <c r="V117" i="18"/>
  <c r="W117" i="18"/>
  <c r="AI117" i="18" s="1"/>
  <c r="AN116" i="18"/>
  <c r="AA117" i="18"/>
  <c r="AE117" i="16"/>
  <c r="AJ117" i="16" s="1"/>
  <c r="Z118" i="16"/>
  <c r="AK117" i="16"/>
  <c r="AA118" i="16"/>
  <c r="AN117" i="16"/>
  <c r="V118" i="16"/>
  <c r="AH118" i="16" s="1"/>
  <c r="AC120" i="11"/>
  <c r="AB120" i="11"/>
  <c r="AG120" i="11"/>
  <c r="AJ120" i="11" s="1"/>
  <c r="U121" i="11"/>
  <c r="V121" i="11" s="1"/>
  <c r="AH121" i="11" s="1"/>
  <c r="Z121" i="11"/>
  <c r="AK120" i="11"/>
  <c r="AA121" i="11"/>
  <c r="AN120" i="11"/>
  <c r="AL120" i="11"/>
  <c r="W114" i="10"/>
  <c r="AI114" i="10" s="1"/>
  <c r="AH114" i="10"/>
  <c r="AM113" i="10"/>
  <c r="AO113" i="10" s="1"/>
  <c r="AM116" i="18" l="1"/>
  <c r="AO116" i="18" s="1"/>
  <c r="AH117" i="18"/>
  <c r="X117" i="18"/>
  <c r="AL117" i="16"/>
  <c r="AM117" i="16" s="1"/>
  <c r="AO117" i="16" s="1"/>
  <c r="W118" i="16"/>
  <c r="AI118" i="16" s="1"/>
  <c r="W121" i="11"/>
  <c r="AI121" i="11" s="1"/>
  <c r="AM120" i="11"/>
  <c r="AO120" i="11" s="1"/>
  <c r="X114" i="10"/>
  <c r="U115" i="10" s="1"/>
  <c r="U118" i="18" l="1"/>
  <c r="AE117" i="18"/>
  <c r="AC117" i="18"/>
  <c r="AG117" i="18"/>
  <c r="AB117" i="18"/>
  <c r="X118" i="16"/>
  <c r="X121" i="11"/>
  <c r="U122" i="11" s="1"/>
  <c r="V122" i="11" s="1"/>
  <c r="AH122" i="11" s="1"/>
  <c r="AG114" i="10"/>
  <c r="AF114" i="10"/>
  <c r="AB114" i="10"/>
  <c r="AC114" i="10"/>
  <c r="AE114" i="10"/>
  <c r="V115" i="10"/>
  <c r="Z115" i="10"/>
  <c r="AK114" i="10"/>
  <c r="AA115" i="10"/>
  <c r="AN114" i="10"/>
  <c r="Z118" i="18" l="1"/>
  <c r="AK117" i="18"/>
  <c r="AN117" i="18"/>
  <c r="AA118" i="18"/>
  <c r="AL117" i="18"/>
  <c r="AJ117" i="18"/>
  <c r="V118" i="18"/>
  <c r="W118" i="18" s="1"/>
  <c r="AI118" i="18" s="1"/>
  <c r="U119" i="16"/>
  <c r="AG118" i="16"/>
  <c r="AC118" i="16"/>
  <c r="AE118" i="16"/>
  <c r="AB118" i="16"/>
  <c r="AG121" i="11"/>
  <c r="AE121" i="11"/>
  <c r="AB121" i="11"/>
  <c r="AK121" i="11" s="1"/>
  <c r="AC121" i="11"/>
  <c r="AA122" i="11" s="1"/>
  <c r="AJ114" i="10"/>
  <c r="AL114" i="10"/>
  <c r="Z122" i="11"/>
  <c r="W122" i="11"/>
  <c r="AI122" i="11" s="1"/>
  <c r="AF131" i="11"/>
  <c r="AF129" i="11"/>
  <c r="AF133" i="11"/>
  <c r="W115" i="10"/>
  <c r="AI115" i="10" s="1"/>
  <c r="AH115" i="10"/>
  <c r="AH118" i="18" l="1"/>
  <c r="X118" i="18"/>
  <c r="AM117" i="18"/>
  <c r="AO117" i="18" s="1"/>
  <c r="Z119" i="16"/>
  <c r="AK118" i="16"/>
  <c r="AA119" i="16"/>
  <c r="AN118" i="16"/>
  <c r="AJ118" i="16"/>
  <c r="AL118" i="16"/>
  <c r="V119" i="16"/>
  <c r="AH119" i="16" s="1"/>
  <c r="AN121" i="11"/>
  <c r="AJ121" i="11"/>
  <c r="AL121" i="11"/>
  <c r="AM121" i="11" s="1"/>
  <c r="X122" i="11"/>
  <c r="AB122" i="11" s="1"/>
  <c r="Z123" i="11" s="1"/>
  <c r="AM114" i="10"/>
  <c r="AO114" i="10" s="1"/>
  <c r="U123" i="11"/>
  <c r="AG122" i="11"/>
  <c r="AE122" i="11"/>
  <c r="AL122" i="11" s="1"/>
  <c r="X115" i="10"/>
  <c r="U119" i="18" l="1"/>
  <c r="V119" i="18" s="1"/>
  <c r="AH119" i="18" s="1"/>
  <c r="AC118" i="18"/>
  <c r="AB118" i="18"/>
  <c r="AG118" i="18"/>
  <c r="AE118" i="18"/>
  <c r="W119" i="18"/>
  <c r="AI119" i="18" s="1"/>
  <c r="W119" i="16"/>
  <c r="AI119" i="16" s="1"/>
  <c r="AM118" i="16"/>
  <c r="AO118" i="16" s="1"/>
  <c r="AC122" i="11"/>
  <c r="AA123" i="11" s="1"/>
  <c r="AK122" i="11"/>
  <c r="AJ122" i="11"/>
  <c r="V123" i="11"/>
  <c r="AH123" i="11" s="1"/>
  <c r="W123" i="11"/>
  <c r="AI123" i="11" s="1"/>
  <c r="AO121" i="11"/>
  <c r="AC115" i="10"/>
  <c r="AB115" i="10"/>
  <c r="AF115" i="10"/>
  <c r="U116" i="10"/>
  <c r="AE115" i="10"/>
  <c r="AG115" i="10"/>
  <c r="AK118" i="18" l="1"/>
  <c r="Z119" i="18"/>
  <c r="X119" i="18"/>
  <c r="AE119" i="18" s="1"/>
  <c r="AN118" i="18"/>
  <c r="AA119" i="18"/>
  <c r="AL118" i="18"/>
  <c r="AJ118" i="18"/>
  <c r="AC119" i="18"/>
  <c r="X119" i="16"/>
  <c r="AC119" i="16" s="1"/>
  <c r="AN122" i="11"/>
  <c r="X123" i="11"/>
  <c r="AG123" i="11" s="1"/>
  <c r="AE123" i="11"/>
  <c r="U124" i="11"/>
  <c r="AC123" i="11"/>
  <c r="AB123" i="11"/>
  <c r="AM122" i="11"/>
  <c r="V116" i="10"/>
  <c r="AH116" i="10" s="1"/>
  <c r="Z116" i="10"/>
  <c r="AK115" i="10"/>
  <c r="AJ115" i="10"/>
  <c r="AL115" i="10"/>
  <c r="AA116" i="10"/>
  <c r="AN115" i="10"/>
  <c r="AL119" i="18" l="1"/>
  <c r="U120" i="18"/>
  <c r="AG119" i="18"/>
  <c r="AJ119" i="18" s="1"/>
  <c r="AB119" i="18"/>
  <c r="AK119" i="18" s="1"/>
  <c r="AM118" i="18"/>
  <c r="AO118" i="18" s="1"/>
  <c r="V120" i="18"/>
  <c r="AH120" i="18" s="1"/>
  <c r="Z120" i="18"/>
  <c r="AA120" i="18"/>
  <c r="AN119" i="18"/>
  <c r="AG119" i="16"/>
  <c r="AE119" i="16"/>
  <c r="AL119" i="16" s="1"/>
  <c r="AB119" i="16"/>
  <c r="U120" i="16"/>
  <c r="V120" i="16" s="1"/>
  <c r="AH120" i="16" s="1"/>
  <c r="Z120" i="16"/>
  <c r="AK119" i="16"/>
  <c r="AA120" i="16"/>
  <c r="AN119" i="16"/>
  <c r="AA124" i="11"/>
  <c r="AN123" i="11"/>
  <c r="V124" i="11"/>
  <c r="AH124" i="11" s="1"/>
  <c r="AJ123" i="11"/>
  <c r="AL123" i="11"/>
  <c r="Z124" i="11"/>
  <c r="AK123" i="11"/>
  <c r="AO122" i="11"/>
  <c r="W116" i="10"/>
  <c r="X116" i="10" s="1"/>
  <c r="AM115" i="10"/>
  <c r="AO115" i="10" s="1"/>
  <c r="AM119" i="18" l="1"/>
  <c r="AO119" i="18" s="1"/>
  <c r="W120" i="18"/>
  <c r="AJ119" i="16"/>
  <c r="AM119" i="16" s="1"/>
  <c r="AO119" i="16" s="1"/>
  <c r="W120" i="16"/>
  <c r="AI120" i="16" s="1"/>
  <c r="AI116" i="10"/>
  <c r="AM123" i="11"/>
  <c r="AH131" i="11"/>
  <c r="AH133" i="11"/>
  <c r="AH129" i="11"/>
  <c r="W124" i="11"/>
  <c r="AC116" i="10"/>
  <c r="AB116" i="10"/>
  <c r="U117" i="10"/>
  <c r="AE116" i="10"/>
  <c r="AF116" i="10"/>
  <c r="AG116" i="10"/>
  <c r="X120" i="18" l="1"/>
  <c r="AI120" i="18"/>
  <c r="X120" i="16"/>
  <c r="AO123" i="11"/>
  <c r="AI124" i="11"/>
  <c r="X124" i="11"/>
  <c r="V117" i="10"/>
  <c r="Z117" i="10"/>
  <c r="AK116" i="10"/>
  <c r="AJ116" i="10"/>
  <c r="AL116" i="10"/>
  <c r="AA117" i="10"/>
  <c r="AN116" i="10"/>
  <c r="AE120" i="18" l="1"/>
  <c r="AL120" i="18" s="1"/>
  <c r="AC120" i="18"/>
  <c r="AG120" i="18"/>
  <c r="U121" i="18"/>
  <c r="AB120" i="18"/>
  <c r="AG120" i="16"/>
  <c r="U121" i="16"/>
  <c r="AE120" i="16"/>
  <c r="AC120" i="16"/>
  <c r="AB120" i="16"/>
  <c r="AI133" i="11"/>
  <c r="AI131" i="11"/>
  <c r="AI129" i="11"/>
  <c r="AE124" i="11"/>
  <c r="AC124" i="11"/>
  <c r="AN124" i="11" s="1"/>
  <c r="AG124" i="11"/>
  <c r="AB124" i="11"/>
  <c r="AK124" i="11" s="1"/>
  <c r="AM116" i="10"/>
  <c r="AO116" i="10" s="1"/>
  <c r="W117" i="10"/>
  <c r="AH117" i="10"/>
  <c r="V121" i="18" l="1"/>
  <c r="AH121" i="18" s="1"/>
  <c r="Z121" i="18"/>
  <c r="AK120" i="18"/>
  <c r="AA121" i="18"/>
  <c r="AN120" i="18"/>
  <c r="AJ120" i="18"/>
  <c r="Z121" i="16"/>
  <c r="AK120" i="16"/>
  <c r="AA121" i="16"/>
  <c r="AN120" i="16"/>
  <c r="AJ120" i="16"/>
  <c r="AL120" i="16"/>
  <c r="V121" i="16"/>
  <c r="AH121" i="16" s="1"/>
  <c r="AK129" i="11"/>
  <c r="AK133" i="11"/>
  <c r="AK131" i="11"/>
  <c r="AN131" i="11"/>
  <c r="AN129" i="11"/>
  <c r="AN133" i="11"/>
  <c r="AJ124" i="11"/>
  <c r="AE129" i="11"/>
  <c r="AE133" i="11"/>
  <c r="AE131" i="11"/>
  <c r="AL124" i="11"/>
  <c r="AG131" i="11"/>
  <c r="AG129" i="11"/>
  <c r="AG133" i="11"/>
  <c r="AI117" i="10"/>
  <c r="X117" i="10"/>
  <c r="W121" i="18" l="1"/>
  <c r="AM120" i="18"/>
  <c r="AO120" i="18" s="1"/>
  <c r="W121" i="16"/>
  <c r="AI121" i="16" s="1"/>
  <c r="AM120" i="16"/>
  <c r="AO120" i="16" s="1"/>
  <c r="AJ129" i="11"/>
  <c r="AJ133" i="11"/>
  <c r="AJ131" i="11"/>
  <c r="AM124" i="11"/>
  <c r="AL133" i="11"/>
  <c r="AL129" i="11"/>
  <c r="AL131" i="11"/>
  <c r="AC117" i="10"/>
  <c r="AB117" i="10"/>
  <c r="U118" i="10"/>
  <c r="AE117" i="10"/>
  <c r="AG117" i="10"/>
  <c r="AF117" i="10"/>
  <c r="X121" i="18" l="1"/>
  <c r="AI121" i="18"/>
  <c r="X121" i="16"/>
  <c r="AC121" i="16" s="1"/>
  <c r="U122" i="16"/>
  <c r="AO124" i="11"/>
  <c r="AM129" i="11"/>
  <c r="AM131" i="11"/>
  <c r="AM133" i="11"/>
  <c r="AQ4" i="11" s="1"/>
  <c r="V118" i="10"/>
  <c r="AJ117" i="10"/>
  <c r="AL117" i="10"/>
  <c r="Z118" i="10"/>
  <c r="AK117" i="10"/>
  <c r="AA118" i="10"/>
  <c r="AN117" i="10"/>
  <c r="AC121" i="18" l="1"/>
  <c r="AG121" i="18"/>
  <c r="U122" i="18"/>
  <c r="AE121" i="18"/>
  <c r="AL121" i="18" s="1"/>
  <c r="AB121" i="18"/>
  <c r="AB121" i="16"/>
  <c r="AG121" i="16"/>
  <c r="AE121" i="16"/>
  <c r="Z122" i="16"/>
  <c r="AK121" i="16"/>
  <c r="V122" i="16"/>
  <c r="AH122" i="16" s="1"/>
  <c r="AA122" i="16"/>
  <c r="AN121" i="16"/>
  <c r="AO131" i="11"/>
  <c r="AO129" i="11"/>
  <c r="AO133" i="11"/>
  <c r="AQ6" i="11" s="1"/>
  <c r="AM117" i="10"/>
  <c r="AO117" i="10" s="1"/>
  <c r="W118" i="10"/>
  <c r="AH118" i="10"/>
  <c r="Z122" i="18" l="1"/>
  <c r="AK121" i="18"/>
  <c r="AA122" i="18"/>
  <c r="AN121" i="18"/>
  <c r="V122" i="18"/>
  <c r="AH122" i="18" s="1"/>
  <c r="AJ121" i="18"/>
  <c r="AJ121" i="16"/>
  <c r="AL121" i="16"/>
  <c r="W122" i="16"/>
  <c r="AI122" i="16" s="1"/>
  <c r="AI118" i="10"/>
  <c r="X118" i="10"/>
  <c r="W122" i="18" l="1"/>
  <c r="AM121" i="18"/>
  <c r="AO121" i="18" s="1"/>
  <c r="AM121" i="16"/>
  <c r="AO121" i="16" s="1"/>
  <c r="X122" i="16"/>
  <c r="U123" i="16" s="1"/>
  <c r="V123" i="16" s="1"/>
  <c r="AH123" i="16" s="1"/>
  <c r="AC122" i="16"/>
  <c r="AB122" i="16"/>
  <c r="AC118" i="10"/>
  <c r="AB118" i="10"/>
  <c r="AE118" i="10"/>
  <c r="AG118" i="10"/>
  <c r="U119" i="10"/>
  <c r="AF118" i="10"/>
  <c r="AI122" i="18" l="1"/>
  <c r="X122" i="18"/>
  <c r="AG122" i="16"/>
  <c r="AE122" i="16"/>
  <c r="AL122" i="16" s="1"/>
  <c r="AN122" i="16"/>
  <c r="AA123" i="16"/>
  <c r="AK122" i="16"/>
  <c r="Z123" i="16"/>
  <c r="W123" i="16"/>
  <c r="AI123" i="16" s="1"/>
  <c r="AJ118" i="10"/>
  <c r="AL118" i="10"/>
  <c r="Z119" i="10"/>
  <c r="AK118" i="10"/>
  <c r="V119" i="10"/>
  <c r="AH119" i="10" s="1"/>
  <c r="AA119" i="10"/>
  <c r="AN118" i="10"/>
  <c r="AE122" i="18" l="1"/>
  <c r="AL122" i="18" s="1"/>
  <c r="AC122" i="18"/>
  <c r="AG122" i="18"/>
  <c r="U123" i="18"/>
  <c r="AB122" i="18"/>
  <c r="AJ122" i="16"/>
  <c r="AM122" i="16" s="1"/>
  <c r="X123" i="16"/>
  <c r="W119" i="10"/>
  <c r="X119" i="10" s="1"/>
  <c r="AI119" i="10"/>
  <c r="AM118" i="10"/>
  <c r="AO118" i="10" s="1"/>
  <c r="AJ122" i="18" l="1"/>
  <c r="V123" i="18"/>
  <c r="AH123" i="18" s="1"/>
  <c r="AA123" i="18"/>
  <c r="AN122" i="18"/>
  <c r="Z123" i="18"/>
  <c r="AK122" i="18"/>
  <c r="U124" i="16"/>
  <c r="AG123" i="16"/>
  <c r="AE123" i="16"/>
  <c r="AC123" i="16"/>
  <c r="AB123" i="16"/>
  <c r="AO122" i="16"/>
  <c r="AC119" i="10"/>
  <c r="AB119" i="10"/>
  <c r="AG119" i="10"/>
  <c r="AF119" i="10"/>
  <c r="AE119" i="10"/>
  <c r="U120" i="10"/>
  <c r="AM122" i="18" l="1"/>
  <c r="AO122" i="18" s="1"/>
  <c r="W123" i="18"/>
  <c r="AI123" i="18" s="1"/>
  <c r="AA124" i="16"/>
  <c r="AN123" i="16"/>
  <c r="Z124" i="16"/>
  <c r="AK123" i="16"/>
  <c r="AJ123" i="16"/>
  <c r="AL123" i="16"/>
  <c r="V124" i="16"/>
  <c r="AH124" i="16" s="1"/>
  <c r="AJ119" i="10"/>
  <c r="AL119" i="10"/>
  <c r="Z120" i="10"/>
  <c r="AK119" i="10"/>
  <c r="AA120" i="10"/>
  <c r="AN119" i="10"/>
  <c r="V120" i="10"/>
  <c r="AH120" i="10" s="1"/>
  <c r="X123" i="18" l="1"/>
  <c r="AE123" i="18"/>
  <c r="AB123" i="18"/>
  <c r="W124" i="16"/>
  <c r="AI124" i="16" s="1"/>
  <c r="AI129" i="16" s="1"/>
  <c r="X124" i="16"/>
  <c r="AM123" i="16"/>
  <c r="AH131" i="16"/>
  <c r="AH133" i="16"/>
  <c r="AH129" i="16"/>
  <c r="W120" i="10"/>
  <c r="X120" i="10" s="1"/>
  <c r="AI120" i="10"/>
  <c r="AM119" i="10"/>
  <c r="AO119" i="10" s="1"/>
  <c r="AK123" i="18" l="1"/>
  <c r="Z124" i="18"/>
  <c r="AG123" i="18"/>
  <c r="AJ123" i="18" s="1"/>
  <c r="U124" i="18"/>
  <c r="AC123" i="18"/>
  <c r="AL123" i="18"/>
  <c r="AI133" i="16"/>
  <c r="AI131" i="16"/>
  <c r="AO123" i="16"/>
  <c r="AG124" i="16"/>
  <c r="AE124" i="16"/>
  <c r="AC124" i="16"/>
  <c r="AN124" i="16" s="1"/>
  <c r="AB124" i="16"/>
  <c r="AK124" i="16" s="1"/>
  <c r="AC120" i="10"/>
  <c r="AB120" i="10"/>
  <c r="AG120" i="10"/>
  <c r="AF120" i="10"/>
  <c r="U121" i="10"/>
  <c r="AE120" i="10"/>
  <c r="AN123" i="18" l="1"/>
  <c r="AA124" i="18"/>
  <c r="V124" i="18"/>
  <c r="AH124" i="18" s="1"/>
  <c r="AM123" i="18"/>
  <c r="AG133" i="16"/>
  <c r="AG131" i="16"/>
  <c r="AG129" i="16"/>
  <c r="AN133" i="16"/>
  <c r="AN131" i="16"/>
  <c r="AN129" i="16"/>
  <c r="AK133" i="16"/>
  <c r="AK129" i="16"/>
  <c r="AK131" i="16"/>
  <c r="AJ124" i="16"/>
  <c r="AE133" i="16"/>
  <c r="AE129" i="16"/>
  <c r="AE131" i="16"/>
  <c r="AL124" i="16"/>
  <c r="AJ120" i="10"/>
  <c r="AL120" i="10"/>
  <c r="V121" i="10"/>
  <c r="AH121" i="10" s="1"/>
  <c r="W121" i="10"/>
  <c r="Z121" i="10"/>
  <c r="AK120" i="10"/>
  <c r="AA121" i="10"/>
  <c r="AN120" i="10"/>
  <c r="AH129" i="18" l="1"/>
  <c r="AH131" i="18"/>
  <c r="AH133" i="18"/>
  <c r="W124" i="18"/>
  <c r="AI124" i="18" s="1"/>
  <c r="AO123" i="18"/>
  <c r="AL131" i="16"/>
  <c r="AL133" i="16"/>
  <c r="AL129" i="16"/>
  <c r="AM124" i="16"/>
  <c r="AJ133" i="16"/>
  <c r="AJ131" i="16"/>
  <c r="AJ129" i="16"/>
  <c r="X121" i="10"/>
  <c r="AI121" i="10"/>
  <c r="AM120" i="10"/>
  <c r="AO120" i="10" s="1"/>
  <c r="AI133" i="18" l="1"/>
  <c r="AI131" i="18"/>
  <c r="AI129" i="18"/>
  <c r="X124" i="18"/>
  <c r="AO124" i="16"/>
  <c r="AO133" i="16" s="1"/>
  <c r="AM131" i="16"/>
  <c r="AM129" i="16"/>
  <c r="AM133" i="16"/>
  <c r="AZ5" i="16" s="1"/>
  <c r="AC121" i="10"/>
  <c r="AB121" i="10"/>
  <c r="AF121" i="10"/>
  <c r="AE121" i="10"/>
  <c r="AG121" i="10"/>
  <c r="U122" i="10"/>
  <c r="AQ4" i="16" l="1"/>
  <c r="AZ7" i="16"/>
  <c r="AG124" i="18"/>
  <c r="AE124" i="18"/>
  <c r="AE133" i="18" s="1"/>
  <c r="AC124" i="18"/>
  <c r="AN124" i="18" s="1"/>
  <c r="AB124" i="18"/>
  <c r="AK124" i="18" s="1"/>
  <c r="AO131" i="16"/>
  <c r="AQ6" i="16"/>
  <c r="AO129" i="16"/>
  <c r="V122" i="10"/>
  <c r="AJ121" i="10"/>
  <c r="AL121" i="10"/>
  <c r="Z122" i="10"/>
  <c r="AK121" i="10"/>
  <c r="AA122" i="10"/>
  <c r="AN121" i="10"/>
  <c r="AK133" i="18" l="1"/>
  <c r="AK131" i="18"/>
  <c r="AK129" i="18"/>
  <c r="AN131" i="18"/>
  <c r="AN129" i="18"/>
  <c r="AN133" i="18"/>
  <c r="AJ124" i="18"/>
  <c r="AE129" i="18"/>
  <c r="AE131" i="18"/>
  <c r="AL124" i="18"/>
  <c r="AG133" i="18"/>
  <c r="AG131" i="18"/>
  <c r="AG129" i="18"/>
  <c r="AM121" i="10"/>
  <c r="AO121" i="10" s="1"/>
  <c r="W122" i="10"/>
  <c r="AH122" i="10"/>
  <c r="AM124" i="18" l="1"/>
  <c r="AM131" i="18" s="1"/>
  <c r="AJ131" i="18"/>
  <c r="AJ129" i="18"/>
  <c r="AJ133" i="18"/>
  <c r="AL133" i="18"/>
  <c r="AL129" i="18"/>
  <c r="AL131" i="18"/>
  <c r="AI122" i="10"/>
  <c r="X122" i="10"/>
  <c r="AO124" i="18" l="1"/>
  <c r="AM133" i="18"/>
  <c r="AM129" i="18"/>
  <c r="AC122" i="10"/>
  <c r="AB122" i="10"/>
  <c r="AE122" i="10"/>
  <c r="AG122" i="10"/>
  <c r="AF122" i="10"/>
  <c r="U123" i="10"/>
  <c r="AZ5" i="18" l="1"/>
  <c r="AZ7" i="18" s="1"/>
  <c r="AQ4" i="18"/>
  <c r="AO131" i="18"/>
  <c r="AO129" i="18"/>
  <c r="AO133" i="18"/>
  <c r="AQ6" i="18" s="1"/>
  <c r="AJ122" i="10"/>
  <c r="AL122" i="10"/>
  <c r="Z123" i="10"/>
  <c r="AK122" i="10"/>
  <c r="AA123" i="10"/>
  <c r="AN122" i="10"/>
  <c r="V123" i="10"/>
  <c r="W123" i="10" l="1"/>
  <c r="AI123" i="10" s="1"/>
  <c r="AH123" i="10"/>
  <c r="AM122" i="10"/>
  <c r="X123" i="10"/>
  <c r="U124" i="10" s="1"/>
  <c r="V124" i="10" l="1"/>
  <c r="AO122" i="10"/>
  <c r="AC123" i="10"/>
  <c r="AB123" i="10"/>
  <c r="AG123" i="10"/>
  <c r="AF123" i="10"/>
  <c r="AE123" i="10"/>
  <c r="AI129" i="10"/>
  <c r="AI133" i="10"/>
  <c r="AI131" i="10"/>
  <c r="AK123" i="10" l="1"/>
  <c r="Z124" i="10"/>
  <c r="AN123" i="10"/>
  <c r="AA124" i="10"/>
  <c r="AN124" i="10" s="1"/>
  <c r="AN131" i="10" s="1"/>
  <c r="W124" i="10"/>
  <c r="X124" i="10" s="1"/>
  <c r="AH124" i="10"/>
  <c r="AN133" i="10"/>
  <c r="AN129" i="10"/>
  <c r="AJ123" i="10"/>
  <c r="AL123" i="10"/>
  <c r="AB124" i="10" l="1"/>
  <c r="AG124" i="10"/>
  <c r="AF124" i="10"/>
  <c r="AE124" i="10"/>
  <c r="AK124" i="10"/>
  <c r="AH129" i="10"/>
  <c r="AH133" i="10"/>
  <c r="AH131" i="10"/>
  <c r="AM123" i="10"/>
  <c r="AL124" i="10" l="1"/>
  <c r="AL131" i="10" s="1"/>
  <c r="AF133" i="10"/>
  <c r="AF129" i="10"/>
  <c r="AF131" i="10"/>
  <c r="AJ124" i="10"/>
  <c r="AE133" i="10"/>
  <c r="AE129" i="10"/>
  <c r="AE131" i="10"/>
  <c r="AG131" i="10"/>
  <c r="AG129" i="10"/>
  <c r="AG133" i="10"/>
  <c r="AK129" i="10"/>
  <c r="AK131" i="10"/>
  <c r="AK133" i="10"/>
  <c r="AO123" i="10"/>
  <c r="AL129" i="10" l="1"/>
  <c r="AL133" i="10"/>
  <c r="AM124" i="10"/>
  <c r="AJ133" i="10"/>
  <c r="AJ129" i="10"/>
  <c r="AJ131" i="10"/>
  <c r="AO124" i="10" l="1"/>
  <c r="AM131" i="10"/>
  <c r="AM129" i="10"/>
  <c r="AM133" i="10"/>
  <c r="AQ4" i="10" s="1"/>
  <c r="AO129" i="10" l="1"/>
  <c r="AO131" i="10"/>
  <c r="AO133" i="10"/>
  <c r="AQ6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<sst xmlns="http://schemas.openxmlformats.org/spreadsheetml/2006/main" count="811" uniqueCount="84">
  <si>
    <t>Expenses</t>
  </si>
  <si>
    <t>Profit</t>
  </si>
  <si>
    <t>Discount Rate:</t>
  </si>
  <si>
    <t>Lapse Rates:</t>
  </si>
  <si>
    <t>Duration</t>
  </si>
  <si>
    <t>Rate</t>
  </si>
  <si>
    <t>2-5</t>
  </si>
  <si>
    <t>6-10</t>
  </si>
  <si>
    <t>11+</t>
  </si>
  <si>
    <t>2+</t>
  </si>
  <si>
    <t>Expenses (per policy):</t>
  </si>
  <si>
    <t>Commissions (as % premium):</t>
  </si>
  <si>
    <t>Premium</t>
  </si>
  <si>
    <t>Commission</t>
  </si>
  <si>
    <t>Investment Earnings Rate:</t>
  </si>
  <si>
    <t>Interest</t>
  </si>
  <si>
    <t>Premium: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</si>
  <si>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</si>
  <si>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</si>
  <si>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</si>
  <si>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</si>
  <si>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</si>
  <si>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</si>
  <si>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r>
      <t>DE</t>
    </r>
    <r>
      <rPr>
        <vertAlign val="subscript"/>
        <sz val="10"/>
        <rFont val="Arial"/>
        <family val="2"/>
      </rPr>
      <t>t</t>
    </r>
  </si>
  <si>
    <t>Present Value of DE:</t>
  </si>
  <si>
    <t>Death Benefit Amount:</t>
  </si>
  <si>
    <r>
      <t>DB</t>
    </r>
    <r>
      <rPr>
        <vertAlign val="subscript"/>
        <sz val="10"/>
        <rFont val="Arial"/>
        <family val="2"/>
      </rPr>
      <t>t</t>
    </r>
  </si>
  <si>
    <r>
      <t>W</t>
    </r>
    <r>
      <rPr>
        <vertAlign val="subscript"/>
        <sz val="10"/>
        <rFont val="Arial"/>
        <family val="2"/>
      </rPr>
      <t>t</t>
    </r>
  </si>
  <si>
    <r>
      <t>CS</t>
    </r>
    <r>
      <rPr>
        <vertAlign val="subscript"/>
        <sz val="10"/>
        <rFont val="Arial"/>
        <family val="2"/>
      </rPr>
      <t>t</t>
    </r>
  </si>
  <si>
    <t>Amounts without Decrements</t>
  </si>
  <si>
    <t>Amounts with Decrements</t>
  </si>
  <si>
    <t>Death Benefit</t>
  </si>
  <si>
    <t>Decrement Information</t>
  </si>
  <si>
    <t>Lapse Rate</t>
  </si>
  <si>
    <t>Reserves per 1000</t>
  </si>
  <si>
    <t>Mortality Rate per 1000</t>
  </si>
  <si>
    <t>Required Capital (per 1000 death benefit):</t>
  </si>
  <si>
    <t>Reserve</t>
  </si>
  <si>
    <t>Deaths</t>
  </si>
  <si>
    <t>Lapses</t>
  </si>
  <si>
    <t>In Force
(sop)</t>
  </si>
  <si>
    <t>In Force
(eop)</t>
  </si>
  <si>
    <t>Reserve
(sop)</t>
  </si>
  <si>
    <t>Capital
(sop)</t>
  </si>
  <si>
    <t>Reserve
(eop)</t>
  </si>
  <si>
    <t>Capital
(eop)</t>
  </si>
  <si>
    <t>Reserves &amp; Capital (Decremented)</t>
  </si>
  <si>
    <t>Premium
(sop)</t>
  </si>
  <si>
    <t>Commission
(sop)</t>
  </si>
  <si>
    <t>Expenses
(eop)</t>
  </si>
  <si>
    <t>Death Benefits
(eop)</t>
  </si>
  <si>
    <t>Withdrawals
(eop)</t>
  </si>
  <si>
    <t>Cash Flow</t>
  </si>
  <si>
    <t>Reserve Increase</t>
  </si>
  <si>
    <t>Surplus increase</t>
  </si>
  <si>
    <t>Distibutable Earnings</t>
  </si>
  <si>
    <t>Total:</t>
  </si>
  <si>
    <t>Year</t>
  </si>
  <si>
    <t>Withdrawal Benefit</t>
  </si>
  <si>
    <t>Lives</t>
  </si>
  <si>
    <t>SV</t>
  </si>
  <si>
    <t>SV per 1000</t>
  </si>
  <si>
    <t>Exercise 13.2b - Whole-Life Insurance</t>
  </si>
  <si>
    <t>Assumption Information for Issue Age :</t>
  </si>
  <si>
    <t>Mortality</t>
  </si>
  <si>
    <t>Age</t>
  </si>
  <si>
    <t>Mortality_Rate</t>
  </si>
  <si>
    <t>Male_NS_Mort</t>
  </si>
  <si>
    <t>Male_S_Mort</t>
  </si>
  <si>
    <t>Mortality Savings</t>
  </si>
  <si>
    <t>Premium old</t>
  </si>
  <si>
    <t>reinbursment</t>
  </si>
  <si>
    <t>Reinbursement</t>
  </si>
  <si>
    <t>Intervention</t>
  </si>
  <si>
    <t>discount</t>
  </si>
  <si>
    <t>Discount</t>
  </si>
  <si>
    <t>Female_S_Mort</t>
  </si>
  <si>
    <t>Female_NS_Mort</t>
  </si>
  <si>
    <t>profit margin</t>
  </si>
  <si>
    <t>PV(Profit)</t>
  </si>
  <si>
    <t>PV(DE)</t>
  </si>
  <si>
    <t>Profit Margin</t>
  </si>
  <si>
    <t>Target Margin 3%</t>
  </si>
  <si>
    <t xml:space="preserve">Premium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</si>
</sst>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#,##0.000000"/>
    <numFmt numFmtId="168" formatCode="0.000"/>
    <numFmt numFmtId="169" formatCode="0.0000"/>
    <numFmt numFmtId="170" formatCode="_(* #,##0.000_);_(* \(#,##0.000\);_(* &quot;-&quot;??_);_(@_)"/>
    <numFmt numFmtId="171" formatCode="_(* #,##0.0000_);_(* \(#,##0.0000\);_(* &quot;-&quot;??_);_(@_)"/>
    <numFmt numFmtId="172" formatCode="_(* #,##0.00000_);_(* \(#,##0.00000\);_(* &quot;-&quot;??_);_(@_)"/>
    <numFmt numFmtId="173" formatCode="_(* #,##0.000000_);_(* \(#,##0.000000\);_(* &quot;-&quot;??_);_(@_)"/>
  </numFmts>
  <fonts count="7" x14ac:knownFonts="1">
    <font>
      <sz val="10"/>
      <name val="Arial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6" fillId="7" borderId="0" applyNumberFormat="0" applyBorder="0" applyAlignment="0" applyProtection="0"/>
    <xf numFmtId="164" fontId="1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5" applyFont="1" applyAlignment="1">
      <alignment horizontal="center"/>
    </xf>
    <xf numFmtId="3" fontId="0" fillId="0" borderId="0" xfId="5" applyNumberFormat="1" applyFont="1" applyAlignment="1">
      <alignment horizontal="center"/>
    </xf>
    <xf numFmtId="165" fontId="0" fillId="0" borderId="0" xfId="2" applyNumberFormat="1" applyFont="1" applyAlignment="1">
      <alignment horizontal="center"/>
    </xf>
    <xf numFmtId="166" fontId="0" fillId="0" borderId="0" xfId="5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5" applyNumberFormat="1" applyFont="1" applyAlignment="1">
      <alignment horizontal="center"/>
    </xf>
    <xf numFmtId="166" fontId="0" fillId="2" borderId="0" xfId="5" applyNumberFormat="1" applyFont="1" applyFill="1" applyAlignment="1">
      <alignment horizontal="center"/>
    </xf>
    <xf numFmtId="1" fontId="0" fillId="2" borderId="0" xfId="5" applyNumberFormat="1" applyFont="1" applyFill="1" applyAlignment="1">
      <alignment horizontal="center"/>
    </xf>
    <xf numFmtId="165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/>
    <xf numFmtId="166" fontId="3" fillId="3" borderId="0" xfId="5" applyNumberFormat="1" applyFont="1" applyFill="1" applyAlignment="1">
      <alignment horizontal="center"/>
    </xf>
    <xf numFmtId="9" fontId="3" fillId="3" borderId="0" xfId="5" applyFont="1" applyFill="1" applyAlignment="1">
      <alignment horizontal="center"/>
    </xf>
    <xf numFmtId="9" fontId="3" fillId="4" borderId="0" xfId="5" applyFont="1" applyFill="1" applyAlignment="1">
      <alignment horizontal="center"/>
    </xf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165" fontId="3" fillId="4" borderId="0" xfId="2" applyNumberFormat="1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4" fillId="3" borderId="0" xfId="0" applyFont="1" applyFill="1" applyAlignment="1">
      <alignment horizontal="left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0" fillId="5" borderId="0" xfId="0" applyFill="1" applyAlignment="1">
      <alignment horizontal="centerContinuous"/>
    </xf>
    <xf numFmtId="0" fontId="3" fillId="6" borderId="0" xfId="0" applyFont="1" applyFill="1" applyAlignment="1">
      <alignment horizontal="center" wrapText="1"/>
    </xf>
    <xf numFmtId="0" fontId="3" fillId="0" borderId="0" xfId="0" applyFont="1" applyAlignment="1">
      <alignment horizontal="center"/>
    </xf>
    <xf numFmtId="10" fontId="0" fillId="0" borderId="0" xfId="0" applyNumberFormat="1"/>
    <xf numFmtId="164" fontId="0" fillId="2" borderId="0" xfId="2" applyFont="1" applyFill="1" applyAlignment="1">
      <alignment horizontal="center"/>
    </xf>
    <xf numFmtId="0" fontId="3" fillId="0" borderId="0" xfId="0" applyFont="1"/>
    <xf numFmtId="170" fontId="0" fillId="0" borderId="0" xfId="2" applyNumberFormat="1" applyFont="1"/>
    <xf numFmtId="171" fontId="0" fillId="0" borderId="0" xfId="2" applyNumberFormat="1" applyFont="1"/>
    <xf numFmtId="172" fontId="0" fillId="0" borderId="0" xfId="2" applyNumberFormat="1" applyFont="1"/>
    <xf numFmtId="169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0" fontId="3" fillId="4" borderId="0" xfId="0" applyFont="1" applyFill="1"/>
    <xf numFmtId="0" fontId="6" fillId="7" borderId="0" xfId="1" applyAlignment="1">
      <alignment horizontal="center"/>
    </xf>
    <xf numFmtId="165" fontId="6" fillId="7" borderId="0" xfId="1" applyNumberFormat="1" applyAlignment="1"/>
    <xf numFmtId="1" fontId="6" fillId="7" borderId="0" xfId="1" applyNumberFormat="1" applyAlignment="1"/>
    <xf numFmtId="170" fontId="6" fillId="7" borderId="0" xfId="1" applyNumberFormat="1" applyAlignment="1"/>
    <xf numFmtId="168" fontId="6" fillId="7" borderId="0" xfId="1" quotePrefix="1" applyNumberFormat="1" applyAlignment="1"/>
    <xf numFmtId="0" fontId="6" fillId="7" borderId="0" xfId="1" applyAlignment="1"/>
    <xf numFmtId="172" fontId="6" fillId="7" borderId="0" xfId="1" applyNumberFormat="1" applyAlignment="1"/>
    <xf numFmtId="10" fontId="6" fillId="7" borderId="0" xfId="1" applyNumberFormat="1" applyAlignment="1"/>
    <xf numFmtId="0" fontId="6" fillId="7" borderId="0" xfId="1"/>
    <xf numFmtId="173" fontId="6" fillId="7" borderId="0" xfId="1" applyNumberFormat="1"/>
    <xf numFmtId="170" fontId="6" fillId="7" borderId="0" xfId="1" applyNumberFormat="1"/>
    <xf numFmtId="1" fontId="6" fillId="7" borderId="0" xfId="1" quotePrefix="1" applyNumberFormat="1" applyAlignment="1">
      <alignment horizontal="center"/>
    </xf>
    <xf numFmtId="9" fontId="6" fillId="7" borderId="0" xfId="1" quotePrefix="1" applyNumberFormat="1" applyAlignment="1"/>
    <xf numFmtId="172" fontId="6" fillId="7" borderId="0" xfId="1" quotePrefix="1" applyNumberFormat="1" applyAlignment="1"/>
    <xf numFmtId="10" fontId="6" fillId="7" borderId="0" xfId="1" quotePrefix="1" applyNumberFormat="1" applyAlignment="1"/>
    <xf numFmtId="3" fontId="6" fillId="7" borderId="0" xfId="1" applyNumberFormat="1" applyAlignment="1"/>
    <xf numFmtId="0" fontId="6" fillId="7" borderId="0" xfId="1" applyAlignment="1">
      <alignment horizontal="right"/>
    </xf>
    <xf numFmtId="165" fontId="6" fillId="7" borderId="0" xfId="1" applyNumberFormat="1"/>
    <xf numFmtId="168" fontId="0" fillId="0" borderId="0" xfId="0" applyNumberFormat="1"/>
    <xf numFmtId="2" fontId="0" fillId="0" borderId="0" xfId="0" applyNumberFormat="1"/>
    <xf numFmtId="0" fontId="0" fillId="0" borderId="0" xfId="5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" fontId="0" fillId="0" borderId="0" xfId="5" applyNumberFormat="1" applyFont="1" applyAlignment="1">
      <alignment horizontal="center"/>
    </xf>
    <xf numFmtId="2" fontId="0" fillId="0" borderId="0" xfId="5" applyNumberFormat="1" applyFont="1" applyAlignment="1">
      <alignment horizontal="center"/>
    </xf>
    <xf numFmtId="9" fontId="0" fillId="0" borderId="0" xfId="0" applyNumberFormat="1"/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/>
    <xf numFmtId="165" fontId="1" fillId="0" borderId="0" xfId="2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6">
    <cellStyle name="20% - Accent1" xfId="1" builtinId="30"/>
    <cellStyle name="Comma" xfId="2" builtinId="3"/>
    <cellStyle name="Normal" xfId="0" builtinId="0"/>
    <cellStyle name="Normal 2" xfId="3" xr:uid="{00000000-0005-0000-0000-000004000000}"/>
    <cellStyle name="Normal 3" xfId="4" xr:uid="{00000000-0005-0000-0000-000005000000}"/>
    <cellStyle name="Percent" xfId="5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Y144"/>
  <sheetViews>
    <sheetView workbookViewId="0">
      <pane ySplit="3" topLeftCell="A4" activePane="bottomLeft" state="frozen"/>
      <selection pane="bottomLeft" activeCell="F7" sqref="F7"/>
    </sheetView>
  </sheetViews>
  <sheetFormatPr defaultColWidth="10.7109375" defaultRowHeight="12.75" x14ac:dyDescent="0.2"/>
  <cols>
    <col min="7" max="7" width="12.7109375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1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 t="e">
        <f>AU$5+NPV($AT1,AU$6:AU$79)</f>
        <v>#VALUE!</v>
      </c>
      <c r="AV1" s="35">
        <f>NPV($AT1,AV$5:AV$79)</f>
        <v>0</v>
      </c>
      <c r="AW1" s="34" t="e">
        <f>0.85*AV1*1000/AU1</f>
        <v>#VALUE!</v>
      </c>
    </row>
    <row r="2" spans="1:51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 t="e">
        <f>AU$5+NPV($AT2,AU$6:AU$79)</f>
        <v>#VALUE!</v>
      </c>
      <c r="AV2" s="35">
        <f>NPV($AT2,AV$5:AV$79)</f>
        <v>0</v>
      </c>
      <c r="AW2" s="34" t="e">
        <f>1.05*AV2*1000/(AU2-1)</f>
        <v>#VALUE!</v>
      </c>
    </row>
    <row r="3" spans="1:51" ht="38.25" x14ac:dyDescent="0.2">
      <c r="G3" t="s">
        <v>16</v>
      </c>
      <c r="H3" s="31">
        <v>226452.02877875173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1" ht="15" x14ac:dyDescent="0.25">
      <c r="A4" s="39" t="s">
        <v>63</v>
      </c>
      <c r="B4" s="15"/>
      <c r="C4" s="15"/>
      <c r="D4" s="15">
        <v>119</v>
      </c>
      <c r="H4" s="1"/>
      <c r="I4" s="40" t="e" cm="1">
        <f t="array" ref="I4">_xlfn.SEQUENCE(MAX(#REF!-'13.2b (2)'!D4)+1,1,0,1)</f>
        <v>#REF!</v>
      </c>
      <c r="J4" s="41">
        <f>$H$3</f>
        <v>226452.02877875173</v>
      </c>
      <c r="K4" s="41">
        <f>J4*C16</f>
        <v>181161.62302300139</v>
      </c>
      <c r="L4" s="42">
        <f>C20</f>
        <v>200</v>
      </c>
      <c r="M4" s="41">
        <f t="shared" ref="M4:M5" si="0">$E$11</f>
        <v>50000</v>
      </c>
      <c r="N4" s="43">
        <f>AX4</f>
        <v>0</v>
      </c>
      <c r="O4" s="44">
        <f>AW4</f>
        <v>0</v>
      </c>
      <c r="P4" s="41" t="e">
        <f>IF(I4&lt;&gt;"", M4*N4/1000, "")</f>
        <v>#REF!</v>
      </c>
      <c r="Q4" s="41" t="e">
        <f>IF(I4&lt;&gt;"", M4*O4/1000, "")</f>
        <v>#REF!</v>
      </c>
      <c r="R4" s="45"/>
      <c r="S4" s="45"/>
      <c r="T4" s="45"/>
      <c r="U4" s="46">
        <v>1</v>
      </c>
      <c r="V4" s="46"/>
      <c r="W4" s="46"/>
      <c r="X4" s="46" t="e">
        <f>IF(I4&lt;&gt;"", U4-SUM(V4:W4), "")</f>
        <v>#REF!</v>
      </c>
      <c r="Y4" s="47"/>
      <c r="Z4" s="41"/>
      <c r="AA4" s="41"/>
      <c r="AB4" s="41" t="e">
        <f>IF(I4&lt;&gt;"", Q4*X4, "" )</f>
        <v>#REF!</v>
      </c>
      <c r="AC4" s="41" t="e">
        <f>IF(I4&lt;&gt;"", $H$14*M4*X4, "")</f>
        <v>#REF!</v>
      </c>
      <c r="AD4" s="47"/>
      <c r="AE4" s="41" t="e">
        <f>IF(I4&lt;&gt;"", $X4*J4, "")</f>
        <v>#REF!</v>
      </c>
      <c r="AF4" s="41" t="e">
        <f>IF(I4&lt;&gt;"", -$X4*K4, "")</f>
        <v>#REF!</v>
      </c>
      <c r="AG4" s="41" t="e">
        <f>IF(I4&lt;&gt;"", -$X4*L4, "")</f>
        <v>#REF!</v>
      </c>
      <c r="AH4" s="41"/>
      <c r="AI4" s="41"/>
      <c r="AJ4" s="41" t="e">
        <f>SUM(AE4:AI4)</f>
        <v>#REF!</v>
      </c>
      <c r="AK4" s="41" t="e">
        <f>IF(I4&lt;&gt;"", Z4-AB4, "")</f>
        <v>#REF!</v>
      </c>
      <c r="AL4" s="41"/>
      <c r="AM4" s="41" t="e">
        <f>SUM(AJ4:AL4)</f>
        <v>#REF!</v>
      </c>
      <c r="AN4" s="41" t="e">
        <f>IF(I4&lt;&gt;"", AA4-AC4, "")</f>
        <v>#REF!</v>
      </c>
      <c r="AO4" s="41" t="e">
        <f>SUM(AM4:AN4)</f>
        <v>#REF!</v>
      </c>
      <c r="AP4" s="45"/>
      <c r="AQ4" s="41" t="e">
        <f>AM133</f>
        <v>#REF!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0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1" ht="15" x14ac:dyDescent="0.25">
      <c r="H5" s="37"/>
      <c r="I5" s="51"/>
      <c r="J5" s="41"/>
      <c r="K5" s="41"/>
      <c r="L5" s="42"/>
      <c r="M5" s="41">
        <f t="shared" si="0"/>
        <v>50000</v>
      </c>
      <c r="N5" s="43">
        <f t="shared" ref="N5:N68" si="1">AX5</f>
        <v>0</v>
      </c>
      <c r="O5" s="44">
        <f t="shared" ref="O5:O68" si="2">AW5</f>
        <v>0</v>
      </c>
      <c r="P5" s="41" t="str">
        <f t="shared" ref="P5:P68" si="3">IF(I5&lt;&gt;"", M5*N5/1000, "")</f>
        <v/>
      </c>
      <c r="Q5" s="41" t="str">
        <f t="shared" ref="Q5:Q68" si="4">IF(I5&lt;&gt;"", M5*O5/1000, "")</f>
        <v/>
      </c>
      <c r="R5" s="44"/>
      <c r="S5" s="44" t="str">
        <f>IF(I5&lt;&gt;"",_xlfn.XLOOKUP($D$4+I4+1,#REF!,#REF!,"",0) * 1000,"")</f>
        <v/>
      </c>
      <c r="T5" s="52">
        <f>C10</f>
        <v>7.0000000000000007E-2</v>
      </c>
      <c r="U5" s="53" t="str">
        <f>IF(I5&lt;&gt;"", X4, "")</f>
        <v/>
      </c>
      <c r="V5" s="53" t="str">
        <f>IF(I5&lt;&gt;"", S5*U5/1000, "")</f>
        <v/>
      </c>
      <c r="W5" s="53" t="str">
        <f>IF(I5&lt;&gt;"", MIN(T5*U5,U5-V5), "")</f>
        <v/>
      </c>
      <c r="X5" s="46" t="str">
        <f t="shared" ref="X5:X68" si="5">IF(I5&lt;&gt;"", U5-SUM(V5:W5), "")</f>
        <v/>
      </c>
      <c r="Y5" s="54"/>
      <c r="Z5" s="41" t="str">
        <f>IF(I5&lt;&gt;"",AB4,"")</f>
        <v/>
      </c>
      <c r="AA5" s="41" t="str">
        <f>IF(I5&lt;&gt;"", AC4, "")</f>
        <v/>
      </c>
      <c r="AB5" s="41" t="str">
        <f t="shared" ref="AB5:AB68" si="6">IF(I5&lt;&gt;"", Q5*X5, "" )</f>
        <v/>
      </c>
      <c r="AC5" s="41" t="str">
        <f t="shared" ref="AC5:AC68" si="7">IF(I5&lt;&gt;"", $H$14*M5*X5, "")</f>
        <v/>
      </c>
      <c r="AD5" s="54"/>
      <c r="AE5" s="41" t="str">
        <f t="shared" ref="AE5:AE68" si="8">IF(I5&lt;&gt;"", $X5*J5, "")</f>
        <v/>
      </c>
      <c r="AF5" s="41" t="str">
        <f t="shared" ref="AF5:AF68" si="9">IF(I5&lt;&gt;"", -$X5*K5, "")</f>
        <v/>
      </c>
      <c r="AG5" s="41" t="str">
        <f t="shared" ref="AG5:AG68" si="10">IF(I5&lt;&gt;"", -$X5*L5, "")</f>
        <v/>
      </c>
      <c r="AH5" s="41" t="str">
        <f>IF(I5&lt;&gt;"",-M5*V5,"")</f>
        <v/>
      </c>
      <c r="AI5" s="41" t="str">
        <f>IF(I5 &lt;&gt; "", -P5*W5, "")</f>
        <v/>
      </c>
      <c r="AJ5" s="41">
        <f t="shared" ref="AJ5:AJ68" si="11">SUM(AE5:AI5)</f>
        <v>0</v>
      </c>
      <c r="AK5" s="41" t="str">
        <f t="shared" ref="AK5:AK68" si="12">IF(I5&lt;&gt;"", Z5-AB5, "")</f>
        <v/>
      </c>
      <c r="AL5" s="41">
        <f>$D$6*SUM(Z5:AA5,AE5:AF5)</f>
        <v>0</v>
      </c>
      <c r="AM5" s="41">
        <f t="shared" ref="AM5:AM68" si="13">SUM(AJ5:AL5)</f>
        <v>0</v>
      </c>
      <c r="AN5" s="41" t="str">
        <f t="shared" ref="AN5:AN68" si="14">IF(I5&lt;&gt;"", AA5-AC5, "")</f>
        <v/>
      </c>
      <c r="AO5" s="41">
        <f t="shared" ref="AO5:AO68" si="15">SUM(AM5:AN5)</f>
        <v>0</v>
      </c>
      <c r="AP5" s="45" t="s">
        <v>24</v>
      </c>
      <c r="AQ5" s="41"/>
      <c r="AR5" s="48"/>
      <c r="AS5" s="48"/>
      <c r="AT5" s="51">
        <f>AT4+1</f>
        <v>1</v>
      </c>
      <c r="AU5" s="49" t="str">
        <f>IF(I5&lt;&gt;"", AU4-AV4, "")</f>
        <v/>
      </c>
      <c r="AV5" s="49" t="str">
        <f>IF(I5&lt;&gt;"", S5*AU5/1000, "")</f>
        <v/>
      </c>
      <c r="AW5" s="50">
        <f xml:space="preserve"> IF(ISERROR(ROUND((1000*NPV($AT$1,$AV6:$AV$124)-$AW$1*($AU6+NPV($AT$1,$AU7:$AU$124)))/AU6,3)), 0, ROUND((1000*NPV($AT$1,$AV6:$AV$124)-$AW$1*($AU6+NPV($AT$1,$AU7:$AU$124)))/AU6,3))</f>
        <v>0</v>
      </c>
      <c r="AX5" s="50">
        <f>IF(ISERROR(ROUND(MAX(0,1000*NPV($AT$2,$AV6:$AV$124)-$AW$2*($AU6+NPV($AT$2,$AU7:$AU$124)))/AU6,3)), 0, ROUND(MAX(0,1000*NPV($AT$2,$AV6:$AV$124)-$AW$2*($AU6+NPV($AT$2,$AU7:$AU$124)))/AU6,3))</f>
        <v>0</v>
      </c>
    </row>
    <row r="6" spans="1:51" ht="15" x14ac:dyDescent="0.25">
      <c r="A6" s="12" t="s">
        <v>14</v>
      </c>
      <c r="B6" s="12"/>
      <c r="C6" s="12"/>
      <c r="D6" s="16">
        <v>5.5E-2</v>
      </c>
      <c r="E6" s="6"/>
      <c r="F6" s="6"/>
      <c r="G6" s="6"/>
      <c r="H6" s="37"/>
      <c r="I6" s="51"/>
      <c r="J6" s="41" t="str">
        <f>IF(I6&lt;&gt;"",$H$3,"")</f>
        <v/>
      </c>
      <c r="K6" s="41" t="str">
        <f>IF(J6&lt;&gt;"",J6*$C$17,"")</f>
        <v/>
      </c>
      <c r="L6" s="42" t="str">
        <f>IF(I6&lt;&gt;"",$C$21,"")</f>
        <v/>
      </c>
      <c r="M6" s="41" t="str">
        <f>IF(I6&lt;&gt;"",$E$11,"")</f>
        <v/>
      </c>
      <c r="N6" s="43">
        <f t="shared" si="1"/>
        <v>0</v>
      </c>
      <c r="O6" s="44">
        <f t="shared" si="2"/>
        <v>0</v>
      </c>
      <c r="P6" s="41" t="str">
        <f t="shared" si="3"/>
        <v/>
      </c>
      <c r="Q6" s="41" t="str">
        <f t="shared" si="4"/>
        <v/>
      </c>
      <c r="R6" s="44"/>
      <c r="S6" s="44" t="str">
        <f>IF(I6&lt;&gt;"",_xlfn.XLOOKUP($D$4+I5+1,#REF!,#REF!,"",0) * 1000,"")</f>
        <v/>
      </c>
      <c r="T6" s="52">
        <f>$C$11</f>
        <v>0.06</v>
      </c>
      <c r="U6" s="53" t="str">
        <f t="shared" ref="U6:U69" si="16">IF(I6&lt;&gt;"", X5, "")</f>
        <v/>
      </c>
      <c r="V6" s="53" t="str">
        <f t="shared" ref="V6:V69" si="17">IF(I6&lt;&gt;"", S6*U6/1000, "")</f>
        <v/>
      </c>
      <c r="W6" s="53" t="str">
        <f t="shared" ref="W6:W69" si="18">IF(I6&lt;&gt;"", MIN(T6*U6,U6-V6), "")</f>
        <v/>
      </c>
      <c r="X6" s="46" t="str">
        <f t="shared" si="5"/>
        <v/>
      </c>
      <c r="Y6" s="54"/>
      <c r="Z6" s="41" t="str">
        <f t="shared" ref="Z6:Z69" si="19">IF(I6&lt;&gt;"",AB5,"")</f>
        <v/>
      </c>
      <c r="AA6" s="41" t="str">
        <f t="shared" ref="AA6:AA69" si="20">IF(I6&lt;&gt;"", AC5, "")</f>
        <v/>
      </c>
      <c r="AB6" s="41" t="str">
        <f t="shared" si="6"/>
        <v/>
      </c>
      <c r="AC6" s="41" t="str">
        <f t="shared" si="7"/>
        <v/>
      </c>
      <c r="AD6" s="54"/>
      <c r="AE6" s="41" t="str">
        <f t="shared" si="8"/>
        <v/>
      </c>
      <c r="AF6" s="41" t="str">
        <f t="shared" si="9"/>
        <v/>
      </c>
      <c r="AG6" s="41" t="str">
        <f t="shared" si="10"/>
        <v/>
      </c>
      <c r="AH6" s="41" t="str">
        <f t="shared" ref="AH6:AH69" si="21">IF(I6&lt;&gt;"",-M6*V6,"")</f>
        <v/>
      </c>
      <c r="AI6" s="41" t="str">
        <f t="shared" ref="AI6:AI69" si="22">IF(I6 &lt;&gt; "", -P6*W6, "")</f>
        <v/>
      </c>
      <c r="AJ6" s="41">
        <f t="shared" si="11"/>
        <v>0</v>
      </c>
      <c r="AK6" s="41" t="str">
        <f t="shared" si="12"/>
        <v/>
      </c>
      <c r="AL6" s="41">
        <f t="shared" ref="AL6:AL69" si="23">$D$6*SUM(Z6:AA6,AE6:AF6)</f>
        <v>0</v>
      </c>
      <c r="AM6" s="41">
        <f t="shared" si="13"/>
        <v>0</v>
      </c>
      <c r="AN6" s="41" t="str">
        <f t="shared" si="14"/>
        <v/>
      </c>
      <c r="AO6" s="41">
        <f t="shared" si="15"/>
        <v>0</v>
      </c>
      <c r="AP6" s="45"/>
      <c r="AQ6" s="41" t="e">
        <f>AO133</f>
        <v>#REF!</v>
      </c>
      <c r="AR6" s="48"/>
      <c r="AS6" s="48"/>
      <c r="AT6" s="51">
        <f t="shared" ref="AT6:AT69" si="24">AT5+1</f>
        <v>2</v>
      </c>
      <c r="AU6" s="49" t="str">
        <f t="shared" ref="AU6:AU69" si="25">IF(I6&lt;&gt;"", AU5-AV5, "")</f>
        <v/>
      </c>
      <c r="AV6" s="49" t="str">
        <f t="shared" ref="AV6:AV69" si="26">IF(I6&lt;&gt;"", S6*AU6/1000, "")</f>
        <v/>
      </c>
      <c r="AW6" s="50">
        <f xml:space="preserve"> IF(ISERROR(ROUND((1000*NPV($AT$1,$AV7:$AV$124)-$AW$1*($AU7+NPV($AT$1,$AU8:$AU$124)))/AU7,3)), 0, ROUND((1000*NPV($AT$1,$AV7:$AV$124)-$AW$1*($AU7+NPV($AT$1,$AU8:$AU$124)))/AU7,3))</f>
        <v>0</v>
      </c>
      <c r="AX6" s="50">
        <f>IF(ISERROR(ROUND(MAX(0,1000*NPV($AT$2,$AV7:$AV$124)-$AW$2*($AU7+NPV($AT$2,$AU8:$AU$124)))/AU7,3)), 0, ROUND(MAX(0,1000*NPV($AT$2,$AV7:$AV$124)-$AW$2*($AU7+NPV($AT$2,$AU8:$AU$124)))/AU7,3))</f>
        <v>0</v>
      </c>
    </row>
    <row r="7" spans="1:51" ht="15" x14ac:dyDescent="0.25">
      <c r="A7" s="15" t="s">
        <v>2</v>
      </c>
      <c r="B7" s="15"/>
      <c r="C7" s="18"/>
      <c r="D7" s="9">
        <v>0.12</v>
      </c>
      <c r="E7" s="6"/>
      <c r="F7" s="6"/>
      <c r="G7" s="6"/>
      <c r="H7" s="37"/>
      <c r="I7" s="51"/>
      <c r="J7" s="41" t="str">
        <f t="shared" ref="J7:J70" si="27">IF(I7&lt;&gt;"",$H$3,"")</f>
        <v/>
      </c>
      <c r="K7" s="41" t="str">
        <f t="shared" ref="K7:K70" si="28">IF(J7&lt;&gt;"",J7*$C$17,"")</f>
        <v/>
      </c>
      <c r="L7" s="42" t="str">
        <f t="shared" ref="L7:L70" si="29">IF(I7&lt;&gt;"",$C$21,"")</f>
        <v/>
      </c>
      <c r="M7" s="41" t="str">
        <f t="shared" ref="M7:M70" si="30">IF(I7&lt;&gt;"",$E$11,"")</f>
        <v/>
      </c>
      <c r="N7" s="43">
        <f t="shared" si="1"/>
        <v>0</v>
      </c>
      <c r="O7" s="44">
        <f t="shared" si="2"/>
        <v>0</v>
      </c>
      <c r="P7" s="41" t="str">
        <f t="shared" si="3"/>
        <v/>
      </c>
      <c r="Q7" s="41" t="str">
        <f t="shared" si="4"/>
        <v/>
      </c>
      <c r="R7" s="44"/>
      <c r="S7" s="44" t="str">
        <f>IF(I7&lt;&gt;"",_xlfn.XLOOKUP($D$4+I6+1,#REF!,#REF!,"",0) * 1000,"")</f>
        <v/>
      </c>
      <c r="T7" s="52">
        <f>$C$11</f>
        <v>0.06</v>
      </c>
      <c r="U7" s="53" t="str">
        <f t="shared" si="16"/>
        <v/>
      </c>
      <c r="V7" s="53" t="str">
        <f t="shared" si="17"/>
        <v/>
      </c>
      <c r="W7" s="53" t="str">
        <f t="shared" si="18"/>
        <v/>
      </c>
      <c r="X7" s="46" t="str">
        <f t="shared" si="5"/>
        <v/>
      </c>
      <c r="Y7" s="54"/>
      <c r="Z7" s="41" t="str">
        <f t="shared" si="19"/>
        <v/>
      </c>
      <c r="AA7" s="41" t="str">
        <f t="shared" si="20"/>
        <v/>
      </c>
      <c r="AB7" s="41" t="str">
        <f t="shared" si="6"/>
        <v/>
      </c>
      <c r="AC7" s="41" t="str">
        <f t="shared" si="7"/>
        <v/>
      </c>
      <c r="AD7" s="54"/>
      <c r="AE7" s="41" t="str">
        <f t="shared" si="8"/>
        <v/>
      </c>
      <c r="AF7" s="41" t="str">
        <f t="shared" si="9"/>
        <v/>
      </c>
      <c r="AG7" s="41" t="str">
        <f t="shared" si="10"/>
        <v/>
      </c>
      <c r="AH7" s="41" t="str">
        <f t="shared" si="21"/>
        <v/>
      </c>
      <c r="AI7" s="41" t="str">
        <f t="shared" si="22"/>
        <v/>
      </c>
      <c r="AJ7" s="41">
        <f t="shared" si="11"/>
        <v>0</v>
      </c>
      <c r="AK7" s="41" t="str">
        <f t="shared" si="12"/>
        <v/>
      </c>
      <c r="AL7" s="41">
        <f t="shared" si="23"/>
        <v>0</v>
      </c>
      <c r="AM7" s="41">
        <f t="shared" si="13"/>
        <v>0</v>
      </c>
      <c r="AN7" s="41" t="str">
        <f t="shared" si="14"/>
        <v/>
      </c>
      <c r="AO7" s="41">
        <f>SUM(AM7:AN7)</f>
        <v>0</v>
      </c>
      <c r="AP7" s="45"/>
      <c r="AQ7" s="45"/>
      <c r="AR7" s="48"/>
      <c r="AS7" s="48"/>
      <c r="AT7" s="51">
        <f t="shared" si="24"/>
        <v>3</v>
      </c>
      <c r="AU7" s="49" t="str">
        <f t="shared" si="25"/>
        <v/>
      </c>
      <c r="AV7" s="49" t="str">
        <f t="shared" si="26"/>
        <v/>
      </c>
      <c r="AW7" s="50">
        <f xml:space="preserve"> IF(ISERROR(ROUND((1000*NPV($AT$1,$AV8:$AV$124)-$AW$1*($AU8+NPV($AT$1,$AU9:$AU$124)))/AU8,3)), 0, ROUND((1000*NPV($AT$1,$AV8:$AV$124)-$AW$1*($AU8+NPV($AT$1,$AU9:$AU$124)))/AU8,3))</f>
        <v>0</v>
      </c>
      <c r="AX7" s="50">
        <f>IF(ISERROR(ROUND(MAX(0,1000*NPV($AT$2,$AV8:$AV$124)-$AW$2*($AU8+NPV($AT$2,$AU9:$AU$124)))/AU8,3)), 0, ROUND(MAX(0,1000*NPV($AT$2,$AV8:$AV$124)-$AW$2*($AU8+NPV($AT$2,$AU9:$AU$124)))/AU8,3))</f>
        <v>0</v>
      </c>
    </row>
    <row r="8" spans="1:51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/>
      <c r="J8" s="41" t="str">
        <f t="shared" si="27"/>
        <v/>
      </c>
      <c r="K8" s="41" t="str">
        <f t="shared" si="28"/>
        <v/>
      </c>
      <c r="L8" s="42" t="str">
        <f t="shared" si="29"/>
        <v/>
      </c>
      <c r="M8" s="41" t="str">
        <f t="shared" si="30"/>
        <v/>
      </c>
      <c r="N8" s="43">
        <f t="shared" si="1"/>
        <v>0</v>
      </c>
      <c r="O8" s="44">
        <f t="shared" si="2"/>
        <v>0</v>
      </c>
      <c r="P8" s="41" t="str">
        <f t="shared" si="3"/>
        <v/>
      </c>
      <c r="Q8" s="41" t="str">
        <f t="shared" si="4"/>
        <v/>
      </c>
      <c r="R8" s="44"/>
      <c r="S8" s="44" t="str">
        <f>IF(I8&lt;&gt;"",_xlfn.XLOOKUP($D$4+I7+1,#REF!,#REF!,"",0) * 1000,"")</f>
        <v/>
      </c>
      <c r="T8" s="52">
        <f>$C$11</f>
        <v>0.06</v>
      </c>
      <c r="U8" s="53" t="str">
        <f t="shared" si="16"/>
        <v/>
      </c>
      <c r="V8" s="53" t="str">
        <f t="shared" si="17"/>
        <v/>
      </c>
      <c r="W8" s="53" t="str">
        <f t="shared" si="18"/>
        <v/>
      </c>
      <c r="X8" s="46" t="str">
        <f t="shared" si="5"/>
        <v/>
      </c>
      <c r="Y8" s="54"/>
      <c r="Z8" s="41" t="str">
        <f t="shared" si="19"/>
        <v/>
      </c>
      <c r="AA8" s="41" t="str">
        <f t="shared" si="20"/>
        <v/>
      </c>
      <c r="AB8" s="41" t="str">
        <f t="shared" si="6"/>
        <v/>
      </c>
      <c r="AC8" s="41" t="str">
        <f t="shared" si="7"/>
        <v/>
      </c>
      <c r="AD8" s="54"/>
      <c r="AE8" s="41" t="str">
        <f t="shared" si="8"/>
        <v/>
      </c>
      <c r="AF8" s="41" t="str">
        <f t="shared" si="9"/>
        <v/>
      </c>
      <c r="AG8" s="41" t="str">
        <f t="shared" si="10"/>
        <v/>
      </c>
      <c r="AH8" s="41" t="str">
        <f t="shared" si="21"/>
        <v/>
      </c>
      <c r="AI8" s="41" t="str">
        <f t="shared" si="22"/>
        <v/>
      </c>
      <c r="AJ8" s="41">
        <f t="shared" si="11"/>
        <v>0</v>
      </c>
      <c r="AK8" s="41" t="str">
        <f t="shared" si="12"/>
        <v/>
      </c>
      <c r="AL8" s="41">
        <f t="shared" si="23"/>
        <v>0</v>
      </c>
      <c r="AM8" s="41">
        <f t="shared" si="13"/>
        <v>0</v>
      </c>
      <c r="AN8" s="41" t="str">
        <f t="shared" si="14"/>
        <v/>
      </c>
      <c r="AO8" s="41">
        <f t="shared" si="15"/>
        <v>0</v>
      </c>
      <c r="AP8" s="45"/>
      <c r="AQ8" s="45"/>
      <c r="AR8" s="48"/>
      <c r="AS8" s="48"/>
      <c r="AT8" s="51">
        <f t="shared" si="24"/>
        <v>4</v>
      </c>
      <c r="AU8" s="49" t="str">
        <f t="shared" si="25"/>
        <v/>
      </c>
      <c r="AV8" s="49" t="str">
        <f t="shared" si="26"/>
        <v/>
      </c>
      <c r="AW8" s="50">
        <f xml:space="preserve"> IF(ISERROR(ROUND((1000*NPV($AT$1,$AV9:$AV$124)-$AW$1*($AU9+NPV($AT$1,$AU10:$AU$124)))/AU9,3)), 0, ROUND((1000*NPV($AT$1,$AV9:$AV$124)-$AW$1*($AU9+NPV($AT$1,$AU10:$AU$124)))/AU9,3))</f>
        <v>0</v>
      </c>
      <c r="AX8" s="50">
        <f>IF(ISERROR(ROUND(MAX(0,1000*NPV($AT$2,$AV9:$AV$124)-$AW$2*($AU9+NPV($AT$2,$AU10:$AU$124)))/AU9,3)), 0, ROUND(MAX(0,1000*NPV($AT$2,$AV9:$AV$124)-$AW$2*($AU9+NPV($AT$2,$AU10:$AU$124)))/AU9,3))</f>
        <v>0</v>
      </c>
      <c r="AY8" s="59"/>
    </row>
    <row r="9" spans="1:51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/>
      <c r="J9" s="41" t="str">
        <f t="shared" si="27"/>
        <v/>
      </c>
      <c r="K9" s="41" t="str">
        <f t="shared" si="28"/>
        <v/>
      </c>
      <c r="L9" s="42" t="str">
        <f t="shared" si="29"/>
        <v/>
      </c>
      <c r="M9" s="41" t="str">
        <f t="shared" si="30"/>
        <v/>
      </c>
      <c r="N9" s="43">
        <f t="shared" si="1"/>
        <v>0</v>
      </c>
      <c r="O9" s="44">
        <f t="shared" si="2"/>
        <v>0</v>
      </c>
      <c r="P9" s="41" t="str">
        <f t="shared" si="3"/>
        <v/>
      </c>
      <c r="Q9" s="41" t="str">
        <f t="shared" si="4"/>
        <v/>
      </c>
      <c r="R9" s="44"/>
      <c r="S9" s="44" t="str">
        <f>IF(I9&lt;&gt;"",_xlfn.XLOOKUP($D$4+I8+1,#REF!,#REF!,"",0) * 1000,"")</f>
        <v/>
      </c>
      <c r="T9" s="52">
        <f>$C$11</f>
        <v>0.06</v>
      </c>
      <c r="U9" s="53" t="str">
        <f t="shared" si="16"/>
        <v/>
      </c>
      <c r="V9" s="53" t="str">
        <f t="shared" si="17"/>
        <v/>
      </c>
      <c r="W9" s="53" t="str">
        <f t="shared" si="18"/>
        <v/>
      </c>
      <c r="X9" s="46" t="str">
        <f t="shared" si="5"/>
        <v/>
      </c>
      <c r="Y9" s="54"/>
      <c r="Z9" s="41" t="str">
        <f t="shared" si="19"/>
        <v/>
      </c>
      <c r="AA9" s="41" t="str">
        <f t="shared" si="20"/>
        <v/>
      </c>
      <c r="AB9" s="41" t="str">
        <f t="shared" si="6"/>
        <v/>
      </c>
      <c r="AC9" s="41" t="str">
        <f t="shared" si="7"/>
        <v/>
      </c>
      <c r="AD9" s="54"/>
      <c r="AE9" s="41" t="str">
        <f t="shared" si="8"/>
        <v/>
      </c>
      <c r="AF9" s="41" t="str">
        <f t="shared" si="9"/>
        <v/>
      </c>
      <c r="AG9" s="41" t="str">
        <f t="shared" si="10"/>
        <v/>
      </c>
      <c r="AH9" s="41" t="str">
        <f t="shared" si="21"/>
        <v/>
      </c>
      <c r="AI9" s="41" t="str">
        <f t="shared" si="22"/>
        <v/>
      </c>
      <c r="AJ9" s="41">
        <f t="shared" si="11"/>
        <v>0</v>
      </c>
      <c r="AK9" s="41" t="str">
        <f t="shared" si="12"/>
        <v/>
      </c>
      <c r="AL9" s="41">
        <f t="shared" si="23"/>
        <v>0</v>
      </c>
      <c r="AM9" s="41">
        <f t="shared" si="13"/>
        <v>0</v>
      </c>
      <c r="AN9" s="41" t="str">
        <f t="shared" si="14"/>
        <v/>
      </c>
      <c r="AO9" s="41">
        <f t="shared" si="15"/>
        <v>0</v>
      </c>
      <c r="AP9" s="45"/>
      <c r="AQ9" s="45"/>
      <c r="AR9" s="48"/>
      <c r="AS9" s="48"/>
      <c r="AT9" s="51">
        <f t="shared" si="24"/>
        <v>5</v>
      </c>
      <c r="AU9" s="49" t="str">
        <f t="shared" si="25"/>
        <v/>
      </c>
      <c r="AV9" s="49" t="str">
        <f t="shared" si="26"/>
        <v/>
      </c>
      <c r="AW9" s="50">
        <f xml:space="preserve"> IF(ISERROR(ROUND((1000*NPV($AT$1,$AV10:$AV$124)-$AW$1*($AU10+NPV($AT$1,$AU11:$AU$124)))/AU10,3)), 0, ROUND((1000*NPV($AT$1,$AV10:$AV$124)-$AW$1*($AU10+NPV($AT$1,$AU11:$AU$124)))/AU10,3))</f>
        <v>0</v>
      </c>
      <c r="AX9" s="50">
        <f>IF(ISERROR(ROUND(MAX(0,1000*NPV($AT$2,$AV10:$AV$124)-$AW$2*($AU10+NPV($AT$2,$AU11:$AU$124)))/AU10,3)), 0, ROUND(MAX(0,1000*NPV($AT$2,$AV10:$AV$124)-$AW$2*($AU10+NPV($AT$2,$AU11:$AU$124)))/AU10,3))</f>
        <v>0</v>
      </c>
    </row>
    <row r="10" spans="1:51" ht="15" x14ac:dyDescent="0.25">
      <c r="A10" s="12"/>
      <c r="B10" s="13">
        <v>1</v>
      </c>
      <c r="C10" s="17">
        <v>7.0000000000000007E-2</v>
      </c>
      <c r="D10" s="1"/>
      <c r="E10" s="21" t="s">
        <v>25</v>
      </c>
      <c r="F10" s="19"/>
      <c r="G10" s="1"/>
      <c r="H10" s="1"/>
      <c r="I10" s="51"/>
      <c r="J10" s="41" t="str">
        <f t="shared" si="27"/>
        <v/>
      </c>
      <c r="K10" s="41" t="str">
        <f t="shared" si="28"/>
        <v/>
      </c>
      <c r="L10" s="42" t="str">
        <f t="shared" si="29"/>
        <v/>
      </c>
      <c r="M10" s="41" t="str">
        <f t="shared" si="30"/>
        <v/>
      </c>
      <c r="N10" s="43">
        <f t="shared" si="1"/>
        <v>0</v>
      </c>
      <c r="O10" s="44">
        <f t="shared" si="2"/>
        <v>0</v>
      </c>
      <c r="P10" s="41" t="str">
        <f t="shared" si="3"/>
        <v/>
      </c>
      <c r="Q10" s="41" t="str">
        <f t="shared" si="4"/>
        <v/>
      </c>
      <c r="R10" s="44"/>
      <c r="S10" s="44" t="str">
        <f>IF(I10&lt;&gt;"",_xlfn.XLOOKUP($D$4+I9+1,#REF!,#REF!,"",0) * 1000,"")</f>
        <v/>
      </c>
      <c r="T10" s="52">
        <f>$C$12</f>
        <v>0.05</v>
      </c>
      <c r="U10" s="53" t="str">
        <f t="shared" si="16"/>
        <v/>
      </c>
      <c r="V10" s="53" t="str">
        <f t="shared" si="17"/>
        <v/>
      </c>
      <c r="W10" s="53" t="str">
        <f t="shared" si="18"/>
        <v/>
      </c>
      <c r="X10" s="46" t="str">
        <f t="shared" si="5"/>
        <v/>
      </c>
      <c r="Y10" s="54"/>
      <c r="Z10" s="41" t="str">
        <f t="shared" si="19"/>
        <v/>
      </c>
      <c r="AA10" s="41" t="str">
        <f t="shared" si="20"/>
        <v/>
      </c>
      <c r="AB10" s="41" t="str">
        <f t="shared" si="6"/>
        <v/>
      </c>
      <c r="AC10" s="41" t="str">
        <f t="shared" si="7"/>
        <v/>
      </c>
      <c r="AD10" s="54"/>
      <c r="AE10" s="41" t="str">
        <f t="shared" si="8"/>
        <v/>
      </c>
      <c r="AF10" s="41" t="str">
        <f t="shared" si="9"/>
        <v/>
      </c>
      <c r="AG10" s="41" t="str">
        <f t="shared" si="10"/>
        <v/>
      </c>
      <c r="AH10" s="41" t="str">
        <f t="shared" si="21"/>
        <v/>
      </c>
      <c r="AI10" s="41" t="str">
        <f t="shared" si="22"/>
        <v/>
      </c>
      <c r="AJ10" s="41">
        <f t="shared" si="11"/>
        <v>0</v>
      </c>
      <c r="AK10" s="41" t="str">
        <f t="shared" si="12"/>
        <v/>
      </c>
      <c r="AL10" s="41">
        <f t="shared" si="23"/>
        <v>0</v>
      </c>
      <c r="AM10" s="41">
        <f t="shared" si="13"/>
        <v>0</v>
      </c>
      <c r="AN10" s="41" t="str">
        <f t="shared" si="14"/>
        <v/>
      </c>
      <c r="AO10" s="41">
        <f t="shared" si="15"/>
        <v>0</v>
      </c>
      <c r="AP10" s="45"/>
      <c r="AQ10" s="45"/>
      <c r="AR10" s="48"/>
      <c r="AS10" s="48"/>
      <c r="AT10" s="51">
        <f t="shared" si="24"/>
        <v>6</v>
      </c>
      <c r="AU10" s="49" t="str">
        <f t="shared" si="25"/>
        <v/>
      </c>
      <c r="AV10" s="49" t="str">
        <f t="shared" si="26"/>
        <v/>
      </c>
      <c r="AW10" s="50">
        <f xml:space="preserve"> IF(ISERROR(ROUND((1000*NPV($AT$1,$AV11:$AV$124)-$AW$1*($AU11+NPV($AT$1,$AU12:$AU$124)))/AU11,3)), 0, ROUND((1000*NPV($AT$1,$AV11:$AV$124)-$AW$1*($AU11+NPV($AT$1,$AU12:$AU$124)))/AU11,3))</f>
        <v>0</v>
      </c>
      <c r="AX10" s="50">
        <f>IF(ISERROR(ROUND(MAX(0,1000*NPV($AT$2,$AV11:$AV$124)-$AW$2*($AU11+NPV($AT$2,$AU12:$AU$124)))/AU11,3)), 0, ROUND(MAX(0,1000*NPV($AT$2,$AV11:$AV$124)-$AW$2*($AU11+NPV($AT$2,$AU12:$AU$124)))/AU11,3))</f>
        <v>0</v>
      </c>
    </row>
    <row r="11" spans="1:51" ht="15" x14ac:dyDescent="0.25">
      <c r="A11" s="12"/>
      <c r="B11" s="14" t="s">
        <v>6</v>
      </c>
      <c r="C11" s="17">
        <v>0.06</v>
      </c>
      <c r="D11" s="1"/>
      <c r="E11" s="22">
        <v>50000</v>
      </c>
      <c r="F11" s="19"/>
      <c r="G11" s="1"/>
      <c r="H11" s="1"/>
      <c r="I11" s="51"/>
      <c r="J11" s="41" t="str">
        <f t="shared" si="27"/>
        <v/>
      </c>
      <c r="K11" s="41" t="str">
        <f t="shared" si="28"/>
        <v/>
      </c>
      <c r="L11" s="42" t="str">
        <f t="shared" si="29"/>
        <v/>
      </c>
      <c r="M11" s="41" t="str">
        <f t="shared" si="30"/>
        <v/>
      </c>
      <c r="N11" s="43">
        <f t="shared" si="1"/>
        <v>0</v>
      </c>
      <c r="O11" s="44">
        <f t="shared" si="2"/>
        <v>0</v>
      </c>
      <c r="P11" s="41" t="str">
        <f t="shared" si="3"/>
        <v/>
      </c>
      <c r="Q11" s="41" t="str">
        <f t="shared" si="4"/>
        <v/>
      </c>
      <c r="R11" s="44"/>
      <c r="S11" s="44" t="str">
        <f>IF(I11&lt;&gt;"",_xlfn.XLOOKUP($D$4+I10+1,#REF!,#REF!,"",0) * 1000,"")</f>
        <v/>
      </c>
      <c r="T11" s="52">
        <f>$C$12</f>
        <v>0.05</v>
      </c>
      <c r="U11" s="53" t="str">
        <f t="shared" si="16"/>
        <v/>
      </c>
      <c r="V11" s="53" t="str">
        <f t="shared" si="17"/>
        <v/>
      </c>
      <c r="W11" s="53" t="str">
        <f t="shared" si="18"/>
        <v/>
      </c>
      <c r="X11" s="46" t="str">
        <f t="shared" si="5"/>
        <v/>
      </c>
      <c r="Y11" s="54"/>
      <c r="Z11" s="41" t="str">
        <f t="shared" si="19"/>
        <v/>
      </c>
      <c r="AA11" s="41" t="str">
        <f t="shared" si="20"/>
        <v/>
      </c>
      <c r="AB11" s="41" t="str">
        <f t="shared" si="6"/>
        <v/>
      </c>
      <c r="AC11" s="41" t="str">
        <f t="shared" si="7"/>
        <v/>
      </c>
      <c r="AD11" s="54"/>
      <c r="AE11" s="41" t="str">
        <f t="shared" si="8"/>
        <v/>
      </c>
      <c r="AF11" s="41" t="str">
        <f t="shared" si="9"/>
        <v/>
      </c>
      <c r="AG11" s="41" t="str">
        <f t="shared" si="10"/>
        <v/>
      </c>
      <c r="AH11" s="41" t="str">
        <f t="shared" si="21"/>
        <v/>
      </c>
      <c r="AI11" s="41" t="str">
        <f t="shared" si="22"/>
        <v/>
      </c>
      <c r="AJ11" s="41">
        <f t="shared" si="11"/>
        <v>0</v>
      </c>
      <c r="AK11" s="41" t="str">
        <f t="shared" si="12"/>
        <v/>
      </c>
      <c r="AL11" s="41">
        <f t="shared" si="23"/>
        <v>0</v>
      </c>
      <c r="AM11" s="41">
        <f t="shared" si="13"/>
        <v>0</v>
      </c>
      <c r="AN11" s="41" t="str">
        <f t="shared" si="14"/>
        <v/>
      </c>
      <c r="AO11" s="41">
        <f t="shared" si="15"/>
        <v>0</v>
      </c>
      <c r="AP11" s="45"/>
      <c r="AQ11" s="45"/>
      <c r="AR11" s="48"/>
      <c r="AS11" s="48"/>
      <c r="AT11" s="51">
        <f t="shared" si="24"/>
        <v>7</v>
      </c>
      <c r="AU11" s="49" t="str">
        <f t="shared" si="25"/>
        <v/>
      </c>
      <c r="AV11" s="49" t="str">
        <f t="shared" si="26"/>
        <v/>
      </c>
      <c r="AW11" s="50">
        <f xml:space="preserve"> IF(ISERROR(ROUND((1000*NPV($AT$1,$AV12:$AV$124)-$AW$1*($AU12+NPV($AT$1,$AU13:$AU$124)))/AU12,3)), 0, ROUND((1000*NPV($AT$1,$AV12:$AV$124)-$AW$1*($AU12+NPV($AT$1,$AU13:$AU$124)))/AU12,3))</f>
        <v>0</v>
      </c>
      <c r="AX11" s="50">
        <f>IF(ISERROR(ROUND(MAX(0,1000*NPV($AT$2,$AV12:$AV$124)-$AW$2*($AU12+NPV($AT$2,$AU13:$AU$124)))/AU12,3)), 0, ROUND(MAX(0,1000*NPV($AT$2,$AV12:$AV$124)-$AW$2*($AU12+NPV($AT$2,$AU13:$AU$124)))/AU12,3))</f>
        <v>0</v>
      </c>
    </row>
    <row r="12" spans="1:51" ht="15" x14ac:dyDescent="0.25">
      <c r="A12" s="12"/>
      <c r="B12" s="14" t="s">
        <v>7</v>
      </c>
      <c r="C12" s="17">
        <v>0.05</v>
      </c>
      <c r="D12" s="1"/>
      <c r="E12" s="1"/>
      <c r="F12" s="1"/>
      <c r="G12" s="1"/>
      <c r="H12" s="1"/>
      <c r="I12" s="51"/>
      <c r="J12" s="41" t="str">
        <f t="shared" si="27"/>
        <v/>
      </c>
      <c r="K12" s="41" t="str">
        <f t="shared" si="28"/>
        <v/>
      </c>
      <c r="L12" s="42" t="str">
        <f t="shared" si="29"/>
        <v/>
      </c>
      <c r="M12" s="41" t="str">
        <f t="shared" si="30"/>
        <v/>
      </c>
      <c r="N12" s="43">
        <f>AX12</f>
        <v>0</v>
      </c>
      <c r="O12" s="44">
        <f t="shared" si="2"/>
        <v>0</v>
      </c>
      <c r="P12" s="41" t="str">
        <f t="shared" si="3"/>
        <v/>
      </c>
      <c r="Q12" s="41" t="str">
        <f t="shared" si="4"/>
        <v/>
      </c>
      <c r="R12" s="44"/>
      <c r="S12" s="44" t="str">
        <f>IF(I12&lt;&gt;"",_xlfn.XLOOKUP($D$4+I11+1,#REF!,#REF!,"",0) * 1000,"")</f>
        <v/>
      </c>
      <c r="T12" s="52">
        <f>$C$12</f>
        <v>0.05</v>
      </c>
      <c r="U12" s="53" t="str">
        <f t="shared" si="16"/>
        <v/>
      </c>
      <c r="V12" s="53" t="str">
        <f t="shared" si="17"/>
        <v/>
      </c>
      <c r="W12" s="53" t="str">
        <f t="shared" si="18"/>
        <v/>
      </c>
      <c r="X12" s="46" t="str">
        <f t="shared" si="5"/>
        <v/>
      </c>
      <c r="Y12" s="54"/>
      <c r="Z12" s="41" t="str">
        <f t="shared" si="19"/>
        <v/>
      </c>
      <c r="AA12" s="41" t="str">
        <f t="shared" si="20"/>
        <v/>
      </c>
      <c r="AB12" s="41" t="str">
        <f t="shared" si="6"/>
        <v/>
      </c>
      <c r="AC12" s="41" t="str">
        <f t="shared" si="7"/>
        <v/>
      </c>
      <c r="AD12" s="54"/>
      <c r="AE12" s="41" t="str">
        <f t="shared" si="8"/>
        <v/>
      </c>
      <c r="AF12" s="41" t="str">
        <f t="shared" si="9"/>
        <v/>
      </c>
      <c r="AG12" s="41" t="str">
        <f t="shared" si="10"/>
        <v/>
      </c>
      <c r="AH12" s="41" t="str">
        <f t="shared" si="21"/>
        <v/>
      </c>
      <c r="AI12" s="41" t="str">
        <f t="shared" si="22"/>
        <v/>
      </c>
      <c r="AJ12" s="41">
        <f t="shared" si="11"/>
        <v>0</v>
      </c>
      <c r="AK12" s="41" t="str">
        <f t="shared" si="12"/>
        <v/>
      </c>
      <c r="AL12" s="41">
        <f t="shared" si="23"/>
        <v>0</v>
      </c>
      <c r="AM12" s="41">
        <f t="shared" si="13"/>
        <v>0</v>
      </c>
      <c r="AN12" s="41" t="str">
        <f t="shared" si="14"/>
        <v/>
      </c>
      <c r="AO12" s="41">
        <f t="shared" si="15"/>
        <v>0</v>
      </c>
      <c r="AP12" s="45"/>
      <c r="AQ12" s="45"/>
      <c r="AR12" s="48"/>
      <c r="AS12" s="48"/>
      <c r="AT12" s="51">
        <f t="shared" si="24"/>
        <v>8</v>
      </c>
      <c r="AU12" s="49" t="str">
        <f t="shared" si="25"/>
        <v/>
      </c>
      <c r="AV12" s="49" t="str">
        <f t="shared" si="26"/>
        <v/>
      </c>
      <c r="AW12" s="50">
        <f xml:space="preserve"> IF(ISERROR(ROUND((1000*NPV($AT$1,$AV13:$AV$124)-$AW$1*($AU13+NPV($AT$1,$AU14:$AU$124)))/AU13,3)), 0, ROUND((1000*NPV($AT$1,$AV13:$AV$124)-$AW$1*($AU13+NPV($AT$1,$AU14:$AU$124)))/AU13,3))</f>
        <v>0</v>
      </c>
      <c r="AX12" s="50">
        <f>IF(ISERROR(ROUND(MAX(0,1000*NPV($AT$2,$AV13:$AV$124)-$AW$2*($AU13+NPV($AT$2,$AU14:$AU$124)))/AU13,3)), 0, ROUND(MAX(0,1000*NPV($AT$2,$AV13:$AV$124)-$AW$2*($AU13+NPV($AT$2,$AU14:$AU$124)))/AU13,3))</f>
        <v>0</v>
      </c>
    </row>
    <row r="13" spans="1:51" ht="15" x14ac:dyDescent="0.25">
      <c r="A13" s="12"/>
      <c r="B13" s="13" t="s">
        <v>8</v>
      </c>
      <c r="C13" s="17">
        <v>0.04</v>
      </c>
      <c r="D13" s="1"/>
      <c r="E13" s="1"/>
      <c r="F13" s="1"/>
      <c r="G13" s="1"/>
      <c r="H13" s="1"/>
      <c r="I13" s="51"/>
      <c r="J13" s="41" t="str">
        <f t="shared" si="27"/>
        <v/>
      </c>
      <c r="K13" s="41" t="str">
        <f t="shared" si="28"/>
        <v/>
      </c>
      <c r="L13" s="42" t="str">
        <f t="shared" si="29"/>
        <v/>
      </c>
      <c r="M13" s="41" t="str">
        <f t="shared" si="30"/>
        <v/>
      </c>
      <c r="N13" s="43">
        <f t="shared" si="1"/>
        <v>0</v>
      </c>
      <c r="O13" s="44">
        <f t="shared" si="2"/>
        <v>0</v>
      </c>
      <c r="P13" s="41" t="str">
        <f t="shared" si="3"/>
        <v/>
      </c>
      <c r="Q13" s="41" t="str">
        <f t="shared" si="4"/>
        <v/>
      </c>
      <c r="R13" s="44"/>
      <c r="S13" s="44" t="str">
        <f>IF(I13&lt;&gt;"",_xlfn.XLOOKUP($D$4+I12+1,#REF!,#REF!,"",0) * 1000,"")</f>
        <v/>
      </c>
      <c r="T13" s="52">
        <f>$C$12</f>
        <v>0.05</v>
      </c>
      <c r="U13" s="53" t="str">
        <f t="shared" si="16"/>
        <v/>
      </c>
      <c r="V13" s="53" t="str">
        <f t="shared" si="17"/>
        <v/>
      </c>
      <c r="W13" s="53" t="str">
        <f t="shared" si="18"/>
        <v/>
      </c>
      <c r="X13" s="46" t="str">
        <f t="shared" si="5"/>
        <v/>
      </c>
      <c r="Y13" s="54"/>
      <c r="Z13" s="41" t="str">
        <f t="shared" si="19"/>
        <v/>
      </c>
      <c r="AA13" s="41" t="str">
        <f t="shared" si="20"/>
        <v/>
      </c>
      <c r="AB13" s="41" t="str">
        <f t="shared" si="6"/>
        <v/>
      </c>
      <c r="AC13" s="41" t="str">
        <f t="shared" si="7"/>
        <v/>
      </c>
      <c r="AD13" s="54"/>
      <c r="AE13" s="41" t="str">
        <f t="shared" si="8"/>
        <v/>
      </c>
      <c r="AF13" s="41" t="str">
        <f t="shared" si="9"/>
        <v/>
      </c>
      <c r="AG13" s="41" t="str">
        <f t="shared" si="10"/>
        <v/>
      </c>
      <c r="AH13" s="41" t="str">
        <f t="shared" si="21"/>
        <v/>
      </c>
      <c r="AI13" s="41" t="str">
        <f t="shared" si="22"/>
        <v/>
      </c>
      <c r="AJ13" s="41">
        <f t="shared" si="11"/>
        <v>0</v>
      </c>
      <c r="AK13" s="41" t="str">
        <f t="shared" si="12"/>
        <v/>
      </c>
      <c r="AL13" s="41">
        <f t="shared" si="23"/>
        <v>0</v>
      </c>
      <c r="AM13" s="41">
        <f t="shared" si="13"/>
        <v>0</v>
      </c>
      <c r="AN13" s="41" t="str">
        <f t="shared" si="14"/>
        <v/>
      </c>
      <c r="AO13" s="41">
        <f t="shared" si="15"/>
        <v>0</v>
      </c>
      <c r="AP13" s="45"/>
      <c r="AQ13" s="45"/>
      <c r="AR13" s="48"/>
      <c r="AS13" s="48"/>
      <c r="AT13" s="51">
        <f t="shared" si="24"/>
        <v>9</v>
      </c>
      <c r="AU13" s="49" t="str">
        <f t="shared" si="25"/>
        <v/>
      </c>
      <c r="AV13" s="49" t="str">
        <f t="shared" si="26"/>
        <v/>
      </c>
      <c r="AW13" s="50">
        <f xml:space="preserve"> IF(ISERROR(ROUND((1000*NPV($AT$1,$AV14:$AV$124)-$AW$1*($AU14+NPV($AT$1,$AU15:$AU$124)))/AU14,3)), 0, ROUND((1000*NPV($AT$1,$AV14:$AV$124)-$AW$1*($AU14+NPV($AT$1,$AU15:$AU$124)))/AU14,3))</f>
        <v>0</v>
      </c>
      <c r="AX13" s="50">
        <f>IF(ISERROR(ROUND(MAX(0,1000*NPV($AT$2,$AV14:$AV$124)-$AW$2*($AU14+NPV($AT$2,$AU15:$AU$124)))/AU14,3)), 0, ROUND(MAX(0,1000*NPV($AT$2,$AV14:$AV$124)-$AW$2*($AU14+NPV($AT$2,$AU15:$AU$124)))/AU14,3))</f>
        <v>0</v>
      </c>
    </row>
    <row r="14" spans="1:51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/>
      <c r="J14" s="41" t="str">
        <f t="shared" si="27"/>
        <v/>
      </c>
      <c r="K14" s="41" t="str">
        <f t="shared" si="28"/>
        <v/>
      </c>
      <c r="L14" s="42" t="str">
        <f t="shared" si="29"/>
        <v/>
      </c>
      <c r="M14" s="41" t="str">
        <f t="shared" si="30"/>
        <v/>
      </c>
      <c r="N14" s="43">
        <f t="shared" si="1"/>
        <v>0</v>
      </c>
      <c r="O14" s="44">
        <f t="shared" si="2"/>
        <v>0</v>
      </c>
      <c r="P14" s="41" t="str">
        <f t="shared" si="3"/>
        <v/>
      </c>
      <c r="Q14" s="41" t="str">
        <f t="shared" si="4"/>
        <v/>
      </c>
      <c r="R14" s="44"/>
      <c r="S14" s="44" t="str">
        <f>IF(I14&lt;&gt;"",_xlfn.XLOOKUP($D$4+I13+1,#REF!,#REF!,"",0) * 1000,"")</f>
        <v/>
      </c>
      <c r="T14" s="52">
        <f>$C$12</f>
        <v>0.05</v>
      </c>
      <c r="U14" s="53" t="str">
        <f t="shared" si="16"/>
        <v/>
      </c>
      <c r="V14" s="53" t="str">
        <f t="shared" si="17"/>
        <v/>
      </c>
      <c r="W14" s="53" t="str">
        <f t="shared" si="18"/>
        <v/>
      </c>
      <c r="X14" s="46" t="str">
        <f t="shared" si="5"/>
        <v/>
      </c>
      <c r="Y14" s="54"/>
      <c r="Z14" s="41" t="str">
        <f t="shared" si="19"/>
        <v/>
      </c>
      <c r="AA14" s="41" t="str">
        <f t="shared" si="20"/>
        <v/>
      </c>
      <c r="AB14" s="41" t="str">
        <f t="shared" si="6"/>
        <v/>
      </c>
      <c r="AC14" s="41" t="str">
        <f t="shared" si="7"/>
        <v/>
      </c>
      <c r="AD14" s="54"/>
      <c r="AE14" s="41" t="str">
        <f t="shared" si="8"/>
        <v/>
      </c>
      <c r="AF14" s="41" t="str">
        <f t="shared" si="9"/>
        <v/>
      </c>
      <c r="AG14" s="41" t="str">
        <f t="shared" si="10"/>
        <v/>
      </c>
      <c r="AH14" s="41" t="str">
        <f t="shared" si="21"/>
        <v/>
      </c>
      <c r="AI14" s="41" t="str">
        <f t="shared" si="22"/>
        <v/>
      </c>
      <c r="AJ14" s="41">
        <f t="shared" si="11"/>
        <v>0</v>
      </c>
      <c r="AK14" s="41" t="str">
        <f t="shared" si="12"/>
        <v/>
      </c>
      <c r="AL14" s="41">
        <f t="shared" si="23"/>
        <v>0</v>
      </c>
      <c r="AM14" s="41">
        <f t="shared" si="13"/>
        <v>0</v>
      </c>
      <c r="AN14" s="41" t="str">
        <f t="shared" si="14"/>
        <v/>
      </c>
      <c r="AO14" s="41">
        <f t="shared" si="15"/>
        <v>0</v>
      </c>
      <c r="AP14" s="45"/>
      <c r="AQ14" s="45"/>
      <c r="AR14" s="48"/>
      <c r="AS14" s="48"/>
      <c r="AT14" s="51">
        <f t="shared" si="24"/>
        <v>10</v>
      </c>
      <c r="AU14" s="49" t="str">
        <f t="shared" si="25"/>
        <v/>
      </c>
      <c r="AV14" s="49" t="str">
        <f t="shared" si="26"/>
        <v/>
      </c>
      <c r="AW14" s="50">
        <f xml:space="preserve"> IF(ISERROR(ROUND((1000*NPV($AT$1,$AV15:$AV$124)-$AW$1*($AU15+NPV($AT$1,$AU16:$AU$124)))/AU15,3)), 0, ROUND((1000*NPV($AT$1,$AV15:$AV$124)-$AW$1*($AU15+NPV($AT$1,$AU16:$AU$124)))/AU15,3))</f>
        <v>0</v>
      </c>
      <c r="AX14" s="50">
        <f>IF(ISERROR(ROUND(MAX(0,1000*NPV($AT$2,$AV15:$AV$124)-$AW$2*($AU15+NPV($AT$2,$AU16:$AU$124)))/AU15,3)), 0, ROUND(MAX(0,1000*NPV($AT$2,$AV15:$AV$124)-$AW$2*($AU15+NPV($AT$2,$AU16:$AU$124)))/AU15,3))</f>
        <v>0</v>
      </c>
    </row>
    <row r="15" spans="1:51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/>
      <c r="J15" s="41" t="str">
        <f t="shared" si="27"/>
        <v/>
      </c>
      <c r="K15" s="41" t="str">
        <f t="shared" si="28"/>
        <v/>
      </c>
      <c r="L15" s="42" t="str">
        <f t="shared" si="29"/>
        <v/>
      </c>
      <c r="M15" s="41" t="str">
        <f t="shared" si="30"/>
        <v/>
      </c>
      <c r="N15" s="43">
        <f t="shared" si="1"/>
        <v>0</v>
      </c>
      <c r="O15" s="44">
        <f t="shared" si="2"/>
        <v>0</v>
      </c>
      <c r="P15" s="41" t="str">
        <f t="shared" si="3"/>
        <v/>
      </c>
      <c r="Q15" s="41" t="str">
        <f t="shared" si="4"/>
        <v/>
      </c>
      <c r="R15" s="44"/>
      <c r="S15" s="44" t="str">
        <f>IF(I15&lt;&gt;"",_xlfn.XLOOKUP($D$4+I14+1,#REF!,#REF!,"",0) * 1000,"")</f>
        <v/>
      </c>
      <c r="T15" s="52">
        <f>$C$13</f>
        <v>0.04</v>
      </c>
      <c r="U15" s="53" t="str">
        <f t="shared" si="16"/>
        <v/>
      </c>
      <c r="V15" s="53" t="str">
        <f t="shared" si="17"/>
        <v/>
      </c>
      <c r="W15" s="53" t="str">
        <f t="shared" si="18"/>
        <v/>
      </c>
      <c r="X15" s="46" t="str">
        <f t="shared" si="5"/>
        <v/>
      </c>
      <c r="Y15" s="54"/>
      <c r="Z15" s="41" t="str">
        <f t="shared" si="19"/>
        <v/>
      </c>
      <c r="AA15" s="41" t="str">
        <f t="shared" si="20"/>
        <v/>
      </c>
      <c r="AB15" s="41" t="str">
        <f t="shared" si="6"/>
        <v/>
      </c>
      <c r="AC15" s="41" t="str">
        <f t="shared" si="7"/>
        <v/>
      </c>
      <c r="AD15" s="54"/>
      <c r="AE15" s="41" t="str">
        <f t="shared" si="8"/>
        <v/>
      </c>
      <c r="AF15" s="41" t="str">
        <f t="shared" si="9"/>
        <v/>
      </c>
      <c r="AG15" s="41" t="str">
        <f t="shared" si="10"/>
        <v/>
      </c>
      <c r="AH15" s="41" t="str">
        <f t="shared" si="21"/>
        <v/>
      </c>
      <c r="AI15" s="41" t="str">
        <f t="shared" si="22"/>
        <v/>
      </c>
      <c r="AJ15" s="41">
        <f t="shared" si="11"/>
        <v>0</v>
      </c>
      <c r="AK15" s="41" t="str">
        <f t="shared" si="12"/>
        <v/>
      </c>
      <c r="AL15" s="41">
        <f t="shared" si="23"/>
        <v>0</v>
      </c>
      <c r="AM15" s="41">
        <f t="shared" si="13"/>
        <v>0</v>
      </c>
      <c r="AN15" s="41" t="str">
        <f t="shared" si="14"/>
        <v/>
      </c>
      <c r="AO15" s="41">
        <f t="shared" si="15"/>
        <v>0</v>
      </c>
      <c r="AP15" s="45"/>
      <c r="AQ15" s="45"/>
      <c r="AR15" s="48"/>
      <c r="AS15" s="48"/>
      <c r="AT15" s="51">
        <f t="shared" si="24"/>
        <v>11</v>
      </c>
      <c r="AU15" s="49" t="str">
        <f t="shared" si="25"/>
        <v/>
      </c>
      <c r="AV15" s="49" t="str">
        <f t="shared" si="26"/>
        <v/>
      </c>
      <c r="AW15" s="50">
        <f xml:space="preserve"> IF(ISERROR(ROUND((1000*NPV($AT$1,$AV16:$AV$124)-$AW$1*($AU16+NPV($AT$1,$AU17:$AU$124)))/AU16,3)), 0, ROUND((1000*NPV($AT$1,$AV16:$AV$124)-$AW$1*($AU16+NPV($AT$1,$AU17:$AU$124)))/AU16,3))</f>
        <v>0</v>
      </c>
      <c r="AX15" s="50">
        <f>IF(ISERROR(ROUND(MAX(0,1000*NPV($AT$2,$AV16:$AV$124)-$AW$2*($AU16+NPV($AT$2,$AU17:$AU$124)))/AU16,3)), 0, ROUND(MAX(0,1000*NPV($AT$2,$AV16:$AV$124)-$AW$2*($AU16+NPV($AT$2,$AU17:$AU$124)))/AU16,3))</f>
        <v>0</v>
      </c>
    </row>
    <row r="16" spans="1:51" ht="15" x14ac:dyDescent="0.25">
      <c r="A16" s="15"/>
      <c r="B16" s="19">
        <v>1</v>
      </c>
      <c r="C16" s="18">
        <v>0.8</v>
      </c>
      <c r="D16" s="1"/>
      <c r="E16" s="1"/>
      <c r="F16" s="1"/>
      <c r="G16" s="5"/>
      <c r="H16" s="1"/>
      <c r="I16" s="51"/>
      <c r="J16" s="41" t="str">
        <f t="shared" si="27"/>
        <v/>
      </c>
      <c r="K16" s="41" t="str">
        <f t="shared" si="28"/>
        <v/>
      </c>
      <c r="L16" s="42" t="str">
        <f t="shared" si="29"/>
        <v/>
      </c>
      <c r="M16" s="41" t="str">
        <f t="shared" si="30"/>
        <v/>
      </c>
      <c r="N16" s="43">
        <f t="shared" si="1"/>
        <v>0</v>
      </c>
      <c r="O16" s="44">
        <f t="shared" si="2"/>
        <v>0</v>
      </c>
      <c r="P16" s="41" t="str">
        <f t="shared" si="3"/>
        <v/>
      </c>
      <c r="Q16" s="41" t="str">
        <f t="shared" si="4"/>
        <v/>
      </c>
      <c r="R16" s="44"/>
      <c r="S16" s="44" t="str">
        <f>IF(I16&lt;&gt;"",_xlfn.XLOOKUP($D$4+I15+1,#REF!,#REF!,"",0) * 1000,"")</f>
        <v/>
      </c>
      <c r="T16" s="52">
        <f t="shared" ref="T16:T80" si="31">$C$13</f>
        <v>0.04</v>
      </c>
      <c r="U16" s="53" t="str">
        <f t="shared" si="16"/>
        <v/>
      </c>
      <c r="V16" s="53" t="str">
        <f t="shared" si="17"/>
        <v/>
      </c>
      <c r="W16" s="53" t="str">
        <f t="shared" si="18"/>
        <v/>
      </c>
      <c r="X16" s="46" t="str">
        <f t="shared" si="5"/>
        <v/>
      </c>
      <c r="Y16" s="54"/>
      <c r="Z16" s="41" t="str">
        <f t="shared" si="19"/>
        <v/>
      </c>
      <c r="AA16" s="41" t="str">
        <f t="shared" si="20"/>
        <v/>
      </c>
      <c r="AB16" s="41" t="str">
        <f t="shared" si="6"/>
        <v/>
      </c>
      <c r="AC16" s="41" t="str">
        <f t="shared" si="7"/>
        <v/>
      </c>
      <c r="AD16" s="54"/>
      <c r="AE16" s="41" t="str">
        <f t="shared" si="8"/>
        <v/>
      </c>
      <c r="AF16" s="41" t="str">
        <f t="shared" si="9"/>
        <v/>
      </c>
      <c r="AG16" s="41" t="str">
        <f t="shared" si="10"/>
        <v/>
      </c>
      <c r="AH16" s="41" t="str">
        <f t="shared" si="21"/>
        <v/>
      </c>
      <c r="AI16" s="41" t="str">
        <f t="shared" si="22"/>
        <v/>
      </c>
      <c r="AJ16" s="41">
        <f t="shared" si="11"/>
        <v>0</v>
      </c>
      <c r="AK16" s="41" t="str">
        <f t="shared" si="12"/>
        <v/>
      </c>
      <c r="AL16" s="41">
        <f t="shared" si="23"/>
        <v>0</v>
      </c>
      <c r="AM16" s="41">
        <f t="shared" si="13"/>
        <v>0</v>
      </c>
      <c r="AN16" s="41" t="str">
        <f t="shared" si="14"/>
        <v/>
      </c>
      <c r="AO16" s="41">
        <f t="shared" si="15"/>
        <v>0</v>
      </c>
      <c r="AP16" s="45"/>
      <c r="AQ16" s="45"/>
      <c r="AR16" s="48"/>
      <c r="AS16" s="48"/>
      <c r="AT16" s="51">
        <f t="shared" si="24"/>
        <v>12</v>
      </c>
      <c r="AU16" s="49" t="str">
        <f t="shared" si="25"/>
        <v/>
      </c>
      <c r="AV16" s="49" t="str">
        <f t="shared" si="26"/>
        <v/>
      </c>
      <c r="AW16" s="50">
        <f xml:space="preserve"> IF(ISERROR(ROUND((1000*NPV($AT$1,$AV17:$AV$124)-$AW$1*($AU17+NPV($AT$1,$AU18:$AU$124)))/AU17,3)), 0, ROUND((1000*NPV($AT$1,$AV17:$AV$124)-$AW$1*($AU17+NPV($AT$1,$AU18:$AU$124)))/AU17,3))</f>
        <v>0</v>
      </c>
      <c r="AX16" s="50">
        <f>IF(ISERROR(ROUND(MAX(0,1000*NPV($AT$2,$AV17:$AV$124)-$AW$2*($AU17+NPV($AT$2,$AU18:$AU$124)))/AU17,3)), 0, ROUND(MAX(0,1000*NPV($AT$2,$AV17:$AV$124)-$AW$2*($AU17+NPV($AT$2,$AU18:$AU$124)))/AU17,3))</f>
        <v>0</v>
      </c>
    </row>
    <row r="17" spans="1:50" ht="15" x14ac:dyDescent="0.25">
      <c r="A17" s="15"/>
      <c r="B17" s="20" t="s">
        <v>9</v>
      </c>
      <c r="C17" s="18">
        <v>0.05</v>
      </c>
      <c r="D17" s="1"/>
      <c r="E17" s="1"/>
      <c r="F17" s="1"/>
      <c r="G17" s="5"/>
      <c r="H17" s="1"/>
      <c r="I17" s="51"/>
      <c r="J17" s="41" t="str">
        <f t="shared" si="27"/>
        <v/>
      </c>
      <c r="K17" s="41" t="str">
        <f t="shared" si="28"/>
        <v/>
      </c>
      <c r="L17" s="42" t="str">
        <f t="shared" si="29"/>
        <v/>
      </c>
      <c r="M17" s="41" t="str">
        <f t="shared" si="30"/>
        <v/>
      </c>
      <c r="N17" s="43">
        <f t="shared" si="1"/>
        <v>0</v>
      </c>
      <c r="O17" s="44">
        <f t="shared" si="2"/>
        <v>0</v>
      </c>
      <c r="P17" s="41" t="str">
        <f t="shared" si="3"/>
        <v/>
      </c>
      <c r="Q17" s="41" t="str">
        <f t="shared" si="4"/>
        <v/>
      </c>
      <c r="R17" s="44"/>
      <c r="S17" s="44" t="str">
        <f>IF(I17&lt;&gt;"",_xlfn.XLOOKUP($D$4+I16+1,#REF!,#REF!,"",0) * 1000,"")</f>
        <v/>
      </c>
      <c r="T17" s="52">
        <f t="shared" si="31"/>
        <v>0.04</v>
      </c>
      <c r="U17" s="53" t="str">
        <f t="shared" si="16"/>
        <v/>
      </c>
      <c r="V17" s="53" t="str">
        <f t="shared" si="17"/>
        <v/>
      </c>
      <c r="W17" s="53" t="str">
        <f t="shared" si="18"/>
        <v/>
      </c>
      <c r="X17" s="46" t="str">
        <f t="shared" si="5"/>
        <v/>
      </c>
      <c r="Y17" s="54"/>
      <c r="Z17" s="41" t="str">
        <f t="shared" si="19"/>
        <v/>
      </c>
      <c r="AA17" s="41" t="str">
        <f t="shared" si="20"/>
        <v/>
      </c>
      <c r="AB17" s="41" t="str">
        <f t="shared" si="6"/>
        <v/>
      </c>
      <c r="AC17" s="41" t="str">
        <f t="shared" si="7"/>
        <v/>
      </c>
      <c r="AD17" s="54"/>
      <c r="AE17" s="41" t="str">
        <f t="shared" si="8"/>
        <v/>
      </c>
      <c r="AF17" s="41" t="str">
        <f t="shared" si="9"/>
        <v/>
      </c>
      <c r="AG17" s="41" t="str">
        <f t="shared" si="10"/>
        <v/>
      </c>
      <c r="AH17" s="41" t="str">
        <f t="shared" si="21"/>
        <v/>
      </c>
      <c r="AI17" s="41" t="str">
        <f t="shared" si="22"/>
        <v/>
      </c>
      <c r="AJ17" s="41">
        <f t="shared" si="11"/>
        <v>0</v>
      </c>
      <c r="AK17" s="41" t="str">
        <f t="shared" si="12"/>
        <v/>
      </c>
      <c r="AL17" s="41">
        <f t="shared" si="23"/>
        <v>0</v>
      </c>
      <c r="AM17" s="41">
        <f t="shared" si="13"/>
        <v>0</v>
      </c>
      <c r="AN17" s="41" t="str">
        <f t="shared" si="14"/>
        <v/>
      </c>
      <c r="AO17" s="41">
        <f t="shared" si="15"/>
        <v>0</v>
      </c>
      <c r="AP17" s="45"/>
      <c r="AQ17" s="45"/>
      <c r="AR17" s="48"/>
      <c r="AS17" s="48"/>
      <c r="AT17" s="51">
        <f t="shared" si="24"/>
        <v>13</v>
      </c>
      <c r="AU17" s="49" t="str">
        <f t="shared" si="25"/>
        <v/>
      </c>
      <c r="AV17" s="49" t="str">
        <f t="shared" si="26"/>
        <v/>
      </c>
      <c r="AW17" s="50">
        <f xml:space="preserve"> IF(ISERROR(ROUND((1000*NPV($AT$1,$AV18:$AV$124)-$AW$1*($AU18+NPV($AT$1,$AU19:$AU$124)))/AU18,3)), 0, ROUND((1000*NPV($AT$1,$AV18:$AV$124)-$AW$1*($AU18+NPV($AT$1,$AU19:$AU$124)))/AU18,3))</f>
        <v>0</v>
      </c>
      <c r="AX17" s="50">
        <f>IF(ISERROR(ROUND(MAX(0,1000*NPV($AT$2,$AV18:$AV$124)-$AW$2*($AU18+NPV($AT$2,$AU19:$AU$124)))/AU18,3)), 0, ROUND(MAX(0,1000*NPV($AT$2,$AV18:$AV$124)-$AW$2*($AU18+NPV($AT$2,$AU19:$AU$124)))/AU18,3))</f>
        <v>0</v>
      </c>
    </row>
    <row r="18" spans="1:50" ht="15" x14ac:dyDescent="0.25">
      <c r="A18" s="12" t="s">
        <v>10</v>
      </c>
      <c r="B18" s="14"/>
      <c r="C18" s="3"/>
      <c r="D18" s="1"/>
      <c r="E18" s="1"/>
      <c r="F18" s="1"/>
      <c r="G18" s="1"/>
      <c r="H18" s="1"/>
      <c r="I18" s="51"/>
      <c r="J18" s="41" t="str">
        <f t="shared" si="27"/>
        <v/>
      </c>
      <c r="K18" s="41" t="str">
        <f t="shared" si="28"/>
        <v/>
      </c>
      <c r="L18" s="42" t="str">
        <f t="shared" si="29"/>
        <v/>
      </c>
      <c r="M18" s="41" t="str">
        <f t="shared" si="30"/>
        <v/>
      </c>
      <c r="N18" s="43">
        <f t="shared" si="1"/>
        <v>0</v>
      </c>
      <c r="O18" s="44">
        <f t="shared" si="2"/>
        <v>0</v>
      </c>
      <c r="P18" s="41" t="str">
        <f t="shared" si="3"/>
        <v/>
      </c>
      <c r="Q18" s="41" t="str">
        <f t="shared" si="4"/>
        <v/>
      </c>
      <c r="R18" s="44"/>
      <c r="S18" s="44" t="str">
        <f>IF(I18&lt;&gt;"",_xlfn.XLOOKUP($D$4+I17+1,#REF!,#REF!,"",0) * 1000,"")</f>
        <v/>
      </c>
      <c r="T18" s="52">
        <f t="shared" si="31"/>
        <v>0.04</v>
      </c>
      <c r="U18" s="53" t="str">
        <f t="shared" si="16"/>
        <v/>
      </c>
      <c r="V18" s="53" t="str">
        <f t="shared" si="17"/>
        <v/>
      </c>
      <c r="W18" s="53" t="str">
        <f t="shared" si="18"/>
        <v/>
      </c>
      <c r="X18" s="46" t="str">
        <f t="shared" si="5"/>
        <v/>
      </c>
      <c r="Y18" s="54"/>
      <c r="Z18" s="41" t="str">
        <f t="shared" si="19"/>
        <v/>
      </c>
      <c r="AA18" s="41" t="str">
        <f t="shared" si="20"/>
        <v/>
      </c>
      <c r="AB18" s="41" t="str">
        <f t="shared" si="6"/>
        <v/>
      </c>
      <c r="AC18" s="41" t="str">
        <f t="shared" si="7"/>
        <v/>
      </c>
      <c r="AD18" s="54"/>
      <c r="AE18" s="41" t="str">
        <f t="shared" si="8"/>
        <v/>
      </c>
      <c r="AF18" s="41" t="str">
        <f t="shared" si="9"/>
        <v/>
      </c>
      <c r="AG18" s="41" t="str">
        <f t="shared" si="10"/>
        <v/>
      </c>
      <c r="AH18" s="41" t="str">
        <f t="shared" si="21"/>
        <v/>
      </c>
      <c r="AI18" s="41" t="str">
        <f t="shared" si="22"/>
        <v/>
      </c>
      <c r="AJ18" s="41">
        <f t="shared" si="11"/>
        <v>0</v>
      </c>
      <c r="AK18" s="41" t="str">
        <f t="shared" si="12"/>
        <v/>
      </c>
      <c r="AL18" s="41">
        <f t="shared" si="23"/>
        <v>0</v>
      </c>
      <c r="AM18" s="41">
        <f t="shared" si="13"/>
        <v>0</v>
      </c>
      <c r="AN18" s="41" t="str">
        <f t="shared" si="14"/>
        <v/>
      </c>
      <c r="AO18" s="41">
        <f t="shared" si="15"/>
        <v>0</v>
      </c>
      <c r="AP18" s="45"/>
      <c r="AQ18" s="45"/>
      <c r="AR18" s="48"/>
      <c r="AS18" s="48"/>
      <c r="AT18" s="51">
        <f t="shared" si="24"/>
        <v>14</v>
      </c>
      <c r="AU18" s="49" t="str">
        <f t="shared" si="25"/>
        <v/>
      </c>
      <c r="AV18" s="49" t="str">
        <f t="shared" si="26"/>
        <v/>
      </c>
      <c r="AW18" s="50">
        <f xml:space="preserve"> IF(ISERROR(ROUND((1000*NPV($AT$1,$AV19:$AV$124)-$AW$1*($AU19+NPV($AT$1,$AU20:$AU$124)))/AU19,3)), 0, ROUND((1000*NPV($AT$1,$AV19:$AV$124)-$AW$1*($AU19+NPV($AT$1,$AU20:$AU$124)))/AU19,3))</f>
        <v>0</v>
      </c>
      <c r="AX18" s="50">
        <f>IF(ISERROR(ROUND(MAX(0,1000*NPV($AT$2,$AV19:$AV$124)-$AW$2*($AU19+NPV($AT$2,$AU20:$AU$124)))/AU19,3)), 0, ROUND(MAX(0,1000*NPV($AT$2,$AV19:$AV$124)-$AW$2*($AU19+NPV($AT$2,$AU20:$AU$124)))/AU19,3))</f>
        <v>0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/>
      <c r="J19" s="41" t="str">
        <f t="shared" si="27"/>
        <v/>
      </c>
      <c r="K19" s="41" t="str">
        <f t="shared" si="28"/>
        <v/>
      </c>
      <c r="L19" s="42" t="str">
        <f t="shared" si="29"/>
        <v/>
      </c>
      <c r="M19" s="41" t="str">
        <f t="shared" si="30"/>
        <v/>
      </c>
      <c r="N19" s="43">
        <f t="shared" si="1"/>
        <v>0</v>
      </c>
      <c r="O19" s="44">
        <f t="shared" si="2"/>
        <v>0</v>
      </c>
      <c r="P19" s="41" t="str">
        <f t="shared" si="3"/>
        <v/>
      </c>
      <c r="Q19" s="41" t="str">
        <f t="shared" si="4"/>
        <v/>
      </c>
      <c r="R19" s="44"/>
      <c r="S19" s="44" t="str">
        <f>IF(I19&lt;&gt;"",_xlfn.XLOOKUP($D$4+I18+1,#REF!,#REF!,"",0) * 1000,"")</f>
        <v/>
      </c>
      <c r="T19" s="52">
        <f t="shared" si="31"/>
        <v>0.04</v>
      </c>
      <c r="U19" s="53" t="str">
        <f t="shared" si="16"/>
        <v/>
      </c>
      <c r="V19" s="53" t="str">
        <f t="shared" si="17"/>
        <v/>
      </c>
      <c r="W19" s="53" t="str">
        <f t="shared" si="18"/>
        <v/>
      </c>
      <c r="X19" s="46" t="str">
        <f t="shared" si="5"/>
        <v/>
      </c>
      <c r="Y19" s="54"/>
      <c r="Z19" s="41" t="str">
        <f t="shared" si="19"/>
        <v/>
      </c>
      <c r="AA19" s="41" t="str">
        <f t="shared" si="20"/>
        <v/>
      </c>
      <c r="AB19" s="41" t="str">
        <f t="shared" si="6"/>
        <v/>
      </c>
      <c r="AC19" s="41" t="str">
        <f t="shared" si="7"/>
        <v/>
      </c>
      <c r="AD19" s="54"/>
      <c r="AE19" s="41" t="str">
        <f t="shared" si="8"/>
        <v/>
      </c>
      <c r="AF19" s="41" t="str">
        <f t="shared" si="9"/>
        <v/>
      </c>
      <c r="AG19" s="41" t="str">
        <f t="shared" si="10"/>
        <v/>
      </c>
      <c r="AH19" s="41" t="str">
        <f t="shared" si="21"/>
        <v/>
      </c>
      <c r="AI19" s="41" t="str">
        <f t="shared" si="22"/>
        <v/>
      </c>
      <c r="AJ19" s="41">
        <f t="shared" si="11"/>
        <v>0</v>
      </c>
      <c r="AK19" s="41" t="str">
        <f t="shared" si="12"/>
        <v/>
      </c>
      <c r="AL19" s="41">
        <f t="shared" si="23"/>
        <v>0</v>
      </c>
      <c r="AM19" s="41">
        <f t="shared" si="13"/>
        <v>0</v>
      </c>
      <c r="AN19" s="41" t="str">
        <f t="shared" si="14"/>
        <v/>
      </c>
      <c r="AO19" s="41">
        <f t="shared" si="15"/>
        <v>0</v>
      </c>
      <c r="AP19" s="45"/>
      <c r="AQ19" s="45"/>
      <c r="AR19" s="48"/>
      <c r="AS19" s="48"/>
      <c r="AT19" s="51">
        <f t="shared" si="24"/>
        <v>15</v>
      </c>
      <c r="AU19" s="49" t="str">
        <f t="shared" si="25"/>
        <v/>
      </c>
      <c r="AV19" s="49" t="str">
        <f t="shared" si="26"/>
        <v/>
      </c>
      <c r="AW19" s="50">
        <f xml:space="preserve"> IF(ISERROR(ROUND((1000*NPV($AT$1,$AV20:$AV$124)-$AW$1*($AU20+NPV($AT$1,$AU21:$AU$124)))/AU20,3)), 0, ROUND((1000*NPV($AT$1,$AV20:$AV$124)-$AW$1*($AU20+NPV($AT$1,$AU21:$AU$124)))/AU20,3))</f>
        <v>0</v>
      </c>
      <c r="AX19" s="50">
        <f>IF(ISERROR(ROUND(MAX(0,1000*NPV($AT$2,$AV20:$AV$124)-$AW$2*($AU20+NPV($AT$2,$AU21:$AU$124)))/AU20,3)), 0, ROUND(MAX(0,1000*NPV($AT$2,$AV20:$AV$124)-$AW$2*($AU20+NPV($AT$2,$AU21:$AU$124)))/AU20,3))</f>
        <v>0</v>
      </c>
    </row>
    <row r="20" spans="1:50" ht="15" x14ac:dyDescent="0.25">
      <c r="A20" s="12"/>
      <c r="B20" s="13">
        <v>1</v>
      </c>
      <c r="C20" s="10">
        <v>200</v>
      </c>
      <c r="D20" s="1"/>
      <c r="E20" s="1"/>
      <c r="F20" s="1"/>
      <c r="G20" s="1"/>
      <c r="H20" s="1"/>
      <c r="I20" s="51"/>
      <c r="J20" s="41" t="str">
        <f t="shared" si="27"/>
        <v/>
      </c>
      <c r="K20" s="41" t="str">
        <f t="shared" si="28"/>
        <v/>
      </c>
      <c r="L20" s="42" t="str">
        <f t="shared" si="29"/>
        <v/>
      </c>
      <c r="M20" s="41" t="str">
        <f t="shared" si="30"/>
        <v/>
      </c>
      <c r="N20" s="43">
        <f t="shared" si="1"/>
        <v>0</v>
      </c>
      <c r="O20" s="44">
        <f t="shared" si="2"/>
        <v>0</v>
      </c>
      <c r="P20" s="41" t="str">
        <f t="shared" si="3"/>
        <v/>
      </c>
      <c r="Q20" s="41" t="str">
        <f t="shared" si="4"/>
        <v/>
      </c>
      <c r="R20" s="44"/>
      <c r="S20" s="44" t="str">
        <f>IF(I20&lt;&gt;"",_xlfn.XLOOKUP($D$4+I19+1,#REF!,#REF!,"",0) * 1000,"")</f>
        <v/>
      </c>
      <c r="T20" s="52">
        <f t="shared" si="31"/>
        <v>0.04</v>
      </c>
      <c r="U20" s="53" t="str">
        <f t="shared" si="16"/>
        <v/>
      </c>
      <c r="V20" s="53" t="str">
        <f t="shared" si="17"/>
        <v/>
      </c>
      <c r="W20" s="53" t="str">
        <f t="shared" si="18"/>
        <v/>
      </c>
      <c r="X20" s="46" t="str">
        <f t="shared" si="5"/>
        <v/>
      </c>
      <c r="Y20" s="54"/>
      <c r="Z20" s="41" t="str">
        <f t="shared" si="19"/>
        <v/>
      </c>
      <c r="AA20" s="41" t="str">
        <f t="shared" si="20"/>
        <v/>
      </c>
      <c r="AB20" s="41" t="str">
        <f t="shared" si="6"/>
        <v/>
      </c>
      <c r="AC20" s="41" t="str">
        <f t="shared" si="7"/>
        <v/>
      </c>
      <c r="AD20" s="54"/>
      <c r="AE20" s="41" t="str">
        <f t="shared" si="8"/>
        <v/>
      </c>
      <c r="AF20" s="41" t="str">
        <f t="shared" si="9"/>
        <v/>
      </c>
      <c r="AG20" s="41" t="str">
        <f t="shared" si="10"/>
        <v/>
      </c>
      <c r="AH20" s="41" t="str">
        <f t="shared" si="21"/>
        <v/>
      </c>
      <c r="AI20" s="41" t="str">
        <f t="shared" si="22"/>
        <v/>
      </c>
      <c r="AJ20" s="41">
        <f t="shared" si="11"/>
        <v>0</v>
      </c>
      <c r="AK20" s="41" t="str">
        <f t="shared" si="12"/>
        <v/>
      </c>
      <c r="AL20" s="41">
        <f t="shared" si="23"/>
        <v>0</v>
      </c>
      <c r="AM20" s="41">
        <f t="shared" si="13"/>
        <v>0</v>
      </c>
      <c r="AN20" s="41" t="str">
        <f t="shared" si="14"/>
        <v/>
      </c>
      <c r="AO20" s="41">
        <f t="shared" si="15"/>
        <v>0</v>
      </c>
      <c r="AP20" s="45"/>
      <c r="AQ20" s="45"/>
      <c r="AR20" s="48"/>
      <c r="AS20" s="48"/>
      <c r="AT20" s="51">
        <f t="shared" si="24"/>
        <v>16</v>
      </c>
      <c r="AU20" s="49" t="str">
        <f t="shared" si="25"/>
        <v/>
      </c>
      <c r="AV20" s="49" t="str">
        <f t="shared" si="26"/>
        <v/>
      </c>
      <c r="AW20" s="50">
        <f xml:space="preserve"> IF(ISERROR(ROUND((1000*NPV($AT$1,$AV21:$AV$124)-$AW$1*($AU21+NPV($AT$1,$AU22:$AU$124)))/AU21,3)), 0, ROUND((1000*NPV($AT$1,$AV21:$AV$124)-$AW$1*($AU21+NPV($AT$1,$AU22:$AU$124)))/AU21,3))</f>
        <v>0</v>
      </c>
      <c r="AX20" s="50">
        <f>IF(ISERROR(ROUND(MAX(0,1000*NPV($AT$2,$AV21:$AV$124)-$AW$2*($AU21+NPV($AT$2,$AU22:$AU$124)))/AU21,3)), 0, ROUND(MAX(0,1000*NPV($AT$2,$AV21:$AV$124)-$AW$2*($AU21+NPV($AT$2,$AU22:$AU$124)))/AU21,3))</f>
        <v>0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/>
      <c r="J21" s="41" t="str">
        <f t="shared" si="27"/>
        <v/>
      </c>
      <c r="K21" s="41" t="str">
        <f t="shared" si="28"/>
        <v/>
      </c>
      <c r="L21" s="42" t="str">
        <f t="shared" si="29"/>
        <v/>
      </c>
      <c r="M21" s="41" t="str">
        <f t="shared" si="30"/>
        <v/>
      </c>
      <c r="N21" s="43">
        <f t="shared" si="1"/>
        <v>0</v>
      </c>
      <c r="O21" s="44">
        <f t="shared" si="2"/>
        <v>0</v>
      </c>
      <c r="P21" s="41" t="str">
        <f t="shared" si="3"/>
        <v/>
      </c>
      <c r="Q21" s="41" t="str">
        <f t="shared" si="4"/>
        <v/>
      </c>
      <c r="R21" s="44"/>
      <c r="S21" s="44" t="str">
        <f>IF(I21&lt;&gt;"",_xlfn.XLOOKUP($D$4+I20+1,#REF!,#REF!,"",0) * 1000,"")</f>
        <v/>
      </c>
      <c r="T21" s="52">
        <f t="shared" si="31"/>
        <v>0.04</v>
      </c>
      <c r="U21" s="53" t="str">
        <f t="shared" si="16"/>
        <v/>
      </c>
      <c r="V21" s="53" t="str">
        <f t="shared" si="17"/>
        <v/>
      </c>
      <c r="W21" s="53" t="str">
        <f t="shared" si="18"/>
        <v/>
      </c>
      <c r="X21" s="46" t="str">
        <f t="shared" si="5"/>
        <v/>
      </c>
      <c r="Y21" s="54"/>
      <c r="Z21" s="41" t="str">
        <f t="shared" si="19"/>
        <v/>
      </c>
      <c r="AA21" s="41" t="str">
        <f t="shared" si="20"/>
        <v/>
      </c>
      <c r="AB21" s="41" t="str">
        <f t="shared" si="6"/>
        <v/>
      </c>
      <c r="AC21" s="41" t="str">
        <f t="shared" si="7"/>
        <v/>
      </c>
      <c r="AD21" s="54"/>
      <c r="AE21" s="41" t="str">
        <f t="shared" si="8"/>
        <v/>
      </c>
      <c r="AF21" s="41" t="str">
        <f t="shared" si="9"/>
        <v/>
      </c>
      <c r="AG21" s="41" t="str">
        <f t="shared" si="10"/>
        <v/>
      </c>
      <c r="AH21" s="41" t="str">
        <f t="shared" si="21"/>
        <v/>
      </c>
      <c r="AI21" s="41" t="str">
        <f t="shared" si="22"/>
        <v/>
      </c>
      <c r="AJ21" s="41">
        <f t="shared" si="11"/>
        <v>0</v>
      </c>
      <c r="AK21" s="41" t="str">
        <f t="shared" si="12"/>
        <v/>
      </c>
      <c r="AL21" s="41">
        <f t="shared" si="23"/>
        <v>0</v>
      </c>
      <c r="AM21" s="41">
        <f t="shared" si="13"/>
        <v>0</v>
      </c>
      <c r="AN21" s="41" t="str">
        <f t="shared" si="14"/>
        <v/>
      </c>
      <c r="AO21" s="41">
        <f t="shared" si="15"/>
        <v>0</v>
      </c>
      <c r="AP21" s="45"/>
      <c r="AQ21" s="45"/>
      <c r="AR21" s="48"/>
      <c r="AS21" s="48"/>
      <c r="AT21" s="51">
        <f t="shared" si="24"/>
        <v>17</v>
      </c>
      <c r="AU21" s="49" t="str">
        <f t="shared" si="25"/>
        <v/>
      </c>
      <c r="AV21" s="49" t="str">
        <f t="shared" si="26"/>
        <v/>
      </c>
      <c r="AW21" s="50">
        <f xml:space="preserve"> IF(ISERROR(ROUND((1000*NPV($AT$1,$AV22:$AV$124)-$AW$1*($AU22+NPV($AT$1,$AU23:$AU$124)))/AU22,3)), 0, ROUND((1000*NPV($AT$1,$AV22:$AV$124)-$AW$1*($AU22+NPV($AT$1,$AU23:$AU$124)))/AU22,3))</f>
        <v>0</v>
      </c>
      <c r="AX21" s="50">
        <f>IF(ISERROR(ROUND(MAX(0,1000*NPV($AT$2,$AV22:$AV$124)-$AW$2*($AU22+NPV($AT$2,$AU23:$AU$124)))/AU22,3)), 0, ROUND(MAX(0,1000*NPV($AT$2,$AV22:$AV$124)-$AW$2*($AU22+NPV($AT$2,$AU23:$AU$124)))/AU22,3))</f>
        <v>0</v>
      </c>
    </row>
    <row r="22" spans="1:50" ht="15" x14ac:dyDescent="0.25">
      <c r="B22" s="1"/>
      <c r="C22" s="1"/>
      <c r="D22" s="1"/>
      <c r="F22" s="1"/>
      <c r="G22" s="1"/>
      <c r="H22" s="1"/>
      <c r="I22" s="51"/>
      <c r="J22" s="41" t="str">
        <f t="shared" si="27"/>
        <v/>
      </c>
      <c r="K22" s="41" t="str">
        <f t="shared" si="28"/>
        <v/>
      </c>
      <c r="L22" s="42" t="str">
        <f t="shared" si="29"/>
        <v/>
      </c>
      <c r="M22" s="41" t="str">
        <f t="shared" si="30"/>
        <v/>
      </c>
      <c r="N22" s="43">
        <f t="shared" si="1"/>
        <v>0</v>
      </c>
      <c r="O22" s="44">
        <f t="shared" si="2"/>
        <v>0</v>
      </c>
      <c r="P22" s="41" t="str">
        <f t="shared" si="3"/>
        <v/>
      </c>
      <c r="Q22" s="41" t="str">
        <f t="shared" si="4"/>
        <v/>
      </c>
      <c r="R22" s="44"/>
      <c r="S22" s="44" t="str">
        <f>IF(I22&lt;&gt;"",_xlfn.XLOOKUP($D$4+I21+1,#REF!,#REF!,"",0) * 1000,"")</f>
        <v/>
      </c>
      <c r="T22" s="52">
        <f t="shared" si="31"/>
        <v>0.04</v>
      </c>
      <c r="U22" s="53" t="str">
        <f t="shared" si="16"/>
        <v/>
      </c>
      <c r="V22" s="53" t="str">
        <f t="shared" si="17"/>
        <v/>
      </c>
      <c r="W22" s="53" t="str">
        <f t="shared" si="18"/>
        <v/>
      </c>
      <c r="X22" s="46" t="str">
        <f t="shared" si="5"/>
        <v/>
      </c>
      <c r="Y22" s="54"/>
      <c r="Z22" s="41" t="str">
        <f t="shared" si="19"/>
        <v/>
      </c>
      <c r="AA22" s="41" t="str">
        <f t="shared" si="20"/>
        <v/>
      </c>
      <c r="AB22" s="41" t="str">
        <f t="shared" si="6"/>
        <v/>
      </c>
      <c r="AC22" s="41" t="str">
        <f t="shared" si="7"/>
        <v/>
      </c>
      <c r="AD22" s="54"/>
      <c r="AE22" s="41" t="str">
        <f t="shared" si="8"/>
        <v/>
      </c>
      <c r="AF22" s="41" t="str">
        <f t="shared" si="9"/>
        <v/>
      </c>
      <c r="AG22" s="41" t="str">
        <f t="shared" si="10"/>
        <v/>
      </c>
      <c r="AH22" s="41" t="str">
        <f t="shared" si="21"/>
        <v/>
      </c>
      <c r="AI22" s="41" t="str">
        <f t="shared" si="22"/>
        <v/>
      </c>
      <c r="AJ22" s="41">
        <f t="shared" si="11"/>
        <v>0</v>
      </c>
      <c r="AK22" s="41" t="str">
        <f t="shared" si="12"/>
        <v/>
      </c>
      <c r="AL22" s="41">
        <f t="shared" si="23"/>
        <v>0</v>
      </c>
      <c r="AM22" s="41">
        <f t="shared" si="13"/>
        <v>0</v>
      </c>
      <c r="AN22" s="41" t="str">
        <f t="shared" si="14"/>
        <v/>
      </c>
      <c r="AO22" s="41">
        <f t="shared" si="15"/>
        <v>0</v>
      </c>
      <c r="AP22" s="45"/>
      <c r="AQ22" s="45"/>
      <c r="AR22" s="48"/>
      <c r="AS22" s="48"/>
      <c r="AT22" s="51">
        <f t="shared" si="24"/>
        <v>18</v>
      </c>
      <c r="AU22" s="49" t="str">
        <f t="shared" si="25"/>
        <v/>
      </c>
      <c r="AV22" s="49" t="str">
        <f t="shared" si="26"/>
        <v/>
      </c>
      <c r="AW22" s="50">
        <f xml:space="preserve"> IF(ISERROR(ROUND((1000*NPV($AT$1,$AV23:$AV$124)-$AW$1*($AU23+NPV($AT$1,$AU24:$AU$124)))/AU23,3)), 0, ROUND((1000*NPV($AT$1,$AV23:$AV$124)-$AW$1*($AU23+NPV($AT$1,$AU24:$AU$124)))/AU23,3))</f>
        <v>0</v>
      </c>
      <c r="AX22" s="50">
        <f>IF(ISERROR(ROUND(MAX(0,1000*NPV($AT$2,$AV23:$AV$124)-$AW$2*($AU23+NPV($AT$2,$AU24:$AU$124)))/AU23,3)), 0, ROUND(MAX(0,1000*NPV($AT$2,$AV23:$AV$124)-$AW$2*($AU23+NPV($AT$2,$AU24:$AU$124)))/AU23,3))</f>
        <v>0</v>
      </c>
    </row>
    <row r="23" spans="1:50" ht="15" x14ac:dyDescent="0.25">
      <c r="B23" s="1"/>
      <c r="C23" s="1"/>
      <c r="D23" s="1"/>
      <c r="F23" s="1"/>
      <c r="G23" s="1"/>
      <c r="H23" s="1"/>
      <c r="I23" s="51"/>
      <c r="J23" s="41" t="str">
        <f t="shared" si="27"/>
        <v/>
      </c>
      <c r="K23" s="41" t="str">
        <f t="shared" si="28"/>
        <v/>
      </c>
      <c r="L23" s="42" t="str">
        <f t="shared" si="29"/>
        <v/>
      </c>
      <c r="M23" s="41" t="str">
        <f t="shared" si="30"/>
        <v/>
      </c>
      <c r="N23" s="43">
        <f t="shared" si="1"/>
        <v>0</v>
      </c>
      <c r="O23" s="44">
        <f t="shared" si="2"/>
        <v>0</v>
      </c>
      <c r="P23" s="41" t="str">
        <f t="shared" si="3"/>
        <v/>
      </c>
      <c r="Q23" s="41" t="str">
        <f t="shared" si="4"/>
        <v/>
      </c>
      <c r="R23" s="44"/>
      <c r="S23" s="44" t="str">
        <f>IF(I23&lt;&gt;"",_xlfn.XLOOKUP($D$4+I22+1,#REF!,#REF!,"",0) * 1000,"")</f>
        <v/>
      </c>
      <c r="T23" s="52">
        <f t="shared" si="31"/>
        <v>0.04</v>
      </c>
      <c r="U23" s="53" t="str">
        <f t="shared" si="16"/>
        <v/>
      </c>
      <c r="V23" s="53" t="str">
        <f t="shared" si="17"/>
        <v/>
      </c>
      <c r="W23" s="53" t="str">
        <f t="shared" si="18"/>
        <v/>
      </c>
      <c r="X23" s="46" t="str">
        <f t="shared" si="5"/>
        <v/>
      </c>
      <c r="Y23" s="54"/>
      <c r="Z23" s="41" t="str">
        <f t="shared" si="19"/>
        <v/>
      </c>
      <c r="AA23" s="41" t="str">
        <f t="shared" si="20"/>
        <v/>
      </c>
      <c r="AB23" s="41" t="str">
        <f t="shared" si="6"/>
        <v/>
      </c>
      <c r="AC23" s="41" t="str">
        <f t="shared" si="7"/>
        <v/>
      </c>
      <c r="AD23" s="54"/>
      <c r="AE23" s="41" t="str">
        <f t="shared" si="8"/>
        <v/>
      </c>
      <c r="AF23" s="41" t="str">
        <f t="shared" si="9"/>
        <v/>
      </c>
      <c r="AG23" s="41" t="str">
        <f t="shared" si="10"/>
        <v/>
      </c>
      <c r="AH23" s="41" t="str">
        <f t="shared" si="21"/>
        <v/>
      </c>
      <c r="AI23" s="41" t="str">
        <f t="shared" si="22"/>
        <v/>
      </c>
      <c r="AJ23" s="41">
        <f t="shared" si="11"/>
        <v>0</v>
      </c>
      <c r="AK23" s="41" t="str">
        <f t="shared" si="12"/>
        <v/>
      </c>
      <c r="AL23" s="41">
        <f t="shared" si="23"/>
        <v>0</v>
      </c>
      <c r="AM23" s="41">
        <f t="shared" si="13"/>
        <v>0</v>
      </c>
      <c r="AN23" s="41" t="str">
        <f t="shared" si="14"/>
        <v/>
      </c>
      <c r="AO23" s="41">
        <f t="shared" si="15"/>
        <v>0</v>
      </c>
      <c r="AP23" s="45"/>
      <c r="AQ23" s="45"/>
      <c r="AR23" s="48"/>
      <c r="AS23" s="48"/>
      <c r="AT23" s="51">
        <f t="shared" si="24"/>
        <v>19</v>
      </c>
      <c r="AU23" s="49" t="str">
        <f t="shared" si="25"/>
        <v/>
      </c>
      <c r="AV23" s="49" t="str">
        <f t="shared" si="26"/>
        <v/>
      </c>
      <c r="AW23" s="50">
        <f xml:space="preserve"> IF(ISERROR(ROUND((1000*NPV($AT$1,$AV24:$AV$124)-$AW$1*($AU24+NPV($AT$1,$AU25:$AU$124)))/AU24,3)), 0, ROUND((1000*NPV($AT$1,$AV24:$AV$124)-$AW$1*($AU24+NPV($AT$1,$AU25:$AU$124)))/AU24,3))</f>
        <v>0</v>
      </c>
      <c r="AX23" s="50">
        <f>IF(ISERROR(ROUND(MAX(0,1000*NPV($AT$2,$AV24:$AV$124)-$AW$2*($AU24+NPV($AT$2,$AU25:$AU$124)))/AU24,3)), 0, ROUND(MAX(0,1000*NPV($AT$2,$AV24:$AV$124)-$AW$2*($AU24+NPV($AT$2,$AU25:$AU$124)))/AU24,3))</f>
        <v>0</v>
      </c>
    </row>
    <row r="24" spans="1:50" ht="15" x14ac:dyDescent="0.25">
      <c r="B24" s="1"/>
      <c r="C24" s="1"/>
      <c r="D24" s="1"/>
      <c r="F24" s="1"/>
      <c r="G24" s="1"/>
      <c r="H24" s="1"/>
      <c r="I24" s="51"/>
      <c r="J24" s="41" t="str">
        <f t="shared" si="27"/>
        <v/>
      </c>
      <c r="K24" s="41" t="str">
        <f t="shared" si="28"/>
        <v/>
      </c>
      <c r="L24" s="42" t="str">
        <f t="shared" si="29"/>
        <v/>
      </c>
      <c r="M24" s="41" t="str">
        <f t="shared" si="30"/>
        <v/>
      </c>
      <c r="N24" s="43">
        <f t="shared" si="1"/>
        <v>0</v>
      </c>
      <c r="O24" s="44">
        <f t="shared" si="2"/>
        <v>0</v>
      </c>
      <c r="P24" s="41" t="str">
        <f t="shared" si="3"/>
        <v/>
      </c>
      <c r="Q24" s="41" t="str">
        <f t="shared" si="4"/>
        <v/>
      </c>
      <c r="R24" s="44"/>
      <c r="S24" s="44" t="str">
        <f>IF(I24&lt;&gt;"",_xlfn.XLOOKUP($D$4+I23+1,#REF!,#REF!,"",0) * 1000,"")</f>
        <v/>
      </c>
      <c r="T24" s="52">
        <f t="shared" si="31"/>
        <v>0.04</v>
      </c>
      <c r="U24" s="53" t="str">
        <f t="shared" si="16"/>
        <v/>
      </c>
      <c r="V24" s="53" t="str">
        <f t="shared" si="17"/>
        <v/>
      </c>
      <c r="W24" s="53" t="str">
        <f t="shared" si="18"/>
        <v/>
      </c>
      <c r="X24" s="46" t="str">
        <f t="shared" si="5"/>
        <v/>
      </c>
      <c r="Y24" s="54"/>
      <c r="Z24" s="41" t="str">
        <f t="shared" si="19"/>
        <v/>
      </c>
      <c r="AA24" s="41" t="str">
        <f t="shared" si="20"/>
        <v/>
      </c>
      <c r="AB24" s="41" t="str">
        <f t="shared" si="6"/>
        <v/>
      </c>
      <c r="AC24" s="41" t="str">
        <f t="shared" si="7"/>
        <v/>
      </c>
      <c r="AD24" s="54"/>
      <c r="AE24" s="41" t="str">
        <f t="shared" si="8"/>
        <v/>
      </c>
      <c r="AF24" s="41" t="str">
        <f t="shared" si="9"/>
        <v/>
      </c>
      <c r="AG24" s="41" t="str">
        <f t="shared" si="10"/>
        <v/>
      </c>
      <c r="AH24" s="41" t="str">
        <f t="shared" si="21"/>
        <v/>
      </c>
      <c r="AI24" s="41" t="str">
        <f t="shared" si="22"/>
        <v/>
      </c>
      <c r="AJ24" s="41">
        <f t="shared" si="11"/>
        <v>0</v>
      </c>
      <c r="AK24" s="41" t="str">
        <f t="shared" si="12"/>
        <v/>
      </c>
      <c r="AL24" s="41">
        <f t="shared" si="23"/>
        <v>0</v>
      </c>
      <c r="AM24" s="41">
        <f t="shared" si="13"/>
        <v>0</v>
      </c>
      <c r="AN24" s="41" t="str">
        <f t="shared" si="14"/>
        <v/>
      </c>
      <c r="AO24" s="41">
        <f t="shared" si="15"/>
        <v>0</v>
      </c>
      <c r="AP24" s="45"/>
      <c r="AQ24" s="45"/>
      <c r="AR24" s="48"/>
      <c r="AS24" s="48"/>
      <c r="AT24" s="51">
        <f t="shared" si="24"/>
        <v>20</v>
      </c>
      <c r="AU24" s="49" t="str">
        <f t="shared" si="25"/>
        <v/>
      </c>
      <c r="AV24" s="49" t="str">
        <f t="shared" si="26"/>
        <v/>
      </c>
      <c r="AW24" s="50">
        <f xml:space="preserve"> IF(ISERROR(ROUND((1000*NPV($AT$1,$AV25:$AV$124)-$AW$1*($AU25+NPV($AT$1,$AU26:$AU$124)))/AU25,3)), 0, ROUND((1000*NPV($AT$1,$AV25:$AV$124)-$AW$1*($AU25+NPV($AT$1,$AU26:$AU$124)))/AU25,3))</f>
        <v>0</v>
      </c>
      <c r="AX24" s="50">
        <f>IF(ISERROR(ROUND(MAX(0,1000*NPV($AT$2,$AV25:$AV$124)-$AW$2*($AU25+NPV($AT$2,$AU26:$AU$124)))/AU25,3)), 0, ROUND(MAX(0,1000*NPV($AT$2,$AV25:$AV$124)-$AW$2*($AU25+NPV($AT$2,$AU26:$AU$124)))/AU25,3))</f>
        <v>0</v>
      </c>
    </row>
    <row r="25" spans="1:50" ht="15" x14ac:dyDescent="0.25">
      <c r="B25" s="1"/>
      <c r="C25" s="60">
        <v>0</v>
      </c>
      <c r="D25" s="31">
        <v>334.00169507980615</v>
      </c>
      <c r="F25" s="1"/>
      <c r="G25" s="8"/>
      <c r="H25" s="4"/>
      <c r="I25" s="51"/>
      <c r="J25" s="41" t="str">
        <f t="shared" si="27"/>
        <v/>
      </c>
      <c r="K25" s="41" t="str">
        <f t="shared" si="28"/>
        <v/>
      </c>
      <c r="L25" s="42" t="str">
        <f t="shared" si="29"/>
        <v/>
      </c>
      <c r="M25" s="41" t="str">
        <f t="shared" si="30"/>
        <v/>
      </c>
      <c r="N25" s="43">
        <f t="shared" si="1"/>
        <v>0</v>
      </c>
      <c r="O25" s="44">
        <f t="shared" si="2"/>
        <v>0</v>
      </c>
      <c r="P25" s="41" t="str">
        <f t="shared" si="3"/>
        <v/>
      </c>
      <c r="Q25" s="41" t="str">
        <f t="shared" si="4"/>
        <v/>
      </c>
      <c r="R25" s="44"/>
      <c r="S25" s="44" t="str">
        <f>IF(I25&lt;&gt;"",_xlfn.XLOOKUP($D$4+I24+1,#REF!,#REF!,"",0) * 1000,"")</f>
        <v/>
      </c>
      <c r="T25" s="52">
        <f t="shared" si="31"/>
        <v>0.04</v>
      </c>
      <c r="U25" s="53" t="str">
        <f t="shared" si="16"/>
        <v/>
      </c>
      <c r="V25" s="53" t="str">
        <f t="shared" si="17"/>
        <v/>
      </c>
      <c r="W25" s="53" t="str">
        <f t="shared" si="18"/>
        <v/>
      </c>
      <c r="X25" s="46" t="str">
        <f t="shared" si="5"/>
        <v/>
      </c>
      <c r="Y25" s="54"/>
      <c r="Z25" s="41" t="str">
        <f t="shared" si="19"/>
        <v/>
      </c>
      <c r="AA25" s="41" t="str">
        <f t="shared" si="20"/>
        <v/>
      </c>
      <c r="AB25" s="41" t="str">
        <f t="shared" si="6"/>
        <v/>
      </c>
      <c r="AC25" s="41" t="str">
        <f t="shared" si="7"/>
        <v/>
      </c>
      <c r="AD25" s="54"/>
      <c r="AE25" s="41" t="str">
        <f t="shared" si="8"/>
        <v/>
      </c>
      <c r="AF25" s="41" t="str">
        <f t="shared" si="9"/>
        <v/>
      </c>
      <c r="AG25" s="41" t="str">
        <f t="shared" si="10"/>
        <v/>
      </c>
      <c r="AH25" s="41" t="str">
        <f t="shared" si="21"/>
        <v/>
      </c>
      <c r="AI25" s="41" t="str">
        <f t="shared" si="22"/>
        <v/>
      </c>
      <c r="AJ25" s="41">
        <f t="shared" si="11"/>
        <v>0</v>
      </c>
      <c r="AK25" s="41" t="str">
        <f t="shared" si="12"/>
        <v/>
      </c>
      <c r="AL25" s="41">
        <f t="shared" si="23"/>
        <v>0</v>
      </c>
      <c r="AM25" s="41">
        <f t="shared" si="13"/>
        <v>0</v>
      </c>
      <c r="AN25" s="41" t="str">
        <f t="shared" si="14"/>
        <v/>
      </c>
      <c r="AO25" s="41">
        <f t="shared" si="15"/>
        <v>0</v>
      </c>
      <c r="AP25" s="45"/>
      <c r="AQ25" s="55"/>
      <c r="AR25" s="48"/>
      <c r="AS25" s="48"/>
      <c r="AT25" s="51">
        <f>AT24+1</f>
        <v>21</v>
      </c>
      <c r="AU25" s="49" t="str">
        <f t="shared" si="25"/>
        <v/>
      </c>
      <c r="AV25" s="49" t="str">
        <f t="shared" si="26"/>
        <v/>
      </c>
      <c r="AW25" s="50">
        <f xml:space="preserve"> IF(ISERROR(ROUND((1000*NPV($AT$1,$AV26:$AV$124)-$AW$1*($AU26+NPV($AT$1,$AU27:$AU$124)))/AU26,3)), 0, ROUND((1000*NPV($AT$1,$AV26:$AV$124)-$AW$1*($AU26+NPV($AT$1,$AU27:$AU$124)))/AU26,3))</f>
        <v>0</v>
      </c>
      <c r="AX25" s="50">
        <f>IF(ISERROR(ROUND(MAX(0,1000*NPV($AT$2,$AV26:$AV$124)-$AW$2*($AU26+NPV($AT$2,$AU27:$AU$124)))/AU26,3)), 0, ROUND(MAX(0,1000*NPV($AT$2,$AV26:$AV$124)-$AW$2*($AU26+NPV($AT$2,$AU27:$AU$124)))/AU26,3))</f>
        <v>0</v>
      </c>
    </row>
    <row r="26" spans="1:50" ht="15" x14ac:dyDescent="0.25">
      <c r="B26" s="2"/>
      <c r="C26" s="60">
        <v>1</v>
      </c>
      <c r="D26" s="5">
        <v>326.26662234497718</v>
      </c>
      <c r="E26" s="5"/>
      <c r="F26" s="2"/>
      <c r="G26" s="8"/>
      <c r="H26" s="4"/>
      <c r="I26" s="51"/>
      <c r="J26" s="41" t="str">
        <f t="shared" si="27"/>
        <v/>
      </c>
      <c r="K26" s="41" t="str">
        <f t="shared" si="28"/>
        <v/>
      </c>
      <c r="L26" s="42" t="str">
        <f t="shared" si="29"/>
        <v/>
      </c>
      <c r="M26" s="41" t="str">
        <f t="shared" si="30"/>
        <v/>
      </c>
      <c r="N26" s="43">
        <f t="shared" si="1"/>
        <v>0</v>
      </c>
      <c r="O26" s="44">
        <f t="shared" si="2"/>
        <v>0</v>
      </c>
      <c r="P26" s="41" t="str">
        <f t="shared" si="3"/>
        <v/>
      </c>
      <c r="Q26" s="41" t="str">
        <f t="shared" si="4"/>
        <v/>
      </c>
      <c r="R26" s="44"/>
      <c r="S26" s="44" t="str">
        <f>IF(I26&lt;&gt;"",_xlfn.XLOOKUP($D$4+I25+1,#REF!,#REF!,"",0) * 1000,"")</f>
        <v/>
      </c>
      <c r="T26" s="52">
        <f t="shared" si="31"/>
        <v>0.04</v>
      </c>
      <c r="U26" s="53" t="str">
        <f t="shared" si="16"/>
        <v/>
      </c>
      <c r="V26" s="53" t="str">
        <f t="shared" si="17"/>
        <v/>
      </c>
      <c r="W26" s="53" t="str">
        <f t="shared" si="18"/>
        <v/>
      </c>
      <c r="X26" s="46" t="str">
        <f t="shared" si="5"/>
        <v/>
      </c>
      <c r="Y26" s="54"/>
      <c r="Z26" s="41" t="str">
        <f t="shared" si="19"/>
        <v/>
      </c>
      <c r="AA26" s="41" t="str">
        <f t="shared" si="20"/>
        <v/>
      </c>
      <c r="AB26" s="41" t="str">
        <f t="shared" si="6"/>
        <v/>
      </c>
      <c r="AC26" s="41" t="str">
        <f t="shared" si="7"/>
        <v/>
      </c>
      <c r="AD26" s="54"/>
      <c r="AE26" s="41" t="str">
        <f t="shared" si="8"/>
        <v/>
      </c>
      <c r="AF26" s="41" t="str">
        <f t="shared" si="9"/>
        <v/>
      </c>
      <c r="AG26" s="41" t="str">
        <f t="shared" si="10"/>
        <v/>
      </c>
      <c r="AH26" s="41" t="str">
        <f t="shared" si="21"/>
        <v/>
      </c>
      <c r="AI26" s="41" t="str">
        <f t="shared" si="22"/>
        <v/>
      </c>
      <c r="AJ26" s="41">
        <f t="shared" si="11"/>
        <v>0</v>
      </c>
      <c r="AK26" s="41" t="str">
        <f t="shared" si="12"/>
        <v/>
      </c>
      <c r="AL26" s="41">
        <f t="shared" si="23"/>
        <v>0</v>
      </c>
      <c r="AM26" s="41">
        <f t="shared" si="13"/>
        <v>0</v>
      </c>
      <c r="AN26" s="41" t="str">
        <f t="shared" si="14"/>
        <v/>
      </c>
      <c r="AO26" s="41">
        <f t="shared" si="15"/>
        <v>0</v>
      </c>
      <c r="AP26" s="45"/>
      <c r="AQ26" s="55"/>
      <c r="AR26" s="48"/>
      <c r="AS26" s="48"/>
      <c r="AT26" s="51">
        <f t="shared" si="24"/>
        <v>22</v>
      </c>
      <c r="AU26" s="49" t="str">
        <f t="shared" si="25"/>
        <v/>
      </c>
      <c r="AV26" s="49" t="str">
        <f t="shared" si="26"/>
        <v/>
      </c>
      <c r="AW26" s="50">
        <f xml:space="preserve"> IF(ISERROR(ROUND((1000*NPV($AT$1,$AV27:$AV$124)-$AW$1*($AU27+NPV($AT$1,$AU28:$AU$124)))/AU27,3)), 0, ROUND((1000*NPV($AT$1,$AV27:$AV$124)-$AW$1*($AU27+NPV($AT$1,$AU28:$AU$124)))/AU27,3))</f>
        <v>0</v>
      </c>
      <c r="AX26" s="50">
        <f>IF(ISERROR(ROUND(MAX(0,1000*NPV($AT$2,$AV27:$AV$124)-$AW$2*($AU27+NPV($AT$2,$AU28:$AU$124)))/AU27,3)), 0, ROUND(MAX(0,1000*NPV($AT$2,$AV27:$AV$124)-$AW$2*($AU27+NPV($AT$2,$AU28:$AU$124)))/AU27,3))</f>
        <v>0</v>
      </c>
    </row>
    <row r="27" spans="1:50" ht="15" x14ac:dyDescent="0.25">
      <c r="B27" s="2"/>
      <c r="C27" s="60">
        <v>2</v>
      </c>
      <c r="D27" s="5">
        <v>329.04332101027074</v>
      </c>
      <c r="E27" s="5"/>
      <c r="F27" s="2"/>
      <c r="G27" s="8"/>
      <c r="H27" s="4"/>
      <c r="I27" s="51"/>
      <c r="J27" s="41" t="str">
        <f t="shared" si="27"/>
        <v/>
      </c>
      <c r="K27" s="41" t="str">
        <f t="shared" si="28"/>
        <v/>
      </c>
      <c r="L27" s="42" t="str">
        <f t="shared" si="29"/>
        <v/>
      </c>
      <c r="M27" s="41" t="str">
        <f t="shared" si="30"/>
        <v/>
      </c>
      <c r="N27" s="43">
        <f t="shared" si="1"/>
        <v>0</v>
      </c>
      <c r="O27" s="44">
        <f t="shared" si="2"/>
        <v>0</v>
      </c>
      <c r="P27" s="41" t="str">
        <f t="shared" si="3"/>
        <v/>
      </c>
      <c r="Q27" s="41" t="str">
        <f t="shared" si="4"/>
        <v/>
      </c>
      <c r="R27" s="44"/>
      <c r="S27" s="44" t="str">
        <f>IF(I27&lt;&gt;"",_xlfn.XLOOKUP($D$4+I26+1,#REF!,#REF!,"",0) * 1000,"")</f>
        <v/>
      </c>
      <c r="T27" s="52">
        <f t="shared" si="31"/>
        <v>0.04</v>
      </c>
      <c r="U27" s="53" t="str">
        <f t="shared" si="16"/>
        <v/>
      </c>
      <c r="V27" s="53" t="str">
        <f t="shared" si="17"/>
        <v/>
      </c>
      <c r="W27" s="53" t="str">
        <f t="shared" si="18"/>
        <v/>
      </c>
      <c r="X27" s="46" t="str">
        <f t="shared" si="5"/>
        <v/>
      </c>
      <c r="Y27" s="54"/>
      <c r="Z27" s="41" t="str">
        <f t="shared" si="19"/>
        <v/>
      </c>
      <c r="AA27" s="41" t="str">
        <f t="shared" si="20"/>
        <v/>
      </c>
      <c r="AB27" s="41" t="str">
        <f t="shared" si="6"/>
        <v/>
      </c>
      <c r="AC27" s="41" t="str">
        <f t="shared" si="7"/>
        <v/>
      </c>
      <c r="AD27" s="54"/>
      <c r="AE27" s="41" t="str">
        <f t="shared" si="8"/>
        <v/>
      </c>
      <c r="AF27" s="41" t="str">
        <f t="shared" si="9"/>
        <v/>
      </c>
      <c r="AG27" s="41" t="str">
        <f t="shared" si="10"/>
        <v/>
      </c>
      <c r="AH27" s="41" t="str">
        <f t="shared" si="21"/>
        <v/>
      </c>
      <c r="AI27" s="41" t="str">
        <f t="shared" si="22"/>
        <v/>
      </c>
      <c r="AJ27" s="41">
        <f t="shared" si="11"/>
        <v>0</v>
      </c>
      <c r="AK27" s="41" t="str">
        <f t="shared" si="12"/>
        <v/>
      </c>
      <c r="AL27" s="41">
        <f t="shared" si="23"/>
        <v>0</v>
      </c>
      <c r="AM27" s="41">
        <f t="shared" si="13"/>
        <v>0</v>
      </c>
      <c r="AN27" s="41" t="str">
        <f t="shared" si="14"/>
        <v/>
      </c>
      <c r="AO27" s="41">
        <f t="shared" si="15"/>
        <v>0</v>
      </c>
      <c r="AP27" s="45"/>
      <c r="AQ27" s="55"/>
      <c r="AR27" s="48"/>
      <c r="AS27" s="48"/>
      <c r="AT27" s="51">
        <f t="shared" si="24"/>
        <v>23</v>
      </c>
      <c r="AU27" s="49" t="str">
        <f t="shared" si="25"/>
        <v/>
      </c>
      <c r="AV27" s="49" t="str">
        <f t="shared" si="26"/>
        <v/>
      </c>
      <c r="AW27" s="50">
        <f xml:space="preserve"> IF(ISERROR(ROUND((1000*NPV($AT$1,$AV28:$AV$124)-$AW$1*($AU28+NPV($AT$1,$AU29:$AU$124)))/AU28,3)), 0, ROUND((1000*NPV($AT$1,$AV28:$AV$124)-$AW$1*($AU28+NPV($AT$1,$AU29:$AU$124)))/AU28,3))</f>
        <v>0</v>
      </c>
      <c r="AX27" s="50">
        <f>IF(ISERROR(ROUND(MAX(0,1000*NPV($AT$2,$AV28:$AV$124)-$AW$2*($AU28+NPV($AT$2,$AU29:$AU$124)))/AU28,3)), 0, ROUND(MAX(0,1000*NPV($AT$2,$AV28:$AV$124)-$AW$2*($AU28+NPV($AT$2,$AU29:$AU$124)))/AU28,3))</f>
        <v>0</v>
      </c>
    </row>
    <row r="28" spans="1:50" ht="15" x14ac:dyDescent="0.25">
      <c r="B28" s="2"/>
      <c r="C28" s="60">
        <v>3</v>
      </c>
      <c r="D28" s="5">
        <v>331.81988417584813</v>
      </c>
      <c r="E28" s="5"/>
      <c r="F28" s="2"/>
      <c r="G28" s="8"/>
      <c r="H28" s="4"/>
      <c r="I28" s="51"/>
      <c r="J28" s="41" t="str">
        <f t="shared" si="27"/>
        <v/>
      </c>
      <c r="K28" s="41" t="str">
        <f t="shared" si="28"/>
        <v/>
      </c>
      <c r="L28" s="42" t="str">
        <f t="shared" si="29"/>
        <v/>
      </c>
      <c r="M28" s="41" t="str">
        <f t="shared" si="30"/>
        <v/>
      </c>
      <c r="N28" s="43">
        <f t="shared" si="1"/>
        <v>0</v>
      </c>
      <c r="O28" s="44">
        <f t="shared" si="2"/>
        <v>0</v>
      </c>
      <c r="P28" s="41" t="str">
        <f t="shared" si="3"/>
        <v/>
      </c>
      <c r="Q28" s="41" t="str">
        <f t="shared" si="4"/>
        <v/>
      </c>
      <c r="R28" s="44"/>
      <c r="S28" s="44" t="str">
        <f>IF(I28&lt;&gt;"",_xlfn.XLOOKUP($D$4+I27+1,#REF!,#REF!,"",0) * 1000,"")</f>
        <v/>
      </c>
      <c r="T28" s="52">
        <f t="shared" si="31"/>
        <v>0.04</v>
      </c>
      <c r="U28" s="53" t="str">
        <f t="shared" si="16"/>
        <v/>
      </c>
      <c r="V28" s="53" t="str">
        <f t="shared" si="17"/>
        <v/>
      </c>
      <c r="W28" s="53" t="str">
        <f t="shared" si="18"/>
        <v/>
      </c>
      <c r="X28" s="46" t="str">
        <f t="shared" si="5"/>
        <v/>
      </c>
      <c r="Y28" s="54"/>
      <c r="Z28" s="41" t="str">
        <f t="shared" si="19"/>
        <v/>
      </c>
      <c r="AA28" s="41" t="str">
        <f t="shared" si="20"/>
        <v/>
      </c>
      <c r="AB28" s="41" t="str">
        <f t="shared" si="6"/>
        <v/>
      </c>
      <c r="AC28" s="41" t="str">
        <f t="shared" si="7"/>
        <v/>
      </c>
      <c r="AD28" s="54"/>
      <c r="AE28" s="41" t="str">
        <f t="shared" si="8"/>
        <v/>
      </c>
      <c r="AF28" s="41" t="str">
        <f t="shared" si="9"/>
        <v/>
      </c>
      <c r="AG28" s="41" t="str">
        <f t="shared" si="10"/>
        <v/>
      </c>
      <c r="AH28" s="41" t="str">
        <f t="shared" si="21"/>
        <v/>
      </c>
      <c r="AI28" s="41" t="str">
        <f t="shared" si="22"/>
        <v/>
      </c>
      <c r="AJ28" s="41">
        <f t="shared" si="11"/>
        <v>0</v>
      </c>
      <c r="AK28" s="41" t="str">
        <f t="shared" si="12"/>
        <v/>
      </c>
      <c r="AL28" s="41">
        <f t="shared" si="23"/>
        <v>0</v>
      </c>
      <c r="AM28" s="41">
        <f t="shared" si="13"/>
        <v>0</v>
      </c>
      <c r="AN28" s="41" t="str">
        <f t="shared" si="14"/>
        <v/>
      </c>
      <c r="AO28" s="41">
        <f t="shared" si="15"/>
        <v>0</v>
      </c>
      <c r="AP28" s="45"/>
      <c r="AQ28" s="55"/>
      <c r="AR28" s="48"/>
      <c r="AS28" s="48"/>
      <c r="AT28" s="51">
        <f t="shared" si="24"/>
        <v>24</v>
      </c>
      <c r="AU28" s="49" t="str">
        <f t="shared" si="25"/>
        <v/>
      </c>
      <c r="AV28" s="49" t="str">
        <f t="shared" si="26"/>
        <v/>
      </c>
      <c r="AW28" s="50">
        <f xml:space="preserve"> IF(ISERROR(ROUND((1000*NPV($AT$1,$AV29:$AV$124)-$AW$1*($AU29+NPV($AT$1,$AU30:$AU$124)))/AU29,3)), 0, ROUND((1000*NPV($AT$1,$AV29:$AV$124)-$AW$1*($AU29+NPV($AT$1,$AU30:$AU$124)))/AU29,3))</f>
        <v>0</v>
      </c>
      <c r="AX28" s="50">
        <f>IF(ISERROR(ROUND(MAX(0,1000*NPV($AT$2,$AV29:$AV$124)-$AW$2*($AU29+NPV($AT$2,$AU30:$AU$124)))/AU29,3)), 0, ROUND(MAX(0,1000*NPV($AT$2,$AV29:$AV$124)-$AW$2*($AU29+NPV($AT$2,$AU30:$AU$124)))/AU29,3))</f>
        <v>0</v>
      </c>
    </row>
    <row r="29" spans="1:50" ht="15" x14ac:dyDescent="0.25">
      <c r="B29" s="2"/>
      <c r="C29" s="60">
        <v>4</v>
      </c>
      <c r="D29" s="5">
        <v>334.47900737017392</v>
      </c>
      <c r="E29" s="5"/>
      <c r="F29" s="2"/>
      <c r="G29" s="8"/>
      <c r="H29" s="4"/>
      <c r="I29" s="51"/>
      <c r="J29" s="41" t="str">
        <f t="shared" si="27"/>
        <v/>
      </c>
      <c r="K29" s="41" t="str">
        <f t="shared" si="28"/>
        <v/>
      </c>
      <c r="L29" s="42" t="str">
        <f t="shared" si="29"/>
        <v/>
      </c>
      <c r="M29" s="41" t="str">
        <f t="shared" si="30"/>
        <v/>
      </c>
      <c r="N29" s="43">
        <f t="shared" si="1"/>
        <v>0</v>
      </c>
      <c r="O29" s="44">
        <f t="shared" si="2"/>
        <v>0</v>
      </c>
      <c r="P29" s="41" t="str">
        <f t="shared" si="3"/>
        <v/>
      </c>
      <c r="Q29" s="41" t="str">
        <f t="shared" si="4"/>
        <v/>
      </c>
      <c r="R29" s="44"/>
      <c r="S29" s="44" t="str">
        <f>IF(I29&lt;&gt;"",_xlfn.XLOOKUP($D$4+I28+1,#REF!,#REF!,"",0) * 1000,"")</f>
        <v/>
      </c>
      <c r="T29" s="52">
        <f t="shared" si="31"/>
        <v>0.04</v>
      </c>
      <c r="U29" s="53" t="str">
        <f t="shared" si="16"/>
        <v/>
      </c>
      <c r="V29" s="53" t="str">
        <f t="shared" si="17"/>
        <v/>
      </c>
      <c r="W29" s="53" t="str">
        <f t="shared" si="18"/>
        <v/>
      </c>
      <c r="X29" s="46" t="str">
        <f t="shared" si="5"/>
        <v/>
      </c>
      <c r="Y29" s="54"/>
      <c r="Z29" s="41" t="str">
        <f t="shared" si="19"/>
        <v/>
      </c>
      <c r="AA29" s="41" t="str">
        <f t="shared" si="20"/>
        <v/>
      </c>
      <c r="AB29" s="41" t="str">
        <f t="shared" si="6"/>
        <v/>
      </c>
      <c r="AC29" s="41" t="str">
        <f t="shared" si="7"/>
        <v/>
      </c>
      <c r="AD29" s="54"/>
      <c r="AE29" s="41" t="str">
        <f t="shared" si="8"/>
        <v/>
      </c>
      <c r="AF29" s="41" t="str">
        <f t="shared" si="9"/>
        <v/>
      </c>
      <c r="AG29" s="41" t="str">
        <f t="shared" si="10"/>
        <v/>
      </c>
      <c r="AH29" s="41" t="str">
        <f t="shared" si="21"/>
        <v/>
      </c>
      <c r="AI29" s="41" t="str">
        <f t="shared" si="22"/>
        <v/>
      </c>
      <c r="AJ29" s="41">
        <f t="shared" si="11"/>
        <v>0</v>
      </c>
      <c r="AK29" s="41" t="str">
        <f t="shared" si="12"/>
        <v/>
      </c>
      <c r="AL29" s="41">
        <f t="shared" si="23"/>
        <v>0</v>
      </c>
      <c r="AM29" s="41">
        <f t="shared" si="13"/>
        <v>0</v>
      </c>
      <c r="AN29" s="41" t="str">
        <f t="shared" si="14"/>
        <v/>
      </c>
      <c r="AO29" s="41">
        <f t="shared" si="15"/>
        <v>0</v>
      </c>
      <c r="AP29" s="45"/>
      <c r="AQ29" s="55"/>
      <c r="AR29" s="48"/>
      <c r="AS29" s="48"/>
      <c r="AT29" s="51">
        <f t="shared" si="24"/>
        <v>25</v>
      </c>
      <c r="AU29" s="49" t="str">
        <f t="shared" si="25"/>
        <v/>
      </c>
      <c r="AV29" s="49" t="str">
        <f t="shared" si="26"/>
        <v/>
      </c>
      <c r="AW29" s="50">
        <f xml:space="preserve"> IF(ISERROR(ROUND((1000*NPV($AT$1,$AV30:$AV$124)-$AW$1*($AU30+NPV($AT$1,$AU31:$AU$124)))/AU30,3)), 0, ROUND((1000*NPV($AT$1,$AV30:$AV$124)-$AW$1*($AU30+NPV($AT$1,$AU31:$AU$124)))/AU30,3))</f>
        <v>0</v>
      </c>
      <c r="AX29" s="50">
        <f>IF(ISERROR(ROUND(MAX(0,1000*NPV($AT$2,$AV30:$AV$124)-$AW$2*($AU30+NPV($AT$2,$AU31:$AU$124)))/AU30,3)), 0, ROUND(MAX(0,1000*NPV($AT$2,$AV30:$AV$124)-$AW$2*($AU30+NPV($AT$2,$AU31:$AU$124)))/AU30,3))</f>
        <v>0</v>
      </c>
    </row>
    <row r="30" spans="1:50" ht="15" x14ac:dyDescent="0.25">
      <c r="B30" s="2"/>
      <c r="C30" s="60">
        <v>5</v>
      </c>
      <c r="D30" s="5">
        <v>336.92733163094493</v>
      </c>
      <c r="E30" s="5"/>
      <c r="F30" s="2"/>
      <c r="G30" s="8"/>
      <c r="H30" s="4"/>
      <c r="I30" s="51"/>
      <c r="J30" s="41" t="str">
        <f t="shared" si="27"/>
        <v/>
      </c>
      <c r="K30" s="41" t="str">
        <f t="shared" si="28"/>
        <v/>
      </c>
      <c r="L30" s="42" t="str">
        <f t="shared" si="29"/>
        <v/>
      </c>
      <c r="M30" s="41" t="str">
        <f t="shared" si="30"/>
        <v/>
      </c>
      <c r="N30" s="43">
        <f t="shared" si="1"/>
        <v>0</v>
      </c>
      <c r="O30" s="44">
        <f t="shared" si="2"/>
        <v>0</v>
      </c>
      <c r="P30" s="41" t="str">
        <f t="shared" si="3"/>
        <v/>
      </c>
      <c r="Q30" s="41" t="str">
        <f t="shared" si="4"/>
        <v/>
      </c>
      <c r="R30" s="44"/>
      <c r="S30" s="44" t="str">
        <f>IF(I30&lt;&gt;"",_xlfn.XLOOKUP($D$4+I29+1,#REF!,#REF!,"",0) * 1000,"")</f>
        <v/>
      </c>
      <c r="T30" s="52">
        <f t="shared" si="31"/>
        <v>0.04</v>
      </c>
      <c r="U30" s="53" t="str">
        <f t="shared" si="16"/>
        <v/>
      </c>
      <c r="V30" s="53" t="str">
        <f t="shared" si="17"/>
        <v/>
      </c>
      <c r="W30" s="53" t="str">
        <f t="shared" si="18"/>
        <v/>
      </c>
      <c r="X30" s="46" t="str">
        <f t="shared" si="5"/>
        <v/>
      </c>
      <c r="Y30" s="54"/>
      <c r="Z30" s="41" t="str">
        <f t="shared" si="19"/>
        <v/>
      </c>
      <c r="AA30" s="41" t="str">
        <f t="shared" si="20"/>
        <v/>
      </c>
      <c r="AB30" s="41" t="str">
        <f t="shared" si="6"/>
        <v/>
      </c>
      <c r="AC30" s="41" t="str">
        <f t="shared" si="7"/>
        <v/>
      </c>
      <c r="AD30" s="54"/>
      <c r="AE30" s="41" t="str">
        <f t="shared" si="8"/>
        <v/>
      </c>
      <c r="AF30" s="41" t="str">
        <f t="shared" si="9"/>
        <v/>
      </c>
      <c r="AG30" s="41" t="str">
        <f t="shared" si="10"/>
        <v/>
      </c>
      <c r="AH30" s="41" t="str">
        <f t="shared" si="21"/>
        <v/>
      </c>
      <c r="AI30" s="41" t="str">
        <f t="shared" si="22"/>
        <v/>
      </c>
      <c r="AJ30" s="41">
        <f t="shared" si="11"/>
        <v>0</v>
      </c>
      <c r="AK30" s="41" t="str">
        <f t="shared" si="12"/>
        <v/>
      </c>
      <c r="AL30" s="41">
        <f t="shared" si="23"/>
        <v>0</v>
      </c>
      <c r="AM30" s="41">
        <f t="shared" si="13"/>
        <v>0</v>
      </c>
      <c r="AN30" s="41" t="str">
        <f t="shared" si="14"/>
        <v/>
      </c>
      <c r="AO30" s="41">
        <f t="shared" si="15"/>
        <v>0</v>
      </c>
      <c r="AP30" s="45"/>
      <c r="AQ30" s="55"/>
      <c r="AR30" s="48"/>
      <c r="AS30" s="48"/>
      <c r="AT30" s="51">
        <f t="shared" si="24"/>
        <v>26</v>
      </c>
      <c r="AU30" s="49" t="str">
        <f t="shared" si="25"/>
        <v/>
      </c>
      <c r="AV30" s="49" t="str">
        <f t="shared" si="26"/>
        <v/>
      </c>
      <c r="AW30" s="50">
        <f xml:space="preserve"> IF(ISERROR(ROUND((1000*NPV($AT$1,$AV31:$AV$124)-$AW$1*($AU31+NPV($AT$1,$AU32:$AU$124)))/AU31,3)), 0, ROUND((1000*NPV($AT$1,$AV31:$AV$124)-$AW$1*($AU31+NPV($AT$1,$AU32:$AU$124)))/AU31,3))</f>
        <v>0</v>
      </c>
      <c r="AX30" s="50">
        <f>IF(ISERROR(ROUND(MAX(0,1000*NPV($AT$2,$AV31:$AV$124)-$AW$2*($AU31+NPV($AT$2,$AU32:$AU$124)))/AU31,3)), 0, ROUND(MAX(0,1000*NPV($AT$2,$AV31:$AV$124)-$AW$2*($AU31+NPV($AT$2,$AU32:$AU$124)))/AU31,3))</f>
        <v>0</v>
      </c>
    </row>
    <row r="31" spans="1:50" ht="15" x14ac:dyDescent="0.25">
      <c r="B31" s="2"/>
      <c r="C31" s="60">
        <v>6</v>
      </c>
      <c r="D31" s="5">
        <v>339.15697806982854</v>
      </c>
      <c r="E31" s="5"/>
      <c r="F31" s="2"/>
      <c r="G31" s="8"/>
      <c r="H31" s="4"/>
      <c r="I31" s="51"/>
      <c r="J31" s="41" t="str">
        <f t="shared" si="27"/>
        <v/>
      </c>
      <c r="K31" s="41" t="str">
        <f t="shared" si="28"/>
        <v/>
      </c>
      <c r="L31" s="42" t="str">
        <f t="shared" si="29"/>
        <v/>
      </c>
      <c r="M31" s="41" t="str">
        <f t="shared" si="30"/>
        <v/>
      </c>
      <c r="N31" s="43">
        <f t="shared" si="1"/>
        <v>0</v>
      </c>
      <c r="O31" s="44">
        <f t="shared" si="2"/>
        <v>0</v>
      </c>
      <c r="P31" s="41" t="str">
        <f t="shared" si="3"/>
        <v/>
      </c>
      <c r="Q31" s="41" t="str">
        <f t="shared" si="4"/>
        <v/>
      </c>
      <c r="R31" s="44"/>
      <c r="S31" s="44" t="str">
        <f>IF(I31&lt;&gt;"",_xlfn.XLOOKUP($D$4+I30+1,#REF!,#REF!,"",0) * 1000,"")</f>
        <v/>
      </c>
      <c r="T31" s="52">
        <f t="shared" si="31"/>
        <v>0.04</v>
      </c>
      <c r="U31" s="53" t="str">
        <f t="shared" si="16"/>
        <v/>
      </c>
      <c r="V31" s="53" t="str">
        <f t="shared" si="17"/>
        <v/>
      </c>
      <c r="W31" s="53" t="str">
        <f t="shared" si="18"/>
        <v/>
      </c>
      <c r="X31" s="46" t="str">
        <f t="shared" si="5"/>
        <v/>
      </c>
      <c r="Y31" s="54"/>
      <c r="Z31" s="41" t="str">
        <f t="shared" si="19"/>
        <v/>
      </c>
      <c r="AA31" s="41" t="str">
        <f t="shared" si="20"/>
        <v/>
      </c>
      <c r="AB31" s="41" t="str">
        <f t="shared" si="6"/>
        <v/>
      </c>
      <c r="AC31" s="41" t="str">
        <f t="shared" si="7"/>
        <v/>
      </c>
      <c r="AD31" s="54"/>
      <c r="AE31" s="41" t="str">
        <f t="shared" si="8"/>
        <v/>
      </c>
      <c r="AF31" s="41" t="str">
        <f t="shared" si="9"/>
        <v/>
      </c>
      <c r="AG31" s="41" t="str">
        <f t="shared" si="10"/>
        <v/>
      </c>
      <c r="AH31" s="41" t="str">
        <f t="shared" si="21"/>
        <v/>
      </c>
      <c r="AI31" s="41" t="str">
        <f t="shared" si="22"/>
        <v/>
      </c>
      <c r="AJ31" s="41">
        <f t="shared" si="11"/>
        <v>0</v>
      </c>
      <c r="AK31" s="41" t="str">
        <f t="shared" si="12"/>
        <v/>
      </c>
      <c r="AL31" s="41">
        <f t="shared" si="23"/>
        <v>0</v>
      </c>
      <c r="AM31" s="41">
        <f t="shared" si="13"/>
        <v>0</v>
      </c>
      <c r="AN31" s="41" t="str">
        <f t="shared" si="14"/>
        <v/>
      </c>
      <c r="AO31" s="41">
        <f t="shared" si="15"/>
        <v>0</v>
      </c>
      <c r="AP31" s="45"/>
      <c r="AQ31" s="55"/>
      <c r="AR31" s="48"/>
      <c r="AS31" s="48"/>
      <c r="AT31" s="51">
        <f t="shared" si="24"/>
        <v>27</v>
      </c>
      <c r="AU31" s="49" t="str">
        <f t="shared" si="25"/>
        <v/>
      </c>
      <c r="AV31" s="49" t="str">
        <f t="shared" si="26"/>
        <v/>
      </c>
      <c r="AW31" s="50">
        <f xml:space="preserve"> IF(ISERROR(ROUND((1000*NPV($AT$1,$AV32:$AV$124)-$AW$1*($AU32+NPV($AT$1,$AU33:$AU$124)))/AU32,3)), 0, ROUND((1000*NPV($AT$1,$AV32:$AV$124)-$AW$1*($AU32+NPV($AT$1,$AU33:$AU$124)))/AU32,3))</f>
        <v>0</v>
      </c>
      <c r="AX31" s="50">
        <f>IF(ISERROR(ROUND(MAX(0,1000*NPV($AT$2,$AV32:$AV$124)-$AW$2*($AU32+NPV($AT$2,$AU33:$AU$124)))/AU32,3)), 0, ROUND(MAX(0,1000*NPV($AT$2,$AV32:$AV$124)-$AW$2*($AU32+NPV($AT$2,$AU33:$AU$124)))/AU32,3))</f>
        <v>0</v>
      </c>
    </row>
    <row r="32" spans="1:50" ht="15" x14ac:dyDescent="0.25">
      <c r="B32" s="2"/>
      <c r="C32" s="60">
        <v>7</v>
      </c>
      <c r="D32" s="5">
        <v>341.19321595093652</v>
      </c>
      <c r="E32" s="5"/>
      <c r="F32" s="2"/>
      <c r="G32" s="8"/>
      <c r="H32" s="4"/>
      <c r="I32" s="51"/>
      <c r="J32" s="41" t="str">
        <f t="shared" si="27"/>
        <v/>
      </c>
      <c r="K32" s="41" t="str">
        <f t="shared" si="28"/>
        <v/>
      </c>
      <c r="L32" s="42" t="str">
        <f t="shared" si="29"/>
        <v/>
      </c>
      <c r="M32" s="41" t="str">
        <f t="shared" si="30"/>
        <v/>
      </c>
      <c r="N32" s="43">
        <f t="shared" si="1"/>
        <v>0</v>
      </c>
      <c r="O32" s="44">
        <f t="shared" si="2"/>
        <v>0</v>
      </c>
      <c r="P32" s="41" t="str">
        <f t="shared" si="3"/>
        <v/>
      </c>
      <c r="Q32" s="41" t="str">
        <f t="shared" si="4"/>
        <v/>
      </c>
      <c r="R32" s="44"/>
      <c r="S32" s="44" t="str">
        <f>IF(I32&lt;&gt;"",_xlfn.XLOOKUP($D$4+I31+1,#REF!,#REF!,"",0) * 1000,"")</f>
        <v/>
      </c>
      <c r="T32" s="52">
        <f t="shared" si="31"/>
        <v>0.04</v>
      </c>
      <c r="U32" s="53" t="str">
        <f t="shared" si="16"/>
        <v/>
      </c>
      <c r="V32" s="53" t="str">
        <f t="shared" si="17"/>
        <v/>
      </c>
      <c r="W32" s="53" t="str">
        <f t="shared" si="18"/>
        <v/>
      </c>
      <c r="X32" s="46" t="str">
        <f t="shared" si="5"/>
        <v/>
      </c>
      <c r="Y32" s="54"/>
      <c r="Z32" s="41" t="str">
        <f t="shared" si="19"/>
        <v/>
      </c>
      <c r="AA32" s="41" t="str">
        <f t="shared" si="20"/>
        <v/>
      </c>
      <c r="AB32" s="41" t="str">
        <f t="shared" si="6"/>
        <v/>
      </c>
      <c r="AC32" s="41" t="str">
        <f t="shared" si="7"/>
        <v/>
      </c>
      <c r="AD32" s="54"/>
      <c r="AE32" s="41" t="str">
        <f t="shared" si="8"/>
        <v/>
      </c>
      <c r="AF32" s="41" t="str">
        <f t="shared" si="9"/>
        <v/>
      </c>
      <c r="AG32" s="41" t="str">
        <f t="shared" si="10"/>
        <v/>
      </c>
      <c r="AH32" s="41" t="str">
        <f t="shared" si="21"/>
        <v/>
      </c>
      <c r="AI32" s="41" t="str">
        <f t="shared" si="22"/>
        <v/>
      </c>
      <c r="AJ32" s="41">
        <f t="shared" si="11"/>
        <v>0</v>
      </c>
      <c r="AK32" s="41" t="str">
        <f t="shared" si="12"/>
        <v/>
      </c>
      <c r="AL32" s="41">
        <f t="shared" si="23"/>
        <v>0</v>
      </c>
      <c r="AM32" s="41">
        <f t="shared" si="13"/>
        <v>0</v>
      </c>
      <c r="AN32" s="41" t="str">
        <f t="shared" si="14"/>
        <v/>
      </c>
      <c r="AO32" s="41">
        <f t="shared" si="15"/>
        <v>0</v>
      </c>
      <c r="AP32" s="45"/>
      <c r="AQ32" s="55"/>
      <c r="AR32" s="48"/>
      <c r="AS32" s="48"/>
      <c r="AT32" s="51">
        <f t="shared" si="24"/>
        <v>28</v>
      </c>
      <c r="AU32" s="49" t="str">
        <f t="shared" si="25"/>
        <v/>
      </c>
      <c r="AV32" s="49" t="str">
        <f t="shared" si="26"/>
        <v/>
      </c>
      <c r="AW32" s="50">
        <f xml:space="preserve"> IF(ISERROR(ROUND((1000*NPV($AT$1,$AV33:$AV$124)-$AW$1*($AU33+NPV($AT$1,$AU34:$AU$124)))/AU33,3)), 0, ROUND((1000*NPV($AT$1,$AV33:$AV$124)-$AW$1*($AU33+NPV($AT$1,$AU34:$AU$124)))/AU33,3))</f>
        <v>0</v>
      </c>
      <c r="AX32" s="50">
        <f>IF(ISERROR(ROUND(MAX(0,1000*NPV($AT$2,$AV33:$AV$124)-$AW$2*($AU33+NPV($AT$2,$AU34:$AU$124)))/AU33,3)), 0, ROUND(MAX(0,1000*NPV($AT$2,$AV33:$AV$124)-$AW$2*($AU33+NPV($AT$2,$AU34:$AU$124)))/AU33,3))</f>
        <v>0</v>
      </c>
    </row>
    <row r="33" spans="2:50" ht="15" x14ac:dyDescent="0.25">
      <c r="B33" s="2"/>
      <c r="C33" s="60">
        <v>8</v>
      </c>
      <c r="D33" s="5">
        <v>343.08360726160913</v>
      </c>
      <c r="E33" s="5"/>
      <c r="F33" s="2"/>
      <c r="G33" s="8"/>
      <c r="H33" s="4"/>
      <c r="I33" s="51"/>
      <c r="J33" s="41" t="str">
        <f t="shared" si="27"/>
        <v/>
      </c>
      <c r="K33" s="41" t="str">
        <f t="shared" si="28"/>
        <v/>
      </c>
      <c r="L33" s="42" t="str">
        <f t="shared" si="29"/>
        <v/>
      </c>
      <c r="M33" s="41" t="str">
        <f t="shared" si="30"/>
        <v/>
      </c>
      <c r="N33" s="43">
        <f t="shared" si="1"/>
        <v>0</v>
      </c>
      <c r="O33" s="44">
        <f t="shared" si="2"/>
        <v>0</v>
      </c>
      <c r="P33" s="41" t="str">
        <f t="shared" si="3"/>
        <v/>
      </c>
      <c r="Q33" s="41" t="str">
        <f t="shared" si="4"/>
        <v/>
      </c>
      <c r="R33" s="44"/>
      <c r="S33" s="44" t="str">
        <f>IF(I33&lt;&gt;"",_xlfn.XLOOKUP($D$4+I32+1,#REF!,#REF!,"",0) * 1000,"")</f>
        <v/>
      </c>
      <c r="T33" s="52">
        <f t="shared" si="31"/>
        <v>0.04</v>
      </c>
      <c r="U33" s="53" t="str">
        <f t="shared" si="16"/>
        <v/>
      </c>
      <c r="V33" s="53" t="str">
        <f t="shared" si="17"/>
        <v/>
      </c>
      <c r="W33" s="53" t="str">
        <f t="shared" si="18"/>
        <v/>
      </c>
      <c r="X33" s="46" t="str">
        <f t="shared" si="5"/>
        <v/>
      </c>
      <c r="Y33" s="54"/>
      <c r="Z33" s="41" t="str">
        <f t="shared" si="19"/>
        <v/>
      </c>
      <c r="AA33" s="41" t="str">
        <f t="shared" si="20"/>
        <v/>
      </c>
      <c r="AB33" s="41" t="str">
        <f t="shared" si="6"/>
        <v/>
      </c>
      <c r="AC33" s="41" t="str">
        <f t="shared" si="7"/>
        <v/>
      </c>
      <c r="AD33" s="54"/>
      <c r="AE33" s="41" t="str">
        <f t="shared" si="8"/>
        <v/>
      </c>
      <c r="AF33" s="41" t="str">
        <f t="shared" si="9"/>
        <v/>
      </c>
      <c r="AG33" s="41" t="str">
        <f t="shared" si="10"/>
        <v/>
      </c>
      <c r="AH33" s="41" t="str">
        <f t="shared" si="21"/>
        <v/>
      </c>
      <c r="AI33" s="41" t="str">
        <f t="shared" si="22"/>
        <v/>
      </c>
      <c r="AJ33" s="41">
        <f t="shared" si="11"/>
        <v>0</v>
      </c>
      <c r="AK33" s="41" t="str">
        <f t="shared" si="12"/>
        <v/>
      </c>
      <c r="AL33" s="41">
        <f t="shared" si="23"/>
        <v>0</v>
      </c>
      <c r="AM33" s="41">
        <f t="shared" si="13"/>
        <v>0</v>
      </c>
      <c r="AN33" s="41" t="str">
        <f t="shared" si="14"/>
        <v/>
      </c>
      <c r="AO33" s="41">
        <f t="shared" si="15"/>
        <v>0</v>
      </c>
      <c r="AP33" s="45"/>
      <c r="AQ33" s="55"/>
      <c r="AR33" s="48"/>
      <c r="AS33" s="48"/>
      <c r="AT33" s="51">
        <f t="shared" si="24"/>
        <v>29</v>
      </c>
      <c r="AU33" s="49" t="str">
        <f t="shared" si="25"/>
        <v/>
      </c>
      <c r="AV33" s="49" t="str">
        <f t="shared" si="26"/>
        <v/>
      </c>
      <c r="AW33" s="50">
        <f xml:space="preserve"> IF(ISERROR(ROUND((1000*NPV($AT$1,$AV34:$AV$124)-$AW$1*($AU34+NPV($AT$1,$AU35:$AU$124)))/AU34,3)), 0, ROUND((1000*NPV($AT$1,$AV34:$AV$124)-$AW$1*($AU34+NPV($AT$1,$AU35:$AU$124)))/AU34,3))</f>
        <v>0</v>
      </c>
      <c r="AX33" s="50">
        <f>IF(ISERROR(ROUND(MAX(0,1000*NPV($AT$2,$AV34:$AV$124)-$AW$2*($AU34+NPV($AT$2,$AU35:$AU$124)))/AU34,3)), 0, ROUND(MAX(0,1000*NPV($AT$2,$AV34:$AV$124)-$AW$2*($AU34+NPV($AT$2,$AU35:$AU$124)))/AU34,3))</f>
        <v>0</v>
      </c>
    </row>
    <row r="34" spans="2:50" ht="15" x14ac:dyDescent="0.25">
      <c r="B34" s="2"/>
      <c r="C34" s="60">
        <v>9</v>
      </c>
      <c r="D34" s="5">
        <v>344.86557978841046</v>
      </c>
      <c r="E34" s="5"/>
      <c r="F34" s="2"/>
      <c r="G34" s="8"/>
      <c r="H34" s="4"/>
      <c r="I34" s="51"/>
      <c r="J34" s="41" t="str">
        <f t="shared" si="27"/>
        <v/>
      </c>
      <c r="K34" s="41" t="str">
        <f t="shared" si="28"/>
        <v/>
      </c>
      <c r="L34" s="42" t="str">
        <f t="shared" si="29"/>
        <v/>
      </c>
      <c r="M34" s="41" t="str">
        <f t="shared" si="30"/>
        <v/>
      </c>
      <c r="N34" s="43">
        <f t="shared" si="1"/>
        <v>0</v>
      </c>
      <c r="O34" s="44">
        <f t="shared" si="2"/>
        <v>0</v>
      </c>
      <c r="P34" s="41" t="str">
        <f t="shared" si="3"/>
        <v/>
      </c>
      <c r="Q34" s="41" t="str">
        <f t="shared" si="4"/>
        <v/>
      </c>
      <c r="R34" s="44"/>
      <c r="S34" s="44" t="str">
        <f>IF(I34&lt;&gt;"",_xlfn.XLOOKUP($D$4+I33+1,#REF!,#REF!,"",0) * 1000,"")</f>
        <v/>
      </c>
      <c r="T34" s="52">
        <f t="shared" si="31"/>
        <v>0.04</v>
      </c>
      <c r="U34" s="53" t="str">
        <f t="shared" si="16"/>
        <v/>
      </c>
      <c r="V34" s="53" t="str">
        <f t="shared" si="17"/>
        <v/>
      </c>
      <c r="W34" s="53" t="str">
        <f t="shared" si="18"/>
        <v/>
      </c>
      <c r="X34" s="46" t="str">
        <f t="shared" si="5"/>
        <v/>
      </c>
      <c r="Y34" s="54"/>
      <c r="Z34" s="41" t="str">
        <f t="shared" si="19"/>
        <v/>
      </c>
      <c r="AA34" s="41" t="str">
        <f t="shared" si="20"/>
        <v/>
      </c>
      <c r="AB34" s="41" t="str">
        <f t="shared" si="6"/>
        <v/>
      </c>
      <c r="AC34" s="41" t="str">
        <f t="shared" si="7"/>
        <v/>
      </c>
      <c r="AD34" s="54"/>
      <c r="AE34" s="41" t="str">
        <f t="shared" si="8"/>
        <v/>
      </c>
      <c r="AF34" s="41" t="str">
        <f t="shared" si="9"/>
        <v/>
      </c>
      <c r="AG34" s="41" t="str">
        <f t="shared" si="10"/>
        <v/>
      </c>
      <c r="AH34" s="41" t="str">
        <f t="shared" si="21"/>
        <v/>
      </c>
      <c r="AI34" s="41" t="str">
        <f t="shared" si="22"/>
        <v/>
      </c>
      <c r="AJ34" s="41">
        <f t="shared" si="11"/>
        <v>0</v>
      </c>
      <c r="AK34" s="41" t="str">
        <f t="shared" si="12"/>
        <v/>
      </c>
      <c r="AL34" s="41">
        <f t="shared" si="23"/>
        <v>0</v>
      </c>
      <c r="AM34" s="41">
        <f t="shared" si="13"/>
        <v>0</v>
      </c>
      <c r="AN34" s="41" t="str">
        <f t="shared" si="14"/>
        <v/>
      </c>
      <c r="AO34" s="41">
        <f t="shared" si="15"/>
        <v>0</v>
      </c>
      <c r="AP34" s="45"/>
      <c r="AQ34" s="55"/>
      <c r="AR34" s="48"/>
      <c r="AS34" s="48"/>
      <c r="AT34" s="51">
        <f t="shared" si="24"/>
        <v>30</v>
      </c>
      <c r="AU34" s="49" t="str">
        <f t="shared" si="25"/>
        <v/>
      </c>
      <c r="AV34" s="49" t="str">
        <f t="shared" si="26"/>
        <v/>
      </c>
      <c r="AW34" s="50">
        <f xml:space="preserve"> IF(ISERROR(ROUND((1000*NPV($AT$1,$AV35:$AV$124)-$AW$1*($AU35+NPV($AT$1,$AU36:$AU$124)))/AU35,3)), 0, ROUND((1000*NPV($AT$1,$AV35:$AV$124)-$AW$1*($AU35+NPV($AT$1,$AU36:$AU$124)))/AU35,3))</f>
        <v>0</v>
      </c>
      <c r="AX34" s="50">
        <f>IF(ISERROR(ROUND(MAX(0,1000*NPV($AT$2,$AV35:$AV$124)-$AW$2*($AU35+NPV($AT$2,$AU36:$AU$124)))/AU35,3)), 0, ROUND(MAX(0,1000*NPV($AT$2,$AV35:$AV$124)-$AW$2*($AU35+NPV($AT$2,$AU36:$AU$124)))/AU35,3))</f>
        <v>0</v>
      </c>
    </row>
    <row r="35" spans="2:50" ht="15" x14ac:dyDescent="0.25">
      <c r="B35" s="2"/>
      <c r="C35" s="60">
        <v>10</v>
      </c>
      <c r="D35" s="5">
        <v>346.65912877490689</v>
      </c>
      <c r="E35" s="5"/>
      <c r="F35" s="2"/>
      <c r="G35" s="8"/>
      <c r="H35" s="4"/>
      <c r="I35" s="51"/>
      <c r="J35" s="41" t="str">
        <f t="shared" si="27"/>
        <v/>
      </c>
      <c r="K35" s="41" t="str">
        <f t="shared" si="28"/>
        <v/>
      </c>
      <c r="L35" s="42" t="str">
        <f t="shared" si="29"/>
        <v/>
      </c>
      <c r="M35" s="41" t="str">
        <f t="shared" si="30"/>
        <v/>
      </c>
      <c r="N35" s="43">
        <f t="shared" si="1"/>
        <v>0</v>
      </c>
      <c r="O35" s="44">
        <f t="shared" si="2"/>
        <v>0</v>
      </c>
      <c r="P35" s="41" t="str">
        <f t="shared" si="3"/>
        <v/>
      </c>
      <c r="Q35" s="41" t="str">
        <f t="shared" si="4"/>
        <v/>
      </c>
      <c r="R35" s="44"/>
      <c r="S35" s="44" t="str">
        <f>IF(I35&lt;&gt;"",_xlfn.XLOOKUP($D$4+I34+1,#REF!,#REF!,"",0) * 1000,"")</f>
        <v/>
      </c>
      <c r="T35" s="52">
        <f t="shared" si="31"/>
        <v>0.04</v>
      </c>
      <c r="U35" s="53" t="str">
        <f t="shared" si="16"/>
        <v/>
      </c>
      <c r="V35" s="53" t="str">
        <f t="shared" si="17"/>
        <v/>
      </c>
      <c r="W35" s="53" t="str">
        <f t="shared" si="18"/>
        <v/>
      </c>
      <c r="X35" s="46" t="str">
        <f t="shared" si="5"/>
        <v/>
      </c>
      <c r="Y35" s="54"/>
      <c r="Z35" s="41" t="str">
        <f t="shared" si="19"/>
        <v/>
      </c>
      <c r="AA35" s="41" t="str">
        <f t="shared" si="20"/>
        <v/>
      </c>
      <c r="AB35" s="41" t="str">
        <f t="shared" si="6"/>
        <v/>
      </c>
      <c r="AC35" s="41" t="str">
        <f t="shared" si="7"/>
        <v/>
      </c>
      <c r="AD35" s="54"/>
      <c r="AE35" s="41" t="str">
        <f t="shared" si="8"/>
        <v/>
      </c>
      <c r="AF35" s="41" t="str">
        <f t="shared" si="9"/>
        <v/>
      </c>
      <c r="AG35" s="41" t="str">
        <f t="shared" si="10"/>
        <v/>
      </c>
      <c r="AH35" s="41" t="str">
        <f t="shared" si="21"/>
        <v/>
      </c>
      <c r="AI35" s="41" t="str">
        <f t="shared" si="22"/>
        <v/>
      </c>
      <c r="AJ35" s="41">
        <f t="shared" si="11"/>
        <v>0</v>
      </c>
      <c r="AK35" s="41" t="str">
        <f t="shared" si="12"/>
        <v/>
      </c>
      <c r="AL35" s="41">
        <f t="shared" si="23"/>
        <v>0</v>
      </c>
      <c r="AM35" s="41">
        <f t="shared" si="13"/>
        <v>0</v>
      </c>
      <c r="AN35" s="41" t="str">
        <f t="shared" si="14"/>
        <v/>
      </c>
      <c r="AO35" s="41">
        <f t="shared" si="15"/>
        <v>0</v>
      </c>
      <c r="AP35" s="45"/>
      <c r="AQ35" s="55"/>
      <c r="AR35" s="48"/>
      <c r="AS35" s="48"/>
      <c r="AT35" s="51">
        <f t="shared" si="24"/>
        <v>31</v>
      </c>
      <c r="AU35" s="49" t="str">
        <f t="shared" si="25"/>
        <v/>
      </c>
      <c r="AV35" s="49" t="str">
        <f t="shared" si="26"/>
        <v/>
      </c>
      <c r="AW35" s="50">
        <f xml:space="preserve"> IF(ISERROR(ROUND((1000*NPV($AT$1,$AV36:$AV$124)-$AW$1*($AU36+NPV($AT$1,$AU37:$AU$124)))/AU36,3)), 0, ROUND((1000*NPV($AT$1,$AV36:$AV$124)-$AW$1*($AU36+NPV($AT$1,$AU37:$AU$124)))/AU36,3))</f>
        <v>0</v>
      </c>
      <c r="AX35" s="50">
        <f>IF(ISERROR(ROUND(MAX(0,1000*NPV($AT$2,$AV36:$AV$124)-$AW$2*($AU36+NPV($AT$2,$AU37:$AU$124)))/AU36,3)), 0, ROUND(MAX(0,1000*NPV($AT$2,$AV36:$AV$124)-$AW$2*($AU36+NPV($AT$2,$AU37:$AU$124)))/AU36,3))</f>
        <v>0</v>
      </c>
    </row>
    <row r="36" spans="2:50" ht="15" x14ac:dyDescent="0.25">
      <c r="B36" s="2"/>
      <c r="C36" s="60">
        <v>11</v>
      </c>
      <c r="D36" s="5">
        <v>348.5825938593909</v>
      </c>
      <c r="E36" s="5"/>
      <c r="F36" s="2"/>
      <c r="G36" s="8"/>
      <c r="H36" s="4"/>
      <c r="I36" s="51"/>
      <c r="J36" s="41" t="str">
        <f t="shared" si="27"/>
        <v/>
      </c>
      <c r="K36" s="41" t="str">
        <f t="shared" si="28"/>
        <v/>
      </c>
      <c r="L36" s="42" t="str">
        <f t="shared" si="29"/>
        <v/>
      </c>
      <c r="M36" s="41" t="str">
        <f t="shared" si="30"/>
        <v/>
      </c>
      <c r="N36" s="43">
        <f t="shared" si="1"/>
        <v>0</v>
      </c>
      <c r="O36" s="44">
        <f t="shared" si="2"/>
        <v>0</v>
      </c>
      <c r="P36" s="41" t="str">
        <f t="shared" si="3"/>
        <v/>
      </c>
      <c r="Q36" s="41" t="str">
        <f t="shared" si="4"/>
        <v/>
      </c>
      <c r="R36" s="44"/>
      <c r="S36" s="44" t="str">
        <f>IF(I36&lt;&gt;"",_xlfn.XLOOKUP($D$4+I35+1,#REF!,#REF!,"",0) * 1000,"")</f>
        <v/>
      </c>
      <c r="T36" s="52">
        <f t="shared" si="31"/>
        <v>0.04</v>
      </c>
      <c r="U36" s="53" t="str">
        <f t="shared" si="16"/>
        <v/>
      </c>
      <c r="V36" s="53" t="str">
        <f t="shared" si="17"/>
        <v/>
      </c>
      <c r="W36" s="53" t="str">
        <f t="shared" si="18"/>
        <v/>
      </c>
      <c r="X36" s="46" t="str">
        <f t="shared" si="5"/>
        <v/>
      </c>
      <c r="Y36" s="54"/>
      <c r="Z36" s="41" t="str">
        <f t="shared" si="19"/>
        <v/>
      </c>
      <c r="AA36" s="41" t="str">
        <f t="shared" si="20"/>
        <v/>
      </c>
      <c r="AB36" s="41" t="str">
        <f t="shared" si="6"/>
        <v/>
      </c>
      <c r="AC36" s="41" t="str">
        <f t="shared" si="7"/>
        <v/>
      </c>
      <c r="AD36" s="54"/>
      <c r="AE36" s="41" t="str">
        <f t="shared" si="8"/>
        <v/>
      </c>
      <c r="AF36" s="41" t="str">
        <f t="shared" si="9"/>
        <v/>
      </c>
      <c r="AG36" s="41" t="str">
        <f t="shared" si="10"/>
        <v/>
      </c>
      <c r="AH36" s="41" t="str">
        <f t="shared" si="21"/>
        <v/>
      </c>
      <c r="AI36" s="41" t="str">
        <f t="shared" si="22"/>
        <v/>
      </c>
      <c r="AJ36" s="41">
        <f t="shared" si="11"/>
        <v>0</v>
      </c>
      <c r="AK36" s="41" t="str">
        <f t="shared" si="12"/>
        <v/>
      </c>
      <c r="AL36" s="41">
        <f t="shared" si="23"/>
        <v>0</v>
      </c>
      <c r="AM36" s="41">
        <f t="shared" si="13"/>
        <v>0</v>
      </c>
      <c r="AN36" s="41" t="str">
        <f t="shared" si="14"/>
        <v/>
      </c>
      <c r="AO36" s="41">
        <f t="shared" si="15"/>
        <v>0</v>
      </c>
      <c r="AP36" s="45"/>
      <c r="AQ36" s="55"/>
      <c r="AR36" s="48"/>
      <c r="AS36" s="48"/>
      <c r="AT36" s="51">
        <f t="shared" si="24"/>
        <v>32</v>
      </c>
      <c r="AU36" s="49" t="str">
        <f t="shared" si="25"/>
        <v/>
      </c>
      <c r="AV36" s="49" t="str">
        <f t="shared" si="26"/>
        <v/>
      </c>
      <c r="AW36" s="50">
        <f xml:space="preserve"> IF(ISERROR(ROUND((1000*NPV($AT$1,$AV37:$AV$124)-$AW$1*($AU37+NPV($AT$1,$AU38:$AU$124)))/AU37,3)), 0, ROUND((1000*NPV($AT$1,$AV37:$AV$124)-$AW$1*($AU37+NPV($AT$1,$AU38:$AU$124)))/AU37,3))</f>
        <v>0</v>
      </c>
      <c r="AX36" s="50">
        <f>IF(ISERROR(ROUND(MAX(0,1000*NPV($AT$2,$AV37:$AV$124)-$AW$2*($AU37+NPV($AT$2,$AU38:$AU$124)))/AU37,3)), 0, ROUND(MAX(0,1000*NPV($AT$2,$AV37:$AV$124)-$AW$2*($AU37+NPV($AT$2,$AU38:$AU$124)))/AU37,3))</f>
        <v>0</v>
      </c>
    </row>
    <row r="37" spans="2:50" ht="15" x14ac:dyDescent="0.25">
      <c r="B37" s="2"/>
      <c r="C37" s="60">
        <v>12</v>
      </c>
      <c r="D37" s="5">
        <v>350.78419144531301</v>
      </c>
      <c r="E37" s="5"/>
      <c r="F37" s="2"/>
      <c r="G37" s="8"/>
      <c r="H37" s="4"/>
      <c r="I37" s="51"/>
      <c r="J37" s="41" t="str">
        <f t="shared" si="27"/>
        <v/>
      </c>
      <c r="K37" s="41" t="str">
        <f t="shared" si="28"/>
        <v/>
      </c>
      <c r="L37" s="42" t="str">
        <f t="shared" si="29"/>
        <v/>
      </c>
      <c r="M37" s="41" t="str">
        <f t="shared" si="30"/>
        <v/>
      </c>
      <c r="N37" s="43">
        <f t="shared" si="1"/>
        <v>0</v>
      </c>
      <c r="O37" s="44">
        <f t="shared" si="2"/>
        <v>0</v>
      </c>
      <c r="P37" s="41" t="str">
        <f t="shared" si="3"/>
        <v/>
      </c>
      <c r="Q37" s="41" t="str">
        <f t="shared" si="4"/>
        <v/>
      </c>
      <c r="R37" s="44"/>
      <c r="S37" s="44" t="str">
        <f>IF(I37&lt;&gt;"",_xlfn.XLOOKUP($D$4+I36+1,#REF!,#REF!,"",0) * 1000,"")</f>
        <v/>
      </c>
      <c r="T37" s="52">
        <f t="shared" si="31"/>
        <v>0.04</v>
      </c>
      <c r="U37" s="53" t="str">
        <f t="shared" si="16"/>
        <v/>
      </c>
      <c r="V37" s="53" t="str">
        <f t="shared" si="17"/>
        <v/>
      </c>
      <c r="W37" s="53" t="str">
        <f t="shared" si="18"/>
        <v/>
      </c>
      <c r="X37" s="46" t="str">
        <f t="shared" si="5"/>
        <v/>
      </c>
      <c r="Y37" s="54"/>
      <c r="Z37" s="41" t="str">
        <f t="shared" si="19"/>
        <v/>
      </c>
      <c r="AA37" s="41" t="str">
        <f t="shared" si="20"/>
        <v/>
      </c>
      <c r="AB37" s="41" t="str">
        <f t="shared" si="6"/>
        <v/>
      </c>
      <c r="AC37" s="41" t="str">
        <f t="shared" si="7"/>
        <v/>
      </c>
      <c r="AD37" s="54"/>
      <c r="AE37" s="41" t="str">
        <f t="shared" si="8"/>
        <v/>
      </c>
      <c r="AF37" s="41" t="str">
        <f t="shared" si="9"/>
        <v/>
      </c>
      <c r="AG37" s="41" t="str">
        <f t="shared" si="10"/>
        <v/>
      </c>
      <c r="AH37" s="41" t="str">
        <f t="shared" si="21"/>
        <v/>
      </c>
      <c r="AI37" s="41" t="str">
        <f t="shared" si="22"/>
        <v/>
      </c>
      <c r="AJ37" s="41">
        <f t="shared" si="11"/>
        <v>0</v>
      </c>
      <c r="AK37" s="41" t="str">
        <f t="shared" si="12"/>
        <v/>
      </c>
      <c r="AL37" s="41">
        <f t="shared" si="23"/>
        <v>0</v>
      </c>
      <c r="AM37" s="41">
        <f t="shared" si="13"/>
        <v>0</v>
      </c>
      <c r="AN37" s="41" t="str">
        <f t="shared" si="14"/>
        <v/>
      </c>
      <c r="AO37" s="41">
        <f t="shared" si="15"/>
        <v>0</v>
      </c>
      <c r="AP37" s="45"/>
      <c r="AQ37" s="55"/>
      <c r="AR37" s="48"/>
      <c r="AS37" s="48"/>
      <c r="AT37" s="51">
        <f t="shared" si="24"/>
        <v>33</v>
      </c>
      <c r="AU37" s="49" t="str">
        <f t="shared" si="25"/>
        <v/>
      </c>
      <c r="AV37" s="49" t="str">
        <f t="shared" si="26"/>
        <v/>
      </c>
      <c r="AW37" s="50">
        <f xml:space="preserve"> IF(ISERROR(ROUND((1000*NPV($AT$1,$AV38:$AV$124)-$AW$1*($AU38+NPV($AT$1,$AU39:$AU$124)))/AU38,3)), 0, ROUND((1000*NPV($AT$1,$AV38:$AV$124)-$AW$1*($AU38+NPV($AT$1,$AU39:$AU$124)))/AU38,3))</f>
        <v>0</v>
      </c>
      <c r="AX37" s="50">
        <f>IF(ISERROR(ROUND(MAX(0,1000*NPV($AT$2,$AV38:$AV$124)-$AW$2*($AU38+NPV($AT$2,$AU39:$AU$124)))/AU38,3)), 0, ROUND(MAX(0,1000*NPV($AT$2,$AV38:$AV$124)-$AW$2*($AU38+NPV($AT$2,$AU39:$AU$124)))/AU38,3))</f>
        <v>0</v>
      </c>
    </row>
    <row r="38" spans="2:50" ht="15" x14ac:dyDescent="0.25">
      <c r="B38" s="2"/>
      <c r="C38" s="60">
        <v>13</v>
      </c>
      <c r="D38" s="5">
        <v>353.38228511404691</v>
      </c>
      <c r="E38" s="5"/>
      <c r="F38" s="2"/>
      <c r="G38" s="8"/>
      <c r="H38" s="4"/>
      <c r="I38" s="51"/>
      <c r="J38" s="41" t="str">
        <f t="shared" si="27"/>
        <v/>
      </c>
      <c r="K38" s="41" t="str">
        <f t="shared" si="28"/>
        <v/>
      </c>
      <c r="L38" s="42" t="str">
        <f t="shared" si="29"/>
        <v/>
      </c>
      <c r="M38" s="41" t="str">
        <f t="shared" si="30"/>
        <v/>
      </c>
      <c r="N38" s="43">
        <f t="shared" si="1"/>
        <v>0</v>
      </c>
      <c r="O38" s="44">
        <f t="shared" si="2"/>
        <v>0</v>
      </c>
      <c r="P38" s="41" t="str">
        <f t="shared" si="3"/>
        <v/>
      </c>
      <c r="Q38" s="41" t="str">
        <f t="shared" si="4"/>
        <v/>
      </c>
      <c r="R38" s="44"/>
      <c r="S38" s="44" t="str">
        <f>IF(I38&lt;&gt;"",_xlfn.XLOOKUP($D$4+I37+1,#REF!,#REF!,"",0) * 1000,"")</f>
        <v/>
      </c>
      <c r="T38" s="52">
        <f t="shared" si="31"/>
        <v>0.04</v>
      </c>
      <c r="U38" s="53" t="str">
        <f t="shared" si="16"/>
        <v/>
      </c>
      <c r="V38" s="53" t="str">
        <f t="shared" si="17"/>
        <v/>
      </c>
      <c r="W38" s="53" t="str">
        <f t="shared" si="18"/>
        <v/>
      </c>
      <c r="X38" s="46" t="str">
        <f t="shared" si="5"/>
        <v/>
      </c>
      <c r="Y38" s="54"/>
      <c r="Z38" s="41" t="str">
        <f t="shared" si="19"/>
        <v/>
      </c>
      <c r="AA38" s="41" t="str">
        <f t="shared" si="20"/>
        <v/>
      </c>
      <c r="AB38" s="41" t="str">
        <f t="shared" si="6"/>
        <v/>
      </c>
      <c r="AC38" s="41" t="str">
        <f t="shared" si="7"/>
        <v/>
      </c>
      <c r="AD38" s="54"/>
      <c r="AE38" s="41" t="str">
        <f t="shared" si="8"/>
        <v/>
      </c>
      <c r="AF38" s="41" t="str">
        <f t="shared" si="9"/>
        <v/>
      </c>
      <c r="AG38" s="41" t="str">
        <f t="shared" si="10"/>
        <v/>
      </c>
      <c r="AH38" s="41" t="str">
        <f t="shared" si="21"/>
        <v/>
      </c>
      <c r="AI38" s="41" t="str">
        <f t="shared" si="22"/>
        <v/>
      </c>
      <c r="AJ38" s="41">
        <f t="shared" si="11"/>
        <v>0</v>
      </c>
      <c r="AK38" s="41" t="str">
        <f t="shared" si="12"/>
        <v/>
      </c>
      <c r="AL38" s="41">
        <f t="shared" si="23"/>
        <v>0</v>
      </c>
      <c r="AM38" s="41">
        <f t="shared" si="13"/>
        <v>0</v>
      </c>
      <c r="AN38" s="41" t="str">
        <f t="shared" si="14"/>
        <v/>
      </c>
      <c r="AO38" s="41">
        <f t="shared" si="15"/>
        <v>0</v>
      </c>
      <c r="AP38" s="45"/>
      <c r="AQ38" s="55"/>
      <c r="AR38" s="48"/>
      <c r="AS38" s="48"/>
      <c r="AT38" s="51">
        <f t="shared" si="24"/>
        <v>34</v>
      </c>
      <c r="AU38" s="49" t="str">
        <f t="shared" si="25"/>
        <v/>
      </c>
      <c r="AV38" s="49" t="str">
        <f t="shared" si="26"/>
        <v/>
      </c>
      <c r="AW38" s="50">
        <f xml:space="preserve"> IF(ISERROR(ROUND((1000*NPV($AT$1,$AV39:$AV$124)-$AW$1*($AU39+NPV($AT$1,$AU40:$AU$124)))/AU39,3)), 0, ROUND((1000*NPV($AT$1,$AV39:$AV$124)-$AW$1*($AU39+NPV($AT$1,$AU40:$AU$124)))/AU39,3))</f>
        <v>0</v>
      </c>
      <c r="AX38" s="50">
        <f>IF(ISERROR(ROUND(MAX(0,1000*NPV($AT$2,$AV39:$AV$124)-$AW$2*($AU39+NPV($AT$2,$AU40:$AU$124)))/AU39,3)), 0, ROUND(MAX(0,1000*NPV($AT$2,$AV39:$AV$124)-$AW$2*($AU39+NPV($AT$2,$AU40:$AU$124)))/AU39,3))</f>
        <v>0</v>
      </c>
    </row>
    <row r="39" spans="2:50" ht="15" x14ac:dyDescent="0.25">
      <c r="B39" s="2"/>
      <c r="C39" s="60">
        <v>14</v>
      </c>
      <c r="D39" s="5">
        <v>356.49721738841021</v>
      </c>
      <c r="E39" s="5"/>
      <c r="F39" s="2"/>
      <c r="G39" s="8"/>
      <c r="H39" s="4"/>
      <c r="I39" s="51"/>
      <c r="J39" s="41" t="str">
        <f t="shared" si="27"/>
        <v/>
      </c>
      <c r="K39" s="41" t="str">
        <f t="shared" si="28"/>
        <v/>
      </c>
      <c r="L39" s="42" t="str">
        <f t="shared" si="29"/>
        <v/>
      </c>
      <c r="M39" s="41" t="str">
        <f t="shared" si="30"/>
        <v/>
      </c>
      <c r="N39" s="43">
        <f t="shared" si="1"/>
        <v>0</v>
      </c>
      <c r="O39" s="44">
        <f t="shared" si="2"/>
        <v>0</v>
      </c>
      <c r="P39" s="41" t="str">
        <f t="shared" si="3"/>
        <v/>
      </c>
      <c r="Q39" s="41" t="str">
        <f t="shared" si="4"/>
        <v/>
      </c>
      <c r="R39" s="44"/>
      <c r="S39" s="44" t="str">
        <f>IF(I39&lt;&gt;"",_xlfn.XLOOKUP($D$4+I38+1,#REF!,#REF!,"",0) * 1000,"")</f>
        <v/>
      </c>
      <c r="T39" s="52">
        <f t="shared" si="31"/>
        <v>0.04</v>
      </c>
      <c r="U39" s="53" t="str">
        <f t="shared" si="16"/>
        <v/>
      </c>
      <c r="V39" s="53" t="str">
        <f t="shared" si="17"/>
        <v/>
      </c>
      <c r="W39" s="53" t="str">
        <f t="shared" si="18"/>
        <v/>
      </c>
      <c r="X39" s="46" t="str">
        <f t="shared" si="5"/>
        <v/>
      </c>
      <c r="Y39" s="54"/>
      <c r="Z39" s="41" t="str">
        <f t="shared" si="19"/>
        <v/>
      </c>
      <c r="AA39" s="41" t="str">
        <f t="shared" si="20"/>
        <v/>
      </c>
      <c r="AB39" s="41" t="str">
        <f t="shared" si="6"/>
        <v/>
      </c>
      <c r="AC39" s="41" t="str">
        <f t="shared" si="7"/>
        <v/>
      </c>
      <c r="AD39" s="54"/>
      <c r="AE39" s="41" t="str">
        <f t="shared" si="8"/>
        <v/>
      </c>
      <c r="AF39" s="41" t="str">
        <f t="shared" si="9"/>
        <v/>
      </c>
      <c r="AG39" s="41" t="str">
        <f t="shared" si="10"/>
        <v/>
      </c>
      <c r="AH39" s="41" t="str">
        <f t="shared" si="21"/>
        <v/>
      </c>
      <c r="AI39" s="41" t="str">
        <f t="shared" si="22"/>
        <v/>
      </c>
      <c r="AJ39" s="41">
        <f t="shared" si="11"/>
        <v>0</v>
      </c>
      <c r="AK39" s="41" t="str">
        <f t="shared" si="12"/>
        <v/>
      </c>
      <c r="AL39" s="41">
        <f t="shared" si="23"/>
        <v>0</v>
      </c>
      <c r="AM39" s="41">
        <f t="shared" si="13"/>
        <v>0</v>
      </c>
      <c r="AN39" s="41" t="str">
        <f t="shared" si="14"/>
        <v/>
      </c>
      <c r="AO39" s="41">
        <f t="shared" si="15"/>
        <v>0</v>
      </c>
      <c r="AP39" s="45"/>
      <c r="AQ39" s="55"/>
      <c r="AR39" s="48"/>
      <c r="AS39" s="48"/>
      <c r="AT39" s="51">
        <f t="shared" si="24"/>
        <v>35</v>
      </c>
      <c r="AU39" s="49" t="str">
        <f t="shared" si="25"/>
        <v/>
      </c>
      <c r="AV39" s="49" t="str">
        <f t="shared" si="26"/>
        <v/>
      </c>
      <c r="AW39" s="50">
        <f xml:space="preserve"> IF(ISERROR(ROUND((1000*NPV($AT$1,$AV40:$AV$124)-$AW$1*($AU40+NPV($AT$1,$AU41:$AU$124)))/AU40,3)), 0, ROUND((1000*NPV($AT$1,$AV40:$AV$124)-$AW$1*($AU40+NPV($AT$1,$AU41:$AU$124)))/AU40,3))</f>
        <v>0</v>
      </c>
      <c r="AX39" s="50">
        <f>IF(ISERROR(ROUND(MAX(0,1000*NPV($AT$2,$AV40:$AV$124)-$AW$2*($AU40+NPV($AT$2,$AU41:$AU$124)))/AU40,3)), 0, ROUND(MAX(0,1000*NPV($AT$2,$AV40:$AV$124)-$AW$2*($AU40+NPV($AT$2,$AU41:$AU$124)))/AU40,3))</f>
        <v>0</v>
      </c>
    </row>
    <row r="40" spans="2:50" ht="15" x14ac:dyDescent="0.25">
      <c r="B40" s="2"/>
      <c r="C40" s="60">
        <v>15</v>
      </c>
      <c r="D40" s="5">
        <v>360.37688162330466</v>
      </c>
      <c r="E40" s="5"/>
      <c r="F40" s="2"/>
      <c r="G40" s="8"/>
      <c r="H40" s="4"/>
      <c r="I40" s="51"/>
      <c r="J40" s="41" t="str">
        <f t="shared" si="27"/>
        <v/>
      </c>
      <c r="K40" s="41" t="str">
        <f t="shared" si="28"/>
        <v/>
      </c>
      <c r="L40" s="42" t="str">
        <f t="shared" si="29"/>
        <v/>
      </c>
      <c r="M40" s="41" t="str">
        <f t="shared" si="30"/>
        <v/>
      </c>
      <c r="N40" s="43">
        <f t="shared" si="1"/>
        <v>0</v>
      </c>
      <c r="O40" s="44">
        <f t="shared" si="2"/>
        <v>0</v>
      </c>
      <c r="P40" s="41" t="str">
        <f t="shared" si="3"/>
        <v/>
      </c>
      <c r="Q40" s="41" t="str">
        <f t="shared" si="4"/>
        <v/>
      </c>
      <c r="R40" s="44"/>
      <c r="S40" s="44" t="str">
        <f>IF(I40&lt;&gt;"",_xlfn.XLOOKUP($D$4+I39+1,#REF!,#REF!,"",0) * 1000,"")</f>
        <v/>
      </c>
      <c r="T40" s="52">
        <f t="shared" si="31"/>
        <v>0.04</v>
      </c>
      <c r="U40" s="53" t="str">
        <f t="shared" si="16"/>
        <v/>
      </c>
      <c r="V40" s="53" t="str">
        <f t="shared" si="17"/>
        <v/>
      </c>
      <c r="W40" s="53" t="str">
        <f t="shared" si="18"/>
        <v/>
      </c>
      <c r="X40" s="46" t="str">
        <f t="shared" si="5"/>
        <v/>
      </c>
      <c r="Y40" s="54"/>
      <c r="Z40" s="41" t="str">
        <f t="shared" si="19"/>
        <v/>
      </c>
      <c r="AA40" s="41" t="str">
        <f t="shared" si="20"/>
        <v/>
      </c>
      <c r="AB40" s="41" t="str">
        <f t="shared" si="6"/>
        <v/>
      </c>
      <c r="AC40" s="41" t="str">
        <f t="shared" si="7"/>
        <v/>
      </c>
      <c r="AD40" s="54"/>
      <c r="AE40" s="41" t="str">
        <f t="shared" si="8"/>
        <v/>
      </c>
      <c r="AF40" s="41" t="str">
        <f t="shared" si="9"/>
        <v/>
      </c>
      <c r="AG40" s="41" t="str">
        <f t="shared" si="10"/>
        <v/>
      </c>
      <c r="AH40" s="41" t="str">
        <f t="shared" si="21"/>
        <v/>
      </c>
      <c r="AI40" s="41" t="str">
        <f t="shared" si="22"/>
        <v/>
      </c>
      <c r="AJ40" s="41">
        <f t="shared" si="11"/>
        <v>0</v>
      </c>
      <c r="AK40" s="41" t="str">
        <f t="shared" si="12"/>
        <v/>
      </c>
      <c r="AL40" s="41">
        <f t="shared" si="23"/>
        <v>0</v>
      </c>
      <c r="AM40" s="41">
        <f t="shared" si="13"/>
        <v>0</v>
      </c>
      <c r="AN40" s="41" t="str">
        <f t="shared" si="14"/>
        <v/>
      </c>
      <c r="AO40" s="41">
        <f t="shared" si="15"/>
        <v>0</v>
      </c>
      <c r="AP40" s="45"/>
      <c r="AQ40" s="55"/>
      <c r="AR40" s="48"/>
      <c r="AS40" s="48"/>
      <c r="AT40" s="51">
        <f t="shared" si="24"/>
        <v>36</v>
      </c>
      <c r="AU40" s="49" t="str">
        <f t="shared" si="25"/>
        <v/>
      </c>
      <c r="AV40" s="49" t="str">
        <f t="shared" si="26"/>
        <v/>
      </c>
      <c r="AW40" s="50">
        <f xml:space="preserve"> IF(ISERROR(ROUND((1000*NPV($AT$1,$AV41:$AV$124)-$AW$1*($AU41+NPV($AT$1,$AU42:$AU$124)))/AU41,3)), 0, ROUND((1000*NPV($AT$1,$AV41:$AV$124)-$AW$1*($AU41+NPV($AT$1,$AU42:$AU$124)))/AU41,3))</f>
        <v>0</v>
      </c>
      <c r="AX40" s="50">
        <f>IF(ISERROR(ROUND(MAX(0,1000*NPV($AT$2,$AV41:$AV$124)-$AW$2*($AU41+NPV($AT$2,$AU42:$AU$124)))/AU41,3)), 0, ROUND(MAX(0,1000*NPV($AT$2,$AV41:$AV$124)-$AW$2*($AU41+NPV($AT$2,$AU42:$AU$124)))/AU41,3))</f>
        <v>0</v>
      </c>
    </row>
    <row r="41" spans="2:50" ht="15" x14ac:dyDescent="0.25">
      <c r="B41" s="2"/>
      <c r="C41" s="60">
        <v>16</v>
      </c>
      <c r="D41" s="5">
        <v>365.14340051849763</v>
      </c>
      <c r="E41" s="5"/>
      <c r="F41" s="2"/>
      <c r="G41" s="8"/>
      <c r="H41" s="4"/>
      <c r="I41" s="51"/>
      <c r="J41" s="41" t="str">
        <f t="shared" si="27"/>
        <v/>
      </c>
      <c r="K41" s="41" t="str">
        <f t="shared" si="28"/>
        <v/>
      </c>
      <c r="L41" s="42" t="str">
        <f t="shared" si="29"/>
        <v/>
      </c>
      <c r="M41" s="41" t="str">
        <f t="shared" si="30"/>
        <v/>
      </c>
      <c r="N41" s="43">
        <f t="shared" si="1"/>
        <v>0</v>
      </c>
      <c r="O41" s="44">
        <f t="shared" si="2"/>
        <v>0</v>
      </c>
      <c r="P41" s="41" t="str">
        <f t="shared" si="3"/>
        <v/>
      </c>
      <c r="Q41" s="41" t="str">
        <f t="shared" si="4"/>
        <v/>
      </c>
      <c r="R41" s="44"/>
      <c r="S41" s="44" t="str">
        <f>IF(I41&lt;&gt;"",_xlfn.XLOOKUP($D$4+I40+1,#REF!,#REF!,"",0) * 1000,"")</f>
        <v/>
      </c>
      <c r="T41" s="52">
        <f t="shared" si="31"/>
        <v>0.04</v>
      </c>
      <c r="U41" s="53" t="str">
        <f t="shared" si="16"/>
        <v/>
      </c>
      <c r="V41" s="53" t="str">
        <f t="shared" si="17"/>
        <v/>
      </c>
      <c r="W41" s="53" t="str">
        <f t="shared" si="18"/>
        <v/>
      </c>
      <c r="X41" s="46" t="str">
        <f t="shared" si="5"/>
        <v/>
      </c>
      <c r="Y41" s="54"/>
      <c r="Z41" s="41" t="str">
        <f t="shared" si="19"/>
        <v/>
      </c>
      <c r="AA41" s="41" t="str">
        <f t="shared" si="20"/>
        <v/>
      </c>
      <c r="AB41" s="41" t="str">
        <f t="shared" si="6"/>
        <v/>
      </c>
      <c r="AC41" s="41" t="str">
        <f t="shared" si="7"/>
        <v/>
      </c>
      <c r="AD41" s="54"/>
      <c r="AE41" s="41" t="str">
        <f t="shared" si="8"/>
        <v/>
      </c>
      <c r="AF41" s="41" t="str">
        <f t="shared" si="9"/>
        <v/>
      </c>
      <c r="AG41" s="41" t="str">
        <f t="shared" si="10"/>
        <v/>
      </c>
      <c r="AH41" s="41" t="str">
        <f t="shared" si="21"/>
        <v/>
      </c>
      <c r="AI41" s="41" t="str">
        <f t="shared" si="22"/>
        <v/>
      </c>
      <c r="AJ41" s="41">
        <f t="shared" si="11"/>
        <v>0</v>
      </c>
      <c r="AK41" s="41" t="str">
        <f t="shared" si="12"/>
        <v/>
      </c>
      <c r="AL41" s="41">
        <f t="shared" si="23"/>
        <v>0</v>
      </c>
      <c r="AM41" s="41">
        <f t="shared" si="13"/>
        <v>0</v>
      </c>
      <c r="AN41" s="41" t="str">
        <f t="shared" si="14"/>
        <v/>
      </c>
      <c r="AO41" s="41">
        <f t="shared" si="15"/>
        <v>0</v>
      </c>
      <c r="AP41" s="45"/>
      <c r="AQ41" s="55"/>
      <c r="AR41" s="48"/>
      <c r="AS41" s="48"/>
      <c r="AT41" s="51">
        <f t="shared" si="24"/>
        <v>37</v>
      </c>
      <c r="AU41" s="49" t="str">
        <f t="shared" si="25"/>
        <v/>
      </c>
      <c r="AV41" s="49" t="str">
        <f t="shared" si="26"/>
        <v/>
      </c>
      <c r="AW41" s="50">
        <f xml:space="preserve"> IF(ISERROR(ROUND((1000*NPV($AT$1,$AV42:$AV$124)-$AW$1*($AU42+NPV($AT$1,$AU43:$AU$124)))/AU42,3)), 0, ROUND((1000*NPV($AT$1,$AV42:$AV$124)-$AW$1*($AU42+NPV($AT$1,$AU43:$AU$124)))/AU42,3))</f>
        <v>0</v>
      </c>
      <c r="AX41" s="50">
        <f>IF(ISERROR(ROUND(MAX(0,1000*NPV($AT$2,$AV42:$AV$124)-$AW$2*($AU42+NPV($AT$2,$AU43:$AU$124)))/AU42,3)), 0, ROUND(MAX(0,1000*NPV($AT$2,$AV42:$AV$124)-$AW$2*($AU42+NPV($AT$2,$AU43:$AU$124)))/AU42,3))</f>
        <v>0</v>
      </c>
    </row>
    <row r="42" spans="2:50" ht="15" x14ac:dyDescent="0.25">
      <c r="B42" s="2"/>
      <c r="C42" s="60">
        <v>17</v>
      </c>
      <c r="D42" s="5">
        <v>370.72157580253764</v>
      </c>
      <c r="E42" s="5"/>
      <c r="F42" s="2"/>
      <c r="G42" s="8"/>
      <c r="H42" s="4"/>
      <c r="I42" s="51"/>
      <c r="J42" s="41" t="str">
        <f t="shared" si="27"/>
        <v/>
      </c>
      <c r="K42" s="41" t="str">
        <f t="shared" si="28"/>
        <v/>
      </c>
      <c r="L42" s="42" t="str">
        <f t="shared" si="29"/>
        <v/>
      </c>
      <c r="M42" s="41" t="str">
        <f t="shared" si="30"/>
        <v/>
      </c>
      <c r="N42" s="43">
        <f t="shared" si="1"/>
        <v>0</v>
      </c>
      <c r="O42" s="44">
        <f t="shared" si="2"/>
        <v>0</v>
      </c>
      <c r="P42" s="41" t="str">
        <f t="shared" si="3"/>
        <v/>
      </c>
      <c r="Q42" s="41" t="str">
        <f t="shared" si="4"/>
        <v/>
      </c>
      <c r="R42" s="44"/>
      <c r="S42" s="44" t="str">
        <f>IF(I42&lt;&gt;"",_xlfn.XLOOKUP($D$4+I41+1,#REF!,#REF!,"",0) * 1000,"")</f>
        <v/>
      </c>
      <c r="T42" s="52">
        <f t="shared" si="31"/>
        <v>0.04</v>
      </c>
      <c r="U42" s="53" t="str">
        <f t="shared" si="16"/>
        <v/>
      </c>
      <c r="V42" s="53" t="str">
        <f t="shared" si="17"/>
        <v/>
      </c>
      <c r="W42" s="53" t="str">
        <f t="shared" si="18"/>
        <v/>
      </c>
      <c r="X42" s="46" t="str">
        <f t="shared" si="5"/>
        <v/>
      </c>
      <c r="Y42" s="54"/>
      <c r="Z42" s="41" t="str">
        <f t="shared" si="19"/>
        <v/>
      </c>
      <c r="AA42" s="41" t="str">
        <f t="shared" si="20"/>
        <v/>
      </c>
      <c r="AB42" s="41" t="str">
        <f t="shared" si="6"/>
        <v/>
      </c>
      <c r="AC42" s="41" t="str">
        <f t="shared" si="7"/>
        <v/>
      </c>
      <c r="AD42" s="54"/>
      <c r="AE42" s="41" t="str">
        <f t="shared" si="8"/>
        <v/>
      </c>
      <c r="AF42" s="41" t="str">
        <f t="shared" si="9"/>
        <v/>
      </c>
      <c r="AG42" s="41" t="str">
        <f t="shared" si="10"/>
        <v/>
      </c>
      <c r="AH42" s="41" t="str">
        <f t="shared" si="21"/>
        <v/>
      </c>
      <c r="AI42" s="41" t="str">
        <f t="shared" si="22"/>
        <v/>
      </c>
      <c r="AJ42" s="41">
        <f t="shared" si="11"/>
        <v>0</v>
      </c>
      <c r="AK42" s="41" t="str">
        <f t="shared" si="12"/>
        <v/>
      </c>
      <c r="AL42" s="41">
        <f t="shared" si="23"/>
        <v>0</v>
      </c>
      <c r="AM42" s="41">
        <f t="shared" si="13"/>
        <v>0</v>
      </c>
      <c r="AN42" s="41" t="str">
        <f t="shared" si="14"/>
        <v/>
      </c>
      <c r="AO42" s="41">
        <f t="shared" si="15"/>
        <v>0</v>
      </c>
      <c r="AP42" s="45"/>
      <c r="AQ42" s="55"/>
      <c r="AR42" s="48"/>
      <c r="AS42" s="48"/>
      <c r="AT42" s="51">
        <f t="shared" si="24"/>
        <v>38</v>
      </c>
      <c r="AU42" s="49" t="str">
        <f t="shared" si="25"/>
        <v/>
      </c>
      <c r="AV42" s="49" t="str">
        <f t="shared" si="26"/>
        <v/>
      </c>
      <c r="AW42" s="50">
        <f xml:space="preserve"> IF(ISERROR(ROUND((1000*NPV($AT$1,$AV43:$AV$124)-$AW$1*($AU43+NPV($AT$1,$AU44:$AU$124)))/AU43,3)), 0, ROUND((1000*NPV($AT$1,$AV43:$AV$124)-$AW$1*($AU43+NPV($AT$1,$AU44:$AU$124)))/AU43,3))</f>
        <v>0</v>
      </c>
      <c r="AX42" s="50">
        <f>IF(ISERROR(ROUND(MAX(0,1000*NPV($AT$2,$AV43:$AV$124)-$AW$2*($AU43+NPV($AT$2,$AU44:$AU$124)))/AU43,3)), 0, ROUND(MAX(0,1000*NPV($AT$2,$AV43:$AV$124)-$AW$2*($AU43+NPV($AT$2,$AU44:$AU$124)))/AU43,3))</f>
        <v>0</v>
      </c>
    </row>
    <row r="43" spans="2:50" ht="15" x14ac:dyDescent="0.25">
      <c r="B43" s="2"/>
      <c r="C43" s="60">
        <v>18</v>
      </c>
      <c r="D43" s="5">
        <v>377.14669572177002</v>
      </c>
      <c r="E43" s="5"/>
      <c r="F43" s="2"/>
      <c r="G43" s="8"/>
      <c r="H43" s="4"/>
      <c r="I43" s="51"/>
      <c r="J43" s="41" t="str">
        <f t="shared" si="27"/>
        <v/>
      </c>
      <c r="K43" s="41" t="str">
        <f t="shared" si="28"/>
        <v/>
      </c>
      <c r="L43" s="42" t="str">
        <f t="shared" si="29"/>
        <v/>
      </c>
      <c r="M43" s="41" t="str">
        <f t="shared" si="30"/>
        <v/>
      </c>
      <c r="N43" s="43">
        <f t="shared" si="1"/>
        <v>0</v>
      </c>
      <c r="O43" s="44">
        <f t="shared" si="2"/>
        <v>0</v>
      </c>
      <c r="P43" s="41" t="str">
        <f t="shared" si="3"/>
        <v/>
      </c>
      <c r="Q43" s="41" t="str">
        <f t="shared" si="4"/>
        <v/>
      </c>
      <c r="R43" s="44"/>
      <c r="S43" s="44" t="str">
        <f>IF(I43&lt;&gt;"",_xlfn.XLOOKUP($D$4+I42+1,#REF!,#REF!,"",0) * 1000,"")</f>
        <v/>
      </c>
      <c r="T43" s="52">
        <f t="shared" si="31"/>
        <v>0.04</v>
      </c>
      <c r="U43" s="53" t="str">
        <f t="shared" si="16"/>
        <v/>
      </c>
      <c r="V43" s="53" t="str">
        <f t="shared" si="17"/>
        <v/>
      </c>
      <c r="W43" s="53" t="str">
        <f t="shared" si="18"/>
        <v/>
      </c>
      <c r="X43" s="46" t="str">
        <f t="shared" si="5"/>
        <v/>
      </c>
      <c r="Y43" s="54"/>
      <c r="Z43" s="41" t="str">
        <f t="shared" si="19"/>
        <v/>
      </c>
      <c r="AA43" s="41" t="str">
        <f t="shared" si="20"/>
        <v/>
      </c>
      <c r="AB43" s="41" t="str">
        <f t="shared" si="6"/>
        <v/>
      </c>
      <c r="AC43" s="41" t="str">
        <f t="shared" si="7"/>
        <v/>
      </c>
      <c r="AD43" s="54"/>
      <c r="AE43" s="41" t="str">
        <f t="shared" si="8"/>
        <v/>
      </c>
      <c r="AF43" s="41" t="str">
        <f t="shared" si="9"/>
        <v/>
      </c>
      <c r="AG43" s="41" t="str">
        <f t="shared" si="10"/>
        <v/>
      </c>
      <c r="AH43" s="41" t="str">
        <f t="shared" si="21"/>
        <v/>
      </c>
      <c r="AI43" s="41" t="str">
        <f t="shared" si="22"/>
        <v/>
      </c>
      <c r="AJ43" s="41">
        <f t="shared" si="11"/>
        <v>0</v>
      </c>
      <c r="AK43" s="41" t="str">
        <f t="shared" si="12"/>
        <v/>
      </c>
      <c r="AL43" s="41">
        <f t="shared" si="23"/>
        <v>0</v>
      </c>
      <c r="AM43" s="41">
        <f t="shared" si="13"/>
        <v>0</v>
      </c>
      <c r="AN43" s="41" t="str">
        <f t="shared" si="14"/>
        <v/>
      </c>
      <c r="AO43" s="41">
        <f t="shared" si="15"/>
        <v>0</v>
      </c>
      <c r="AP43" s="45"/>
      <c r="AQ43" s="55"/>
      <c r="AR43" s="48"/>
      <c r="AS43" s="48"/>
      <c r="AT43" s="51">
        <f t="shared" si="24"/>
        <v>39</v>
      </c>
      <c r="AU43" s="49" t="str">
        <f t="shared" si="25"/>
        <v/>
      </c>
      <c r="AV43" s="49" t="str">
        <f t="shared" si="26"/>
        <v/>
      </c>
      <c r="AW43" s="50">
        <f xml:space="preserve"> IF(ISERROR(ROUND((1000*NPV($AT$1,$AV44:$AV$124)-$AW$1*($AU44+NPV($AT$1,$AU45:$AU$124)))/AU44,3)), 0, ROUND((1000*NPV($AT$1,$AV44:$AV$124)-$AW$1*($AU44+NPV($AT$1,$AU45:$AU$124)))/AU44,3))</f>
        <v>0</v>
      </c>
      <c r="AX43" s="50">
        <f>IF(ISERROR(ROUND(MAX(0,1000*NPV($AT$2,$AV44:$AV$124)-$AW$2*($AU44+NPV($AT$2,$AU45:$AU$124)))/AU44,3)), 0, ROUND(MAX(0,1000*NPV($AT$2,$AV44:$AV$124)-$AW$2*($AU44+NPV($AT$2,$AU45:$AU$124)))/AU44,3))</f>
        <v>0</v>
      </c>
    </row>
    <row r="44" spans="2:50" ht="15" x14ac:dyDescent="0.25">
      <c r="B44" s="2"/>
      <c r="C44" s="60">
        <v>19</v>
      </c>
      <c r="D44" s="5">
        <v>384.53039349973534</v>
      </c>
      <c r="E44" s="5"/>
      <c r="F44" s="2"/>
      <c r="G44" s="8"/>
      <c r="H44" s="4"/>
      <c r="I44" s="51"/>
      <c r="J44" s="41" t="str">
        <f t="shared" si="27"/>
        <v/>
      </c>
      <c r="K44" s="41" t="str">
        <f t="shared" si="28"/>
        <v/>
      </c>
      <c r="L44" s="42" t="str">
        <f t="shared" si="29"/>
        <v/>
      </c>
      <c r="M44" s="41" t="str">
        <f t="shared" si="30"/>
        <v/>
      </c>
      <c r="N44" s="43">
        <f t="shared" si="1"/>
        <v>0</v>
      </c>
      <c r="O44" s="44">
        <f t="shared" si="2"/>
        <v>0</v>
      </c>
      <c r="P44" s="41" t="str">
        <f t="shared" si="3"/>
        <v/>
      </c>
      <c r="Q44" s="41" t="str">
        <f t="shared" si="4"/>
        <v/>
      </c>
      <c r="R44" s="44"/>
      <c r="S44" s="44" t="str">
        <f>IF(I44&lt;&gt;"",_xlfn.XLOOKUP($D$4+I43+1,#REF!,#REF!,"",0) * 1000,"")</f>
        <v/>
      </c>
      <c r="T44" s="52">
        <f t="shared" si="31"/>
        <v>0.04</v>
      </c>
      <c r="U44" s="53" t="str">
        <f t="shared" si="16"/>
        <v/>
      </c>
      <c r="V44" s="53" t="str">
        <f t="shared" si="17"/>
        <v/>
      </c>
      <c r="W44" s="53" t="str">
        <f t="shared" si="18"/>
        <v/>
      </c>
      <c r="X44" s="46" t="str">
        <f t="shared" si="5"/>
        <v/>
      </c>
      <c r="Y44" s="54"/>
      <c r="Z44" s="41" t="str">
        <f t="shared" si="19"/>
        <v/>
      </c>
      <c r="AA44" s="41" t="str">
        <f t="shared" si="20"/>
        <v/>
      </c>
      <c r="AB44" s="41" t="str">
        <f t="shared" si="6"/>
        <v/>
      </c>
      <c r="AC44" s="41" t="str">
        <f t="shared" si="7"/>
        <v/>
      </c>
      <c r="AD44" s="54"/>
      <c r="AE44" s="41" t="str">
        <f t="shared" si="8"/>
        <v/>
      </c>
      <c r="AF44" s="41" t="str">
        <f t="shared" si="9"/>
        <v/>
      </c>
      <c r="AG44" s="41" t="str">
        <f t="shared" si="10"/>
        <v/>
      </c>
      <c r="AH44" s="41" t="str">
        <f t="shared" si="21"/>
        <v/>
      </c>
      <c r="AI44" s="41" t="str">
        <f t="shared" si="22"/>
        <v/>
      </c>
      <c r="AJ44" s="41">
        <f t="shared" si="11"/>
        <v>0</v>
      </c>
      <c r="AK44" s="41" t="str">
        <f t="shared" si="12"/>
        <v/>
      </c>
      <c r="AL44" s="41">
        <f t="shared" si="23"/>
        <v>0</v>
      </c>
      <c r="AM44" s="41">
        <f t="shared" si="13"/>
        <v>0</v>
      </c>
      <c r="AN44" s="41" t="str">
        <f t="shared" si="14"/>
        <v/>
      </c>
      <c r="AO44" s="41">
        <f t="shared" si="15"/>
        <v>0</v>
      </c>
      <c r="AP44" s="45"/>
      <c r="AQ44" s="55"/>
      <c r="AR44" s="48"/>
      <c r="AS44" s="48"/>
      <c r="AT44" s="51">
        <f t="shared" si="24"/>
        <v>40</v>
      </c>
      <c r="AU44" s="49" t="str">
        <f t="shared" si="25"/>
        <v/>
      </c>
      <c r="AV44" s="49" t="str">
        <f t="shared" si="26"/>
        <v/>
      </c>
      <c r="AW44" s="50">
        <f xml:space="preserve"> IF(ISERROR(ROUND((1000*NPV($AT$1,$AV45:$AV$124)-$AW$1*($AU45+NPV($AT$1,$AU46:$AU$124)))/AU45,3)), 0, ROUND((1000*NPV($AT$1,$AV45:$AV$124)-$AW$1*($AU45+NPV($AT$1,$AU46:$AU$124)))/AU45,3))</f>
        <v>0</v>
      </c>
      <c r="AX44" s="50">
        <f>IF(ISERROR(ROUND(MAX(0,1000*NPV($AT$2,$AV45:$AV$124)-$AW$2*($AU45+NPV($AT$2,$AU46:$AU$124)))/AU45,3)), 0, ROUND(MAX(0,1000*NPV($AT$2,$AV45:$AV$124)-$AW$2*($AU45+NPV($AT$2,$AU46:$AU$124)))/AU45,3))</f>
        <v>0</v>
      </c>
    </row>
    <row r="45" spans="2:50" ht="15" x14ac:dyDescent="0.25">
      <c r="B45" s="2"/>
      <c r="C45" s="60">
        <v>20</v>
      </c>
      <c r="D45" s="5">
        <v>392.94220230934155</v>
      </c>
      <c r="E45" s="5"/>
      <c r="F45" s="2"/>
      <c r="G45" s="8"/>
      <c r="H45" s="4"/>
      <c r="I45" s="51"/>
      <c r="J45" s="41" t="str">
        <f t="shared" si="27"/>
        <v/>
      </c>
      <c r="K45" s="41" t="str">
        <f t="shared" si="28"/>
        <v/>
      </c>
      <c r="L45" s="42" t="str">
        <f t="shared" si="29"/>
        <v/>
      </c>
      <c r="M45" s="41" t="str">
        <f t="shared" si="30"/>
        <v/>
      </c>
      <c r="N45" s="43">
        <f t="shared" si="1"/>
        <v>0</v>
      </c>
      <c r="O45" s="44">
        <f t="shared" si="2"/>
        <v>0</v>
      </c>
      <c r="P45" s="41" t="str">
        <f t="shared" si="3"/>
        <v/>
      </c>
      <c r="Q45" s="41" t="str">
        <f t="shared" si="4"/>
        <v/>
      </c>
      <c r="R45" s="44"/>
      <c r="S45" s="44" t="str">
        <f>IF(I45&lt;&gt;"",_xlfn.XLOOKUP($D$4+I44+1,#REF!,#REF!,"",0) * 1000,"")</f>
        <v/>
      </c>
      <c r="T45" s="52">
        <f t="shared" si="31"/>
        <v>0.04</v>
      </c>
      <c r="U45" s="53" t="str">
        <f t="shared" si="16"/>
        <v/>
      </c>
      <c r="V45" s="53" t="str">
        <f t="shared" si="17"/>
        <v/>
      </c>
      <c r="W45" s="53" t="str">
        <f t="shared" si="18"/>
        <v/>
      </c>
      <c r="X45" s="46" t="str">
        <f t="shared" si="5"/>
        <v/>
      </c>
      <c r="Y45" s="54"/>
      <c r="Z45" s="41" t="str">
        <f t="shared" si="19"/>
        <v/>
      </c>
      <c r="AA45" s="41" t="str">
        <f t="shared" si="20"/>
        <v/>
      </c>
      <c r="AB45" s="41" t="str">
        <f t="shared" si="6"/>
        <v/>
      </c>
      <c r="AC45" s="41" t="str">
        <f t="shared" si="7"/>
        <v/>
      </c>
      <c r="AD45" s="54"/>
      <c r="AE45" s="41" t="str">
        <f t="shared" si="8"/>
        <v/>
      </c>
      <c r="AF45" s="41" t="str">
        <f t="shared" si="9"/>
        <v/>
      </c>
      <c r="AG45" s="41" t="str">
        <f t="shared" si="10"/>
        <v/>
      </c>
      <c r="AH45" s="41" t="str">
        <f t="shared" si="21"/>
        <v/>
      </c>
      <c r="AI45" s="41" t="str">
        <f t="shared" si="22"/>
        <v/>
      </c>
      <c r="AJ45" s="41">
        <f t="shared" si="11"/>
        <v>0</v>
      </c>
      <c r="AK45" s="41" t="str">
        <f t="shared" si="12"/>
        <v/>
      </c>
      <c r="AL45" s="41">
        <f t="shared" si="23"/>
        <v>0</v>
      </c>
      <c r="AM45" s="41">
        <f t="shared" si="13"/>
        <v>0</v>
      </c>
      <c r="AN45" s="41" t="str">
        <f t="shared" si="14"/>
        <v/>
      </c>
      <c r="AO45" s="41">
        <f t="shared" si="15"/>
        <v>0</v>
      </c>
      <c r="AP45" s="45"/>
      <c r="AQ45" s="55"/>
      <c r="AR45" s="48"/>
      <c r="AS45" s="48"/>
      <c r="AT45" s="51">
        <f t="shared" si="24"/>
        <v>41</v>
      </c>
      <c r="AU45" s="49" t="str">
        <f t="shared" si="25"/>
        <v/>
      </c>
      <c r="AV45" s="49" t="str">
        <f t="shared" si="26"/>
        <v/>
      </c>
      <c r="AW45" s="50">
        <f xml:space="preserve"> IF(ISERROR(ROUND((1000*NPV($AT$1,$AV46:$AV$124)-$AW$1*($AU46+NPV($AT$1,$AU47:$AU$124)))/AU46,3)), 0, ROUND((1000*NPV($AT$1,$AV46:$AV$124)-$AW$1*($AU46+NPV($AT$1,$AU47:$AU$124)))/AU46,3))</f>
        <v>0</v>
      </c>
      <c r="AX45" s="50">
        <f>IF(ISERROR(ROUND(MAX(0,1000*NPV($AT$2,$AV46:$AV$124)-$AW$2*($AU46+NPV($AT$2,$AU47:$AU$124)))/AU46,3)), 0, ROUND(MAX(0,1000*NPV($AT$2,$AV46:$AV$124)-$AW$2*($AU46+NPV($AT$2,$AU47:$AU$124)))/AU46,3))</f>
        <v>0</v>
      </c>
    </row>
    <row r="46" spans="2:50" ht="15" x14ac:dyDescent="0.25">
      <c r="B46" s="2"/>
      <c r="C46" s="60">
        <v>21</v>
      </c>
      <c r="D46" s="5">
        <v>402.38185224323519</v>
      </c>
      <c r="E46" s="5"/>
      <c r="F46" s="2"/>
      <c r="G46" s="8"/>
      <c r="H46" s="4"/>
      <c r="I46" s="51"/>
      <c r="J46" s="41" t="str">
        <f t="shared" si="27"/>
        <v/>
      </c>
      <c r="K46" s="41" t="str">
        <f t="shared" si="28"/>
        <v/>
      </c>
      <c r="L46" s="42" t="str">
        <f t="shared" si="29"/>
        <v/>
      </c>
      <c r="M46" s="41" t="str">
        <f t="shared" si="30"/>
        <v/>
      </c>
      <c r="N46" s="43">
        <f t="shared" si="1"/>
        <v>0</v>
      </c>
      <c r="O46" s="44">
        <f t="shared" si="2"/>
        <v>0</v>
      </c>
      <c r="P46" s="41" t="str">
        <f t="shared" si="3"/>
        <v/>
      </c>
      <c r="Q46" s="41" t="str">
        <f t="shared" si="4"/>
        <v/>
      </c>
      <c r="R46" s="44"/>
      <c r="S46" s="44" t="str">
        <f>IF(I46&lt;&gt;"",_xlfn.XLOOKUP($D$4+I45+1,#REF!,#REF!,"",0) * 1000,"")</f>
        <v/>
      </c>
      <c r="T46" s="52">
        <f t="shared" si="31"/>
        <v>0.04</v>
      </c>
      <c r="U46" s="53" t="str">
        <f t="shared" si="16"/>
        <v/>
      </c>
      <c r="V46" s="53" t="str">
        <f t="shared" si="17"/>
        <v/>
      </c>
      <c r="W46" s="53" t="str">
        <f t="shared" si="18"/>
        <v/>
      </c>
      <c r="X46" s="46" t="str">
        <f t="shared" si="5"/>
        <v/>
      </c>
      <c r="Y46" s="54"/>
      <c r="Z46" s="41" t="str">
        <f t="shared" si="19"/>
        <v/>
      </c>
      <c r="AA46" s="41" t="str">
        <f t="shared" si="20"/>
        <v/>
      </c>
      <c r="AB46" s="41" t="str">
        <f t="shared" si="6"/>
        <v/>
      </c>
      <c r="AC46" s="41" t="str">
        <f t="shared" si="7"/>
        <v/>
      </c>
      <c r="AD46" s="54"/>
      <c r="AE46" s="41" t="str">
        <f t="shared" si="8"/>
        <v/>
      </c>
      <c r="AF46" s="41" t="str">
        <f t="shared" si="9"/>
        <v/>
      </c>
      <c r="AG46" s="41" t="str">
        <f t="shared" si="10"/>
        <v/>
      </c>
      <c r="AH46" s="41" t="str">
        <f t="shared" si="21"/>
        <v/>
      </c>
      <c r="AI46" s="41" t="str">
        <f t="shared" si="22"/>
        <v/>
      </c>
      <c r="AJ46" s="41">
        <f t="shared" si="11"/>
        <v>0</v>
      </c>
      <c r="AK46" s="41" t="str">
        <f t="shared" si="12"/>
        <v/>
      </c>
      <c r="AL46" s="41">
        <f t="shared" si="23"/>
        <v>0</v>
      </c>
      <c r="AM46" s="41">
        <f t="shared" si="13"/>
        <v>0</v>
      </c>
      <c r="AN46" s="41" t="str">
        <f t="shared" si="14"/>
        <v/>
      </c>
      <c r="AO46" s="41">
        <f t="shared" si="15"/>
        <v>0</v>
      </c>
      <c r="AP46" s="45"/>
      <c r="AQ46" s="55"/>
      <c r="AR46" s="48"/>
      <c r="AS46" s="48"/>
      <c r="AT46" s="51">
        <f t="shared" si="24"/>
        <v>42</v>
      </c>
      <c r="AU46" s="49" t="str">
        <f t="shared" si="25"/>
        <v/>
      </c>
      <c r="AV46" s="49" t="str">
        <f t="shared" si="26"/>
        <v/>
      </c>
      <c r="AW46" s="50">
        <f xml:space="preserve"> IF(ISERROR(ROUND((1000*NPV($AT$1,$AV47:$AV$124)-$AW$1*($AU47+NPV($AT$1,$AU48:$AU$124)))/AU47,3)), 0, ROUND((1000*NPV($AT$1,$AV47:$AV$124)-$AW$1*($AU47+NPV($AT$1,$AU48:$AU$124)))/AU47,3))</f>
        <v>0</v>
      </c>
      <c r="AX46" s="50">
        <f>IF(ISERROR(ROUND(MAX(0,1000*NPV($AT$2,$AV47:$AV$124)-$AW$2*($AU47+NPV($AT$2,$AU48:$AU$124)))/AU47,3)), 0, ROUND(MAX(0,1000*NPV($AT$2,$AV47:$AV$124)-$AW$2*($AU47+NPV($AT$2,$AU48:$AU$124)))/AU47,3))</f>
        <v>0</v>
      </c>
    </row>
    <row r="47" spans="2:50" ht="15" x14ac:dyDescent="0.25">
      <c r="B47" s="2"/>
      <c r="C47" s="60">
        <v>22</v>
      </c>
      <c r="D47" s="5">
        <v>412.91932438582182</v>
      </c>
      <c r="E47" s="5"/>
      <c r="F47" s="2"/>
      <c r="G47" s="8"/>
      <c r="H47" s="4"/>
      <c r="I47" s="51"/>
      <c r="J47" s="41" t="str">
        <f t="shared" si="27"/>
        <v/>
      </c>
      <c r="K47" s="41" t="str">
        <f t="shared" si="28"/>
        <v/>
      </c>
      <c r="L47" s="42" t="str">
        <f t="shared" si="29"/>
        <v/>
      </c>
      <c r="M47" s="41" t="str">
        <f t="shared" si="30"/>
        <v/>
      </c>
      <c r="N47" s="43">
        <f t="shared" si="1"/>
        <v>0</v>
      </c>
      <c r="O47" s="44">
        <f t="shared" si="2"/>
        <v>0</v>
      </c>
      <c r="P47" s="41" t="str">
        <f t="shared" si="3"/>
        <v/>
      </c>
      <c r="Q47" s="41" t="str">
        <f t="shared" si="4"/>
        <v/>
      </c>
      <c r="R47" s="44"/>
      <c r="S47" s="44" t="str">
        <f>IF(I47&lt;&gt;"",_xlfn.XLOOKUP($D$4+I46+1,#REF!,#REF!,"",0) * 1000,"")</f>
        <v/>
      </c>
      <c r="T47" s="52">
        <f t="shared" si="31"/>
        <v>0.04</v>
      </c>
      <c r="U47" s="53" t="str">
        <f t="shared" si="16"/>
        <v/>
      </c>
      <c r="V47" s="53" t="str">
        <f t="shared" si="17"/>
        <v/>
      </c>
      <c r="W47" s="53" t="str">
        <f t="shared" si="18"/>
        <v/>
      </c>
      <c r="X47" s="46" t="str">
        <f t="shared" si="5"/>
        <v/>
      </c>
      <c r="Y47" s="54"/>
      <c r="Z47" s="41" t="str">
        <f t="shared" si="19"/>
        <v/>
      </c>
      <c r="AA47" s="41" t="str">
        <f t="shared" si="20"/>
        <v/>
      </c>
      <c r="AB47" s="41" t="str">
        <f t="shared" si="6"/>
        <v/>
      </c>
      <c r="AC47" s="41" t="str">
        <f t="shared" si="7"/>
        <v/>
      </c>
      <c r="AD47" s="54"/>
      <c r="AE47" s="41" t="str">
        <f t="shared" si="8"/>
        <v/>
      </c>
      <c r="AF47" s="41" t="str">
        <f t="shared" si="9"/>
        <v/>
      </c>
      <c r="AG47" s="41" t="str">
        <f t="shared" si="10"/>
        <v/>
      </c>
      <c r="AH47" s="41" t="str">
        <f t="shared" si="21"/>
        <v/>
      </c>
      <c r="AI47" s="41" t="str">
        <f t="shared" si="22"/>
        <v/>
      </c>
      <c r="AJ47" s="41">
        <f t="shared" si="11"/>
        <v>0</v>
      </c>
      <c r="AK47" s="41" t="str">
        <f t="shared" si="12"/>
        <v/>
      </c>
      <c r="AL47" s="41">
        <f t="shared" si="23"/>
        <v>0</v>
      </c>
      <c r="AM47" s="41">
        <f t="shared" si="13"/>
        <v>0</v>
      </c>
      <c r="AN47" s="41" t="str">
        <f t="shared" si="14"/>
        <v/>
      </c>
      <c r="AO47" s="41">
        <f t="shared" si="15"/>
        <v>0</v>
      </c>
      <c r="AP47" s="45"/>
      <c r="AQ47" s="55"/>
      <c r="AR47" s="48"/>
      <c r="AS47" s="48"/>
      <c r="AT47" s="51">
        <f t="shared" si="24"/>
        <v>43</v>
      </c>
      <c r="AU47" s="49" t="str">
        <f t="shared" si="25"/>
        <v/>
      </c>
      <c r="AV47" s="49" t="str">
        <f t="shared" si="26"/>
        <v/>
      </c>
      <c r="AW47" s="50">
        <f xml:space="preserve"> IF(ISERROR(ROUND((1000*NPV($AT$1,$AV48:$AV$124)-$AW$1*($AU48+NPV($AT$1,$AU49:$AU$124)))/AU48,3)), 0, ROUND((1000*NPV($AT$1,$AV48:$AV$124)-$AW$1*($AU48+NPV($AT$1,$AU49:$AU$124)))/AU48,3))</f>
        <v>0</v>
      </c>
      <c r="AX47" s="50">
        <f>IF(ISERROR(ROUND(MAX(0,1000*NPV($AT$2,$AV48:$AV$124)-$AW$2*($AU48+NPV($AT$2,$AU49:$AU$124)))/AU48,3)), 0, ROUND(MAX(0,1000*NPV($AT$2,$AV48:$AV$124)-$AW$2*($AU48+NPV($AT$2,$AU49:$AU$124)))/AU48,3))</f>
        <v>0</v>
      </c>
    </row>
    <row r="48" spans="2:50" ht="15" x14ac:dyDescent="0.25">
      <c r="B48" s="2"/>
      <c r="C48" s="60">
        <v>23</v>
      </c>
      <c r="D48" s="5">
        <v>424.47750431896611</v>
      </c>
      <c r="E48" s="5"/>
      <c r="F48" s="2"/>
      <c r="G48" s="8"/>
      <c r="H48" s="4"/>
      <c r="I48" s="51"/>
      <c r="J48" s="41" t="str">
        <f t="shared" si="27"/>
        <v/>
      </c>
      <c r="K48" s="41" t="str">
        <f t="shared" si="28"/>
        <v/>
      </c>
      <c r="L48" s="42" t="str">
        <f t="shared" si="29"/>
        <v/>
      </c>
      <c r="M48" s="41" t="str">
        <f t="shared" si="30"/>
        <v/>
      </c>
      <c r="N48" s="43">
        <f t="shared" si="1"/>
        <v>0</v>
      </c>
      <c r="O48" s="44">
        <f t="shared" si="2"/>
        <v>0</v>
      </c>
      <c r="P48" s="41" t="str">
        <f t="shared" si="3"/>
        <v/>
      </c>
      <c r="Q48" s="41" t="str">
        <f t="shared" si="4"/>
        <v/>
      </c>
      <c r="R48" s="44"/>
      <c r="S48" s="44" t="str">
        <f>IF(I48&lt;&gt;"",_xlfn.XLOOKUP($D$4+I47+1,#REF!,#REF!,"",0) * 1000,"")</f>
        <v/>
      </c>
      <c r="T48" s="52">
        <f t="shared" si="31"/>
        <v>0.04</v>
      </c>
      <c r="U48" s="53" t="str">
        <f t="shared" si="16"/>
        <v/>
      </c>
      <c r="V48" s="53" t="str">
        <f t="shared" si="17"/>
        <v/>
      </c>
      <c r="W48" s="53" t="str">
        <f t="shared" si="18"/>
        <v/>
      </c>
      <c r="X48" s="46" t="str">
        <f t="shared" si="5"/>
        <v/>
      </c>
      <c r="Y48" s="54"/>
      <c r="Z48" s="41" t="str">
        <f t="shared" si="19"/>
        <v/>
      </c>
      <c r="AA48" s="41" t="str">
        <f t="shared" si="20"/>
        <v/>
      </c>
      <c r="AB48" s="41" t="str">
        <f t="shared" si="6"/>
        <v/>
      </c>
      <c r="AC48" s="41" t="str">
        <f t="shared" si="7"/>
        <v/>
      </c>
      <c r="AD48" s="54"/>
      <c r="AE48" s="41" t="str">
        <f t="shared" si="8"/>
        <v/>
      </c>
      <c r="AF48" s="41" t="str">
        <f t="shared" si="9"/>
        <v/>
      </c>
      <c r="AG48" s="41" t="str">
        <f t="shared" si="10"/>
        <v/>
      </c>
      <c r="AH48" s="41" t="str">
        <f t="shared" si="21"/>
        <v/>
      </c>
      <c r="AI48" s="41" t="str">
        <f t="shared" si="22"/>
        <v/>
      </c>
      <c r="AJ48" s="41">
        <f t="shared" si="11"/>
        <v>0</v>
      </c>
      <c r="AK48" s="41" t="str">
        <f t="shared" si="12"/>
        <v/>
      </c>
      <c r="AL48" s="41">
        <f t="shared" si="23"/>
        <v>0</v>
      </c>
      <c r="AM48" s="41">
        <f t="shared" si="13"/>
        <v>0</v>
      </c>
      <c r="AN48" s="41" t="str">
        <f t="shared" si="14"/>
        <v/>
      </c>
      <c r="AO48" s="41">
        <f t="shared" si="15"/>
        <v>0</v>
      </c>
      <c r="AP48" s="45"/>
      <c r="AQ48" s="55"/>
      <c r="AR48" s="48"/>
      <c r="AS48" s="48"/>
      <c r="AT48" s="51">
        <f t="shared" si="24"/>
        <v>44</v>
      </c>
      <c r="AU48" s="49" t="str">
        <f t="shared" si="25"/>
        <v/>
      </c>
      <c r="AV48" s="49" t="str">
        <f t="shared" si="26"/>
        <v/>
      </c>
      <c r="AW48" s="50">
        <f xml:space="preserve"> IF(ISERROR(ROUND((1000*NPV($AT$1,$AV49:$AV$124)-$AW$1*($AU49+NPV($AT$1,$AU50:$AU$124)))/AU49,3)), 0, ROUND((1000*NPV($AT$1,$AV49:$AV$124)-$AW$1*($AU49+NPV($AT$1,$AU50:$AU$124)))/AU49,3))</f>
        <v>0</v>
      </c>
      <c r="AX48" s="50">
        <f>IF(ISERROR(ROUND(MAX(0,1000*NPV($AT$2,$AV49:$AV$124)-$AW$2*($AU49+NPV($AT$2,$AU50:$AU$124)))/AU49,3)), 0, ROUND(MAX(0,1000*NPV($AT$2,$AV49:$AV$124)-$AW$2*($AU49+NPV($AT$2,$AU50:$AU$124)))/AU49,3))</f>
        <v>0</v>
      </c>
    </row>
    <row r="49" spans="2:50" ht="15" x14ac:dyDescent="0.25">
      <c r="B49" s="2"/>
      <c r="C49" s="60">
        <v>24</v>
      </c>
      <c r="D49">
        <v>437.11618617421402</v>
      </c>
      <c r="F49" s="2"/>
      <c r="G49" s="8"/>
      <c r="I49" s="51"/>
      <c r="J49" s="41" t="str">
        <f t="shared" si="27"/>
        <v/>
      </c>
      <c r="K49" s="41" t="str">
        <f t="shared" si="28"/>
        <v/>
      </c>
      <c r="L49" s="42" t="str">
        <f t="shared" si="29"/>
        <v/>
      </c>
      <c r="M49" s="41" t="str">
        <f t="shared" si="30"/>
        <v/>
      </c>
      <c r="N49" s="43">
        <f t="shared" si="1"/>
        <v>0</v>
      </c>
      <c r="O49" s="44">
        <f t="shared" si="2"/>
        <v>0</v>
      </c>
      <c r="P49" s="41" t="str">
        <f t="shared" si="3"/>
        <v/>
      </c>
      <c r="Q49" s="41" t="str">
        <f t="shared" si="4"/>
        <v/>
      </c>
      <c r="R49" s="44"/>
      <c r="S49" s="44" t="str">
        <f>IF(I49&lt;&gt;"",_xlfn.XLOOKUP($D$4+I48+1,#REF!,#REF!,"",0) * 1000,"")</f>
        <v/>
      </c>
      <c r="T49" s="52">
        <f t="shared" si="31"/>
        <v>0.04</v>
      </c>
      <c r="U49" s="53" t="str">
        <f t="shared" si="16"/>
        <v/>
      </c>
      <c r="V49" s="53" t="str">
        <f t="shared" si="17"/>
        <v/>
      </c>
      <c r="W49" s="53" t="str">
        <f t="shared" si="18"/>
        <v/>
      </c>
      <c r="X49" s="46" t="str">
        <f t="shared" si="5"/>
        <v/>
      </c>
      <c r="Y49" s="54"/>
      <c r="Z49" s="41" t="str">
        <f t="shared" si="19"/>
        <v/>
      </c>
      <c r="AA49" s="41" t="str">
        <f t="shared" si="20"/>
        <v/>
      </c>
      <c r="AB49" s="41" t="str">
        <f t="shared" si="6"/>
        <v/>
      </c>
      <c r="AC49" s="41" t="str">
        <f t="shared" si="7"/>
        <v/>
      </c>
      <c r="AD49" s="54"/>
      <c r="AE49" s="41" t="str">
        <f t="shared" si="8"/>
        <v/>
      </c>
      <c r="AF49" s="41" t="str">
        <f t="shared" si="9"/>
        <v/>
      </c>
      <c r="AG49" s="41" t="str">
        <f t="shared" si="10"/>
        <v/>
      </c>
      <c r="AH49" s="41" t="str">
        <f t="shared" si="21"/>
        <v/>
      </c>
      <c r="AI49" s="41" t="str">
        <f t="shared" si="22"/>
        <v/>
      </c>
      <c r="AJ49" s="41">
        <f t="shared" si="11"/>
        <v>0</v>
      </c>
      <c r="AK49" s="41" t="str">
        <f t="shared" si="12"/>
        <v/>
      </c>
      <c r="AL49" s="41">
        <f t="shared" si="23"/>
        <v>0</v>
      </c>
      <c r="AM49" s="41">
        <f t="shared" si="13"/>
        <v>0</v>
      </c>
      <c r="AN49" s="41" t="str">
        <f t="shared" si="14"/>
        <v/>
      </c>
      <c r="AO49" s="41">
        <f t="shared" si="15"/>
        <v>0</v>
      </c>
      <c r="AP49" s="45"/>
      <c r="AQ49" s="45"/>
      <c r="AR49" s="48"/>
      <c r="AS49" s="48"/>
      <c r="AT49" s="51">
        <f t="shared" si="24"/>
        <v>45</v>
      </c>
      <c r="AU49" s="49" t="str">
        <f t="shared" si="25"/>
        <v/>
      </c>
      <c r="AV49" s="49" t="str">
        <f t="shared" si="26"/>
        <v/>
      </c>
      <c r="AW49" s="50">
        <f xml:space="preserve"> IF(ISERROR(ROUND((1000*NPV($AT$1,$AV50:$AV$124)-$AW$1*($AU50+NPV($AT$1,$AU51:$AU$124)))/AU50,3)), 0, ROUND((1000*NPV($AT$1,$AV50:$AV$124)-$AW$1*($AU50+NPV($AT$1,$AU51:$AU$124)))/AU50,3))</f>
        <v>0</v>
      </c>
      <c r="AX49" s="50">
        <f>IF(ISERROR(ROUND(MAX(0,1000*NPV($AT$2,$AV50:$AV$124)-$AW$2*($AU50+NPV($AT$2,$AU51:$AU$124)))/AU50,3)), 0, ROUND(MAX(0,1000*NPV($AT$2,$AV50:$AV$124)-$AW$2*($AU50+NPV($AT$2,$AU51:$AU$124)))/AU50,3))</f>
        <v>0</v>
      </c>
    </row>
    <row r="50" spans="2:50" ht="15" x14ac:dyDescent="0.25">
      <c r="B50" s="2"/>
      <c r="C50" s="60">
        <v>25</v>
      </c>
      <c r="D50">
        <v>450.81034474586045</v>
      </c>
      <c r="F50" s="2"/>
      <c r="G50" s="8"/>
      <c r="I50" s="51"/>
      <c r="J50" s="41" t="str">
        <f t="shared" si="27"/>
        <v/>
      </c>
      <c r="K50" s="41" t="str">
        <f t="shared" si="28"/>
        <v/>
      </c>
      <c r="L50" s="42" t="str">
        <f t="shared" si="29"/>
        <v/>
      </c>
      <c r="M50" s="41" t="str">
        <f t="shared" si="30"/>
        <v/>
      </c>
      <c r="N50" s="43">
        <f t="shared" si="1"/>
        <v>0</v>
      </c>
      <c r="O50" s="44">
        <f t="shared" si="2"/>
        <v>0</v>
      </c>
      <c r="P50" s="41" t="str">
        <f t="shared" si="3"/>
        <v/>
      </c>
      <c r="Q50" s="41" t="str">
        <f t="shared" si="4"/>
        <v/>
      </c>
      <c r="R50" s="44"/>
      <c r="S50" s="44" t="str">
        <f>IF(I50&lt;&gt;"",_xlfn.XLOOKUP($D$4+I49+1,#REF!,#REF!,"",0) * 1000,"")</f>
        <v/>
      </c>
      <c r="T50" s="52">
        <f t="shared" si="31"/>
        <v>0.04</v>
      </c>
      <c r="U50" s="53" t="str">
        <f t="shared" si="16"/>
        <v/>
      </c>
      <c r="V50" s="53" t="str">
        <f t="shared" si="17"/>
        <v/>
      </c>
      <c r="W50" s="53" t="str">
        <f t="shared" si="18"/>
        <v/>
      </c>
      <c r="X50" s="46" t="str">
        <f t="shared" si="5"/>
        <v/>
      </c>
      <c r="Y50" s="54"/>
      <c r="Z50" s="41" t="str">
        <f t="shared" si="19"/>
        <v/>
      </c>
      <c r="AA50" s="41" t="str">
        <f t="shared" si="20"/>
        <v/>
      </c>
      <c r="AB50" s="41" t="str">
        <f t="shared" si="6"/>
        <v/>
      </c>
      <c r="AC50" s="41" t="str">
        <f t="shared" si="7"/>
        <v/>
      </c>
      <c r="AD50" s="54"/>
      <c r="AE50" s="41" t="str">
        <f t="shared" si="8"/>
        <v/>
      </c>
      <c r="AF50" s="41" t="str">
        <f t="shared" si="9"/>
        <v/>
      </c>
      <c r="AG50" s="41" t="str">
        <f t="shared" si="10"/>
        <v/>
      </c>
      <c r="AH50" s="41" t="str">
        <f t="shared" si="21"/>
        <v/>
      </c>
      <c r="AI50" s="41" t="str">
        <f t="shared" si="22"/>
        <v/>
      </c>
      <c r="AJ50" s="41">
        <f t="shared" si="11"/>
        <v>0</v>
      </c>
      <c r="AK50" s="41" t="str">
        <f t="shared" si="12"/>
        <v/>
      </c>
      <c r="AL50" s="41">
        <f t="shared" si="23"/>
        <v>0</v>
      </c>
      <c r="AM50" s="41">
        <f t="shared" si="13"/>
        <v>0</v>
      </c>
      <c r="AN50" s="41" t="str">
        <f t="shared" si="14"/>
        <v/>
      </c>
      <c r="AO50" s="41">
        <f t="shared" si="15"/>
        <v>0</v>
      </c>
      <c r="AP50" s="45"/>
      <c r="AQ50" s="45"/>
      <c r="AR50" s="48"/>
      <c r="AS50" s="48"/>
      <c r="AT50" s="51">
        <f t="shared" si="24"/>
        <v>46</v>
      </c>
      <c r="AU50" s="49" t="str">
        <f t="shared" si="25"/>
        <v/>
      </c>
      <c r="AV50" s="49" t="str">
        <f t="shared" si="26"/>
        <v/>
      </c>
      <c r="AW50" s="50">
        <f xml:space="preserve"> IF(ISERROR(ROUND((1000*NPV($AT$1,$AV51:$AV$124)-$AW$1*($AU51+NPV($AT$1,$AU52:$AU$124)))/AU51,3)), 0, ROUND((1000*NPV($AT$1,$AV51:$AV$124)-$AW$1*($AU51+NPV($AT$1,$AU52:$AU$124)))/AU51,3))</f>
        <v>0</v>
      </c>
      <c r="AX50" s="50">
        <f>IF(ISERROR(ROUND(MAX(0,1000*NPV($AT$2,$AV51:$AV$124)-$AW$2*($AU51+NPV($AT$2,$AU52:$AU$124)))/AU51,3)), 0, ROUND(MAX(0,1000*NPV($AT$2,$AV51:$AV$124)-$AW$2*($AU51+NPV($AT$2,$AU52:$AU$124)))/AU51,3))</f>
        <v>0</v>
      </c>
    </row>
    <row r="51" spans="2:50" ht="15" x14ac:dyDescent="0.25">
      <c r="B51" s="2"/>
      <c r="C51" s="60">
        <v>26</v>
      </c>
      <c r="D51">
        <v>465.50699345341138</v>
      </c>
      <c r="F51" s="2"/>
      <c r="G51" s="8"/>
      <c r="I51" s="51"/>
      <c r="J51" s="41" t="str">
        <f t="shared" si="27"/>
        <v/>
      </c>
      <c r="K51" s="41" t="str">
        <f t="shared" si="28"/>
        <v/>
      </c>
      <c r="L51" s="42" t="str">
        <f t="shared" si="29"/>
        <v/>
      </c>
      <c r="M51" s="41" t="str">
        <f t="shared" si="30"/>
        <v/>
      </c>
      <c r="N51" s="43">
        <f t="shared" si="1"/>
        <v>0</v>
      </c>
      <c r="O51" s="44">
        <f t="shared" si="2"/>
        <v>0</v>
      </c>
      <c r="P51" s="41" t="str">
        <f t="shared" si="3"/>
        <v/>
      </c>
      <c r="Q51" s="41" t="str">
        <f t="shared" si="4"/>
        <v/>
      </c>
      <c r="R51" s="44"/>
      <c r="S51" s="44" t="str">
        <f>IF(I51&lt;&gt;"",_xlfn.XLOOKUP($D$4+I50+1,#REF!,#REF!,"",0) * 1000,"")</f>
        <v/>
      </c>
      <c r="T51" s="52">
        <f t="shared" si="31"/>
        <v>0.04</v>
      </c>
      <c r="U51" s="53" t="str">
        <f t="shared" si="16"/>
        <v/>
      </c>
      <c r="V51" s="53" t="str">
        <f t="shared" si="17"/>
        <v/>
      </c>
      <c r="W51" s="53" t="str">
        <f t="shared" si="18"/>
        <v/>
      </c>
      <c r="X51" s="46" t="str">
        <f t="shared" si="5"/>
        <v/>
      </c>
      <c r="Y51" s="54"/>
      <c r="Z51" s="41" t="str">
        <f t="shared" si="19"/>
        <v/>
      </c>
      <c r="AA51" s="41" t="str">
        <f t="shared" si="20"/>
        <v/>
      </c>
      <c r="AB51" s="41" t="str">
        <f t="shared" si="6"/>
        <v/>
      </c>
      <c r="AC51" s="41" t="str">
        <f t="shared" si="7"/>
        <v/>
      </c>
      <c r="AD51" s="54"/>
      <c r="AE51" s="41" t="str">
        <f t="shared" si="8"/>
        <v/>
      </c>
      <c r="AF51" s="41" t="str">
        <f t="shared" si="9"/>
        <v/>
      </c>
      <c r="AG51" s="41" t="str">
        <f t="shared" si="10"/>
        <v/>
      </c>
      <c r="AH51" s="41" t="str">
        <f t="shared" si="21"/>
        <v/>
      </c>
      <c r="AI51" s="41" t="str">
        <f t="shared" si="22"/>
        <v/>
      </c>
      <c r="AJ51" s="41">
        <f t="shared" si="11"/>
        <v>0</v>
      </c>
      <c r="AK51" s="41" t="str">
        <f t="shared" si="12"/>
        <v/>
      </c>
      <c r="AL51" s="41">
        <f t="shared" si="23"/>
        <v>0</v>
      </c>
      <c r="AM51" s="41">
        <f t="shared" si="13"/>
        <v>0</v>
      </c>
      <c r="AN51" s="41" t="str">
        <f t="shared" si="14"/>
        <v/>
      </c>
      <c r="AO51" s="41">
        <f t="shared" si="15"/>
        <v>0</v>
      </c>
      <c r="AP51" s="45"/>
      <c r="AQ51" s="45"/>
      <c r="AR51" s="48"/>
      <c r="AS51" s="48"/>
      <c r="AT51" s="51">
        <f t="shared" si="24"/>
        <v>47</v>
      </c>
      <c r="AU51" s="49" t="str">
        <f t="shared" si="25"/>
        <v/>
      </c>
      <c r="AV51" s="49" t="str">
        <f t="shared" si="26"/>
        <v/>
      </c>
      <c r="AW51" s="50">
        <f xml:space="preserve"> IF(ISERROR(ROUND((1000*NPV($AT$1,$AV52:$AV$124)-$AW$1*($AU52+NPV($AT$1,$AU53:$AU$124)))/AU52,3)), 0, ROUND((1000*NPV($AT$1,$AV52:$AV$124)-$AW$1*($AU52+NPV($AT$1,$AU53:$AU$124)))/AU52,3))</f>
        <v>0</v>
      </c>
      <c r="AX51" s="50">
        <f>IF(ISERROR(ROUND(MAX(0,1000*NPV($AT$2,$AV52:$AV$124)-$AW$2*($AU52+NPV($AT$2,$AU53:$AU$124)))/AU52,3)), 0, ROUND(MAX(0,1000*NPV($AT$2,$AV52:$AV$124)-$AW$2*($AU52+NPV($AT$2,$AU53:$AU$124)))/AU52,3))</f>
        <v>0</v>
      </c>
    </row>
    <row r="52" spans="2:50" ht="15" x14ac:dyDescent="0.25">
      <c r="B52" s="2"/>
      <c r="C52" s="60">
        <v>27</v>
      </c>
      <c r="D52">
        <v>481.19020688444573</v>
      </c>
      <c r="F52" s="2"/>
      <c r="G52" s="8"/>
      <c r="I52" s="51"/>
      <c r="J52" s="41" t="str">
        <f t="shared" si="27"/>
        <v/>
      </c>
      <c r="K52" s="41" t="str">
        <f t="shared" si="28"/>
        <v/>
      </c>
      <c r="L52" s="42" t="str">
        <f t="shared" si="29"/>
        <v/>
      </c>
      <c r="M52" s="41" t="str">
        <f t="shared" si="30"/>
        <v/>
      </c>
      <c r="N52" s="43">
        <f t="shared" si="1"/>
        <v>0</v>
      </c>
      <c r="O52" s="44">
        <f t="shared" si="2"/>
        <v>0</v>
      </c>
      <c r="P52" s="41" t="str">
        <f t="shared" si="3"/>
        <v/>
      </c>
      <c r="Q52" s="41" t="str">
        <f t="shared" si="4"/>
        <v/>
      </c>
      <c r="R52" s="44"/>
      <c r="S52" s="44" t="str">
        <f>IF(I52&lt;&gt;"",_xlfn.XLOOKUP($D$4+I51+1,#REF!,#REF!,"",0) * 1000,"")</f>
        <v/>
      </c>
      <c r="T52" s="52">
        <f t="shared" si="31"/>
        <v>0.04</v>
      </c>
      <c r="U52" s="53" t="str">
        <f t="shared" si="16"/>
        <v/>
      </c>
      <c r="V52" s="53" t="str">
        <f t="shared" si="17"/>
        <v/>
      </c>
      <c r="W52" s="53" t="str">
        <f t="shared" si="18"/>
        <v/>
      </c>
      <c r="X52" s="46" t="str">
        <f t="shared" si="5"/>
        <v/>
      </c>
      <c r="Y52" s="54"/>
      <c r="Z52" s="41" t="str">
        <f t="shared" si="19"/>
        <v/>
      </c>
      <c r="AA52" s="41" t="str">
        <f t="shared" si="20"/>
        <v/>
      </c>
      <c r="AB52" s="41" t="str">
        <f t="shared" si="6"/>
        <v/>
      </c>
      <c r="AC52" s="41" t="str">
        <f t="shared" si="7"/>
        <v/>
      </c>
      <c r="AD52" s="54"/>
      <c r="AE52" s="41" t="str">
        <f t="shared" si="8"/>
        <v/>
      </c>
      <c r="AF52" s="41" t="str">
        <f t="shared" si="9"/>
        <v/>
      </c>
      <c r="AG52" s="41" t="str">
        <f t="shared" si="10"/>
        <v/>
      </c>
      <c r="AH52" s="41" t="str">
        <f t="shared" si="21"/>
        <v/>
      </c>
      <c r="AI52" s="41" t="str">
        <f t="shared" si="22"/>
        <v/>
      </c>
      <c r="AJ52" s="41">
        <f t="shared" si="11"/>
        <v>0</v>
      </c>
      <c r="AK52" s="41" t="str">
        <f t="shared" si="12"/>
        <v/>
      </c>
      <c r="AL52" s="41">
        <f t="shared" si="23"/>
        <v>0</v>
      </c>
      <c r="AM52" s="41">
        <f>SUM(AJ52:AL52)</f>
        <v>0</v>
      </c>
      <c r="AN52" s="41" t="str">
        <f t="shared" si="14"/>
        <v/>
      </c>
      <c r="AO52" s="41">
        <f t="shared" si="15"/>
        <v>0</v>
      </c>
      <c r="AP52" s="45"/>
      <c r="AQ52" s="45"/>
      <c r="AR52" s="48"/>
      <c r="AS52" s="48"/>
      <c r="AT52" s="51">
        <f t="shared" si="24"/>
        <v>48</v>
      </c>
      <c r="AU52" s="49" t="str">
        <f t="shared" si="25"/>
        <v/>
      </c>
      <c r="AV52" s="49" t="str">
        <f t="shared" si="26"/>
        <v/>
      </c>
      <c r="AW52" s="50">
        <f xml:space="preserve"> IF(ISERROR(ROUND((1000*NPV($AT$1,$AV53:$AV$124)-$AW$1*($AU53+NPV($AT$1,$AU54:$AU$124)))/AU53,3)), 0, ROUND((1000*NPV($AT$1,$AV53:$AV$124)-$AW$1*($AU53+NPV($AT$1,$AU54:$AU$124)))/AU53,3))</f>
        <v>0</v>
      </c>
      <c r="AX52" s="50">
        <f>IF(ISERROR(ROUND(MAX(0,1000*NPV($AT$2,$AV53:$AV$124)-$AW$2*($AU53+NPV($AT$2,$AU54:$AU$124)))/AU53,3)), 0, ROUND(MAX(0,1000*NPV($AT$2,$AV53:$AV$124)-$AW$2*($AU53+NPV($AT$2,$AU54:$AU$124)))/AU53,3))</f>
        <v>0</v>
      </c>
    </row>
    <row r="53" spans="2:50" ht="15" x14ac:dyDescent="0.25">
      <c r="B53" s="2"/>
      <c r="C53" s="60">
        <v>28</v>
      </c>
      <c r="D53">
        <v>497.85662493414037</v>
      </c>
      <c r="F53" s="2"/>
      <c r="G53" s="8"/>
      <c r="I53" s="51"/>
      <c r="J53" s="41" t="str">
        <f t="shared" si="27"/>
        <v/>
      </c>
      <c r="K53" s="41" t="str">
        <f t="shared" si="28"/>
        <v/>
      </c>
      <c r="L53" s="42" t="str">
        <f t="shared" si="29"/>
        <v/>
      </c>
      <c r="M53" s="41" t="str">
        <f t="shared" si="30"/>
        <v/>
      </c>
      <c r="N53" s="43">
        <f t="shared" si="1"/>
        <v>0</v>
      </c>
      <c r="O53" s="44">
        <f t="shared" si="2"/>
        <v>0</v>
      </c>
      <c r="P53" s="41" t="str">
        <f t="shared" si="3"/>
        <v/>
      </c>
      <c r="Q53" s="41" t="str">
        <f t="shared" si="4"/>
        <v/>
      </c>
      <c r="R53" s="44"/>
      <c r="S53" s="44" t="str">
        <f>IF(I53&lt;&gt;"",_xlfn.XLOOKUP($D$4+I52+1,#REF!,#REF!,"",0) * 1000,"")</f>
        <v/>
      </c>
      <c r="T53" s="52">
        <f t="shared" si="31"/>
        <v>0.04</v>
      </c>
      <c r="U53" s="53" t="str">
        <f t="shared" si="16"/>
        <v/>
      </c>
      <c r="V53" s="53" t="str">
        <f t="shared" si="17"/>
        <v/>
      </c>
      <c r="W53" s="53" t="str">
        <f t="shared" si="18"/>
        <v/>
      </c>
      <c r="X53" s="46" t="str">
        <f t="shared" si="5"/>
        <v/>
      </c>
      <c r="Y53" s="54"/>
      <c r="Z53" s="41" t="str">
        <f t="shared" si="19"/>
        <v/>
      </c>
      <c r="AA53" s="41" t="str">
        <f t="shared" si="20"/>
        <v/>
      </c>
      <c r="AB53" s="41" t="str">
        <f t="shared" si="6"/>
        <v/>
      </c>
      <c r="AC53" s="41" t="str">
        <f t="shared" si="7"/>
        <v/>
      </c>
      <c r="AD53" s="54"/>
      <c r="AE53" s="41" t="str">
        <f t="shared" si="8"/>
        <v/>
      </c>
      <c r="AF53" s="41" t="str">
        <f t="shared" si="9"/>
        <v/>
      </c>
      <c r="AG53" s="41" t="str">
        <f t="shared" si="10"/>
        <v/>
      </c>
      <c r="AH53" s="41" t="str">
        <f t="shared" si="21"/>
        <v/>
      </c>
      <c r="AI53" s="41" t="str">
        <f t="shared" si="22"/>
        <v/>
      </c>
      <c r="AJ53" s="41">
        <f t="shared" si="11"/>
        <v>0</v>
      </c>
      <c r="AK53" s="41" t="str">
        <f t="shared" si="12"/>
        <v/>
      </c>
      <c r="AL53" s="41">
        <f t="shared" si="23"/>
        <v>0</v>
      </c>
      <c r="AM53" s="41">
        <f t="shared" si="13"/>
        <v>0</v>
      </c>
      <c r="AN53" s="41" t="str">
        <f t="shared" si="14"/>
        <v/>
      </c>
      <c r="AO53" s="41">
        <f t="shared" si="15"/>
        <v>0</v>
      </c>
      <c r="AP53" s="45"/>
      <c r="AQ53" s="45"/>
      <c r="AR53" s="48"/>
      <c r="AS53" s="48"/>
      <c r="AT53" s="51">
        <f t="shared" si="24"/>
        <v>49</v>
      </c>
      <c r="AU53" s="49" t="str">
        <f t="shared" si="25"/>
        <v/>
      </c>
      <c r="AV53" s="49" t="str">
        <f t="shared" si="26"/>
        <v/>
      </c>
      <c r="AW53" s="50">
        <f xml:space="preserve"> IF(ISERROR(ROUND((1000*NPV($AT$1,$AV54:$AV$124)-$AW$1*($AU54+NPV($AT$1,$AU55:$AU$124)))/AU54,3)), 0, ROUND((1000*NPV($AT$1,$AV54:$AV$124)-$AW$1*($AU54+NPV($AT$1,$AU55:$AU$124)))/AU54,3))</f>
        <v>0</v>
      </c>
      <c r="AX53" s="50">
        <f>IF(ISERROR(ROUND(MAX(0,1000*NPV($AT$2,$AV54:$AV$124)-$AW$2*($AU54+NPV($AT$2,$AU55:$AU$124)))/AU54,3)), 0, ROUND(MAX(0,1000*NPV($AT$2,$AV54:$AV$124)-$AW$2*($AU54+NPV($AT$2,$AU55:$AU$124)))/AU54,3))</f>
        <v>0</v>
      </c>
    </row>
    <row r="54" spans="2:50" ht="15" x14ac:dyDescent="0.25">
      <c r="B54" s="2"/>
      <c r="C54" s="60">
        <v>29</v>
      </c>
      <c r="D54">
        <v>515.52641165546504</v>
      </c>
      <c r="F54" s="2"/>
      <c r="G54" s="8"/>
      <c r="I54" s="51"/>
      <c r="J54" s="41" t="str">
        <f t="shared" si="27"/>
        <v/>
      </c>
      <c r="K54" s="41" t="str">
        <f t="shared" si="28"/>
        <v/>
      </c>
      <c r="L54" s="42" t="str">
        <f t="shared" si="29"/>
        <v/>
      </c>
      <c r="M54" s="41" t="str">
        <f t="shared" si="30"/>
        <v/>
      </c>
      <c r="N54" s="43">
        <f t="shared" si="1"/>
        <v>0</v>
      </c>
      <c r="O54" s="44">
        <f t="shared" si="2"/>
        <v>0</v>
      </c>
      <c r="P54" s="41" t="str">
        <f t="shared" si="3"/>
        <v/>
      </c>
      <c r="Q54" s="41" t="str">
        <f t="shared" si="4"/>
        <v/>
      </c>
      <c r="R54" s="44"/>
      <c r="S54" s="44" t="str">
        <f>IF(I54&lt;&gt;"",_xlfn.XLOOKUP($D$4+I53+1,#REF!,#REF!,"",0) * 1000,"")</f>
        <v/>
      </c>
      <c r="T54" s="52">
        <f t="shared" si="31"/>
        <v>0.04</v>
      </c>
      <c r="U54" s="53" t="str">
        <f t="shared" si="16"/>
        <v/>
      </c>
      <c r="V54" s="53" t="str">
        <f t="shared" si="17"/>
        <v/>
      </c>
      <c r="W54" s="53" t="str">
        <f t="shared" si="18"/>
        <v/>
      </c>
      <c r="X54" s="46" t="str">
        <f t="shared" si="5"/>
        <v/>
      </c>
      <c r="Y54" s="54"/>
      <c r="Z54" s="41" t="str">
        <f t="shared" si="19"/>
        <v/>
      </c>
      <c r="AA54" s="41" t="str">
        <f t="shared" si="20"/>
        <v/>
      </c>
      <c r="AB54" s="41" t="str">
        <f t="shared" si="6"/>
        <v/>
      </c>
      <c r="AC54" s="41" t="str">
        <f t="shared" si="7"/>
        <v/>
      </c>
      <c r="AD54" s="54"/>
      <c r="AE54" s="41" t="str">
        <f t="shared" si="8"/>
        <v/>
      </c>
      <c r="AF54" s="41" t="str">
        <f t="shared" si="9"/>
        <v/>
      </c>
      <c r="AG54" s="41" t="str">
        <f t="shared" si="10"/>
        <v/>
      </c>
      <c r="AH54" s="41" t="str">
        <f t="shared" si="21"/>
        <v/>
      </c>
      <c r="AI54" s="41" t="str">
        <f t="shared" si="22"/>
        <v/>
      </c>
      <c r="AJ54" s="41">
        <f t="shared" si="11"/>
        <v>0</v>
      </c>
      <c r="AK54" s="41" t="str">
        <f t="shared" si="12"/>
        <v/>
      </c>
      <c r="AL54" s="41">
        <f t="shared" si="23"/>
        <v>0</v>
      </c>
      <c r="AM54" s="41">
        <f t="shared" si="13"/>
        <v>0</v>
      </c>
      <c r="AN54" s="41" t="str">
        <f t="shared" si="14"/>
        <v/>
      </c>
      <c r="AO54" s="41">
        <f t="shared" si="15"/>
        <v>0</v>
      </c>
      <c r="AP54" s="45"/>
      <c r="AQ54" s="45"/>
      <c r="AR54" s="48"/>
      <c r="AS54" s="48"/>
      <c r="AT54" s="51">
        <f t="shared" si="24"/>
        <v>50</v>
      </c>
      <c r="AU54" s="49" t="str">
        <f t="shared" si="25"/>
        <v/>
      </c>
      <c r="AV54" s="49" t="str">
        <f t="shared" si="26"/>
        <v/>
      </c>
      <c r="AW54" s="50">
        <f xml:space="preserve"> IF(ISERROR(ROUND((1000*NPV($AT$1,$AV55:$AV$124)-$AW$1*($AU55+NPV($AT$1,$AU56:$AU$124)))/AU55,3)), 0, ROUND((1000*NPV($AT$1,$AV55:$AV$124)-$AW$1*($AU55+NPV($AT$1,$AU56:$AU$124)))/AU55,3))</f>
        <v>0</v>
      </c>
      <c r="AX54" s="50">
        <f>IF(ISERROR(ROUND(MAX(0,1000*NPV($AT$2,$AV55:$AV$124)-$AW$2*($AU55+NPV($AT$2,$AU56:$AU$124)))/AU55,3)), 0, ROUND(MAX(0,1000*NPV($AT$2,$AV55:$AV$124)-$AW$2*($AU55+NPV($AT$2,$AU56:$AU$124)))/AU55,3))</f>
        <v>0</v>
      </c>
    </row>
    <row r="55" spans="2:50" ht="15" x14ac:dyDescent="0.25">
      <c r="B55" s="2"/>
      <c r="C55" s="60">
        <v>30</v>
      </c>
      <c r="D55">
        <v>534.22314254611967</v>
      </c>
      <c r="F55" s="2"/>
      <c r="G55" s="8"/>
      <c r="I55" s="51"/>
      <c r="J55" s="41" t="str">
        <f t="shared" si="27"/>
        <v/>
      </c>
      <c r="K55" s="41" t="str">
        <f t="shared" si="28"/>
        <v/>
      </c>
      <c r="L55" s="42" t="str">
        <f t="shared" si="29"/>
        <v/>
      </c>
      <c r="M55" s="41" t="str">
        <f t="shared" si="30"/>
        <v/>
      </c>
      <c r="N55" s="43">
        <f t="shared" si="1"/>
        <v>0</v>
      </c>
      <c r="O55" s="44">
        <f t="shared" si="2"/>
        <v>0</v>
      </c>
      <c r="P55" s="41" t="str">
        <f t="shared" si="3"/>
        <v/>
      </c>
      <c r="Q55" s="41" t="str">
        <f t="shared" si="4"/>
        <v/>
      </c>
      <c r="R55" s="44"/>
      <c r="S55" s="44" t="str">
        <f>IF(I55&lt;&gt;"",_xlfn.XLOOKUP($D$4+I54+1,#REF!,#REF!,"",0) * 1000,"")</f>
        <v/>
      </c>
      <c r="T55" s="52">
        <f t="shared" si="31"/>
        <v>0.04</v>
      </c>
      <c r="U55" s="53" t="str">
        <f t="shared" si="16"/>
        <v/>
      </c>
      <c r="V55" s="53" t="str">
        <f t="shared" si="17"/>
        <v/>
      </c>
      <c r="W55" s="53" t="str">
        <f t="shared" si="18"/>
        <v/>
      </c>
      <c r="X55" s="46" t="str">
        <f t="shared" si="5"/>
        <v/>
      </c>
      <c r="Y55" s="54"/>
      <c r="Z55" s="41" t="str">
        <f t="shared" si="19"/>
        <v/>
      </c>
      <c r="AA55" s="41" t="str">
        <f t="shared" si="20"/>
        <v/>
      </c>
      <c r="AB55" s="41" t="str">
        <f t="shared" si="6"/>
        <v/>
      </c>
      <c r="AC55" s="41" t="str">
        <f t="shared" si="7"/>
        <v/>
      </c>
      <c r="AD55" s="54"/>
      <c r="AE55" s="41" t="str">
        <f t="shared" si="8"/>
        <v/>
      </c>
      <c r="AF55" s="41" t="str">
        <f t="shared" si="9"/>
        <v/>
      </c>
      <c r="AG55" s="41" t="str">
        <f t="shared" si="10"/>
        <v/>
      </c>
      <c r="AH55" s="41" t="str">
        <f t="shared" si="21"/>
        <v/>
      </c>
      <c r="AI55" s="41" t="str">
        <f t="shared" si="22"/>
        <v/>
      </c>
      <c r="AJ55" s="41">
        <f t="shared" si="11"/>
        <v>0</v>
      </c>
      <c r="AK55" s="41" t="str">
        <f t="shared" si="12"/>
        <v/>
      </c>
      <c r="AL55" s="41">
        <f t="shared" si="23"/>
        <v>0</v>
      </c>
      <c r="AM55" s="41">
        <f t="shared" si="13"/>
        <v>0</v>
      </c>
      <c r="AN55" s="41" t="str">
        <f t="shared" si="14"/>
        <v/>
      </c>
      <c r="AO55" s="41">
        <f t="shared" si="15"/>
        <v>0</v>
      </c>
      <c r="AP55" s="45"/>
      <c r="AQ55" s="45"/>
      <c r="AR55" s="48"/>
      <c r="AS55" s="48"/>
      <c r="AT55" s="51">
        <f t="shared" si="24"/>
        <v>51</v>
      </c>
      <c r="AU55" s="49" t="str">
        <f t="shared" si="25"/>
        <v/>
      </c>
      <c r="AV55" s="49" t="str">
        <f t="shared" si="26"/>
        <v/>
      </c>
      <c r="AW55" s="50">
        <f xml:space="preserve"> IF(ISERROR(ROUND((1000*NPV($AT$1,$AV56:$AV$124)-$AW$1*($AU56+NPV($AT$1,$AU57:$AU$124)))/AU56,3)), 0, ROUND((1000*NPV($AT$1,$AV56:$AV$124)-$AW$1*($AU56+NPV($AT$1,$AU57:$AU$124)))/AU56,3))</f>
        <v>0</v>
      </c>
      <c r="AX55" s="50">
        <f>IF(ISERROR(ROUND(MAX(0,1000*NPV($AT$2,$AV56:$AV$124)-$AW$2*($AU56+NPV($AT$2,$AU57:$AU$124)))/AU56,3)), 0, ROUND(MAX(0,1000*NPV($AT$2,$AV56:$AV$124)-$AW$2*($AU56+NPV($AT$2,$AU57:$AU$124)))/AU56,3))</f>
        <v>0</v>
      </c>
    </row>
    <row r="56" spans="2:50" ht="15" x14ac:dyDescent="0.25">
      <c r="B56" s="2"/>
      <c r="C56" s="60">
        <v>31</v>
      </c>
      <c r="D56">
        <v>553.94995057403048</v>
      </c>
      <c r="F56" s="2"/>
      <c r="G56" s="8"/>
      <c r="I56" s="51"/>
      <c r="J56" s="41" t="str">
        <f t="shared" si="27"/>
        <v/>
      </c>
      <c r="K56" s="41" t="str">
        <f t="shared" si="28"/>
        <v/>
      </c>
      <c r="L56" s="42" t="str">
        <f t="shared" si="29"/>
        <v/>
      </c>
      <c r="M56" s="41" t="str">
        <f t="shared" si="30"/>
        <v/>
      </c>
      <c r="N56" s="43">
        <f t="shared" si="1"/>
        <v>0</v>
      </c>
      <c r="O56" s="44">
        <f t="shared" si="2"/>
        <v>0</v>
      </c>
      <c r="P56" s="41" t="str">
        <f t="shared" si="3"/>
        <v/>
      </c>
      <c r="Q56" s="41" t="str">
        <f t="shared" si="4"/>
        <v/>
      </c>
      <c r="R56" s="44"/>
      <c r="S56" s="44" t="str">
        <f>IF(I56&lt;&gt;"",_xlfn.XLOOKUP($D$4+I55+1,#REF!,#REF!,"",0) * 1000,"")</f>
        <v/>
      </c>
      <c r="T56" s="52">
        <f t="shared" si="31"/>
        <v>0.04</v>
      </c>
      <c r="U56" s="53" t="str">
        <f t="shared" si="16"/>
        <v/>
      </c>
      <c r="V56" s="53" t="str">
        <f t="shared" si="17"/>
        <v/>
      </c>
      <c r="W56" s="53" t="str">
        <f t="shared" si="18"/>
        <v/>
      </c>
      <c r="X56" s="46" t="str">
        <f t="shared" si="5"/>
        <v/>
      </c>
      <c r="Y56" s="54"/>
      <c r="Z56" s="41" t="str">
        <f t="shared" si="19"/>
        <v/>
      </c>
      <c r="AA56" s="41" t="str">
        <f t="shared" si="20"/>
        <v/>
      </c>
      <c r="AB56" s="41" t="str">
        <f t="shared" si="6"/>
        <v/>
      </c>
      <c r="AC56" s="41" t="str">
        <f t="shared" si="7"/>
        <v/>
      </c>
      <c r="AD56" s="54"/>
      <c r="AE56" s="41" t="str">
        <f t="shared" si="8"/>
        <v/>
      </c>
      <c r="AF56" s="41" t="str">
        <f t="shared" si="9"/>
        <v/>
      </c>
      <c r="AG56" s="41" t="str">
        <f t="shared" si="10"/>
        <v/>
      </c>
      <c r="AH56" s="41" t="str">
        <f t="shared" si="21"/>
        <v/>
      </c>
      <c r="AI56" s="41" t="str">
        <f t="shared" si="22"/>
        <v/>
      </c>
      <c r="AJ56" s="41">
        <f t="shared" si="11"/>
        <v>0</v>
      </c>
      <c r="AK56" s="41" t="str">
        <f t="shared" si="12"/>
        <v/>
      </c>
      <c r="AL56" s="41">
        <f t="shared" si="23"/>
        <v>0</v>
      </c>
      <c r="AM56" s="41">
        <f t="shared" si="13"/>
        <v>0</v>
      </c>
      <c r="AN56" s="41" t="str">
        <f t="shared" si="14"/>
        <v/>
      </c>
      <c r="AO56" s="41">
        <f t="shared" si="15"/>
        <v>0</v>
      </c>
      <c r="AP56" s="45"/>
      <c r="AQ56" s="45"/>
      <c r="AR56" s="48"/>
      <c r="AS56" s="48"/>
      <c r="AT56" s="51">
        <f t="shared" si="24"/>
        <v>52</v>
      </c>
      <c r="AU56" s="49" t="str">
        <f t="shared" si="25"/>
        <v/>
      </c>
      <c r="AV56" s="49" t="str">
        <f t="shared" si="26"/>
        <v/>
      </c>
      <c r="AW56" s="50">
        <f xml:space="preserve"> IF(ISERROR(ROUND((1000*NPV($AT$1,$AV57:$AV$124)-$AW$1*($AU57+NPV($AT$1,$AU58:$AU$124)))/AU57,3)), 0, ROUND((1000*NPV($AT$1,$AV57:$AV$124)-$AW$1*($AU57+NPV($AT$1,$AU58:$AU$124)))/AU57,3))</f>
        <v>0</v>
      </c>
      <c r="AX56" s="50">
        <f>IF(ISERROR(ROUND(MAX(0,1000*NPV($AT$2,$AV57:$AV$124)-$AW$2*($AU57+NPV($AT$2,$AU58:$AU$124)))/AU57,3)), 0, ROUND(MAX(0,1000*NPV($AT$2,$AV57:$AV$124)-$AW$2*($AU57+NPV($AT$2,$AU58:$AU$124)))/AU57,3))</f>
        <v>0</v>
      </c>
    </row>
    <row r="57" spans="2:50" ht="15" x14ac:dyDescent="0.25">
      <c r="C57" s="60">
        <v>32</v>
      </c>
      <c r="D57">
        <v>574.74139347281425</v>
      </c>
      <c r="I57" s="51"/>
      <c r="J57" s="41" t="str">
        <f t="shared" si="27"/>
        <v/>
      </c>
      <c r="K57" s="41" t="str">
        <f t="shared" si="28"/>
        <v/>
      </c>
      <c r="L57" s="42" t="str">
        <f t="shared" si="29"/>
        <v/>
      </c>
      <c r="M57" s="41" t="str">
        <f t="shared" si="30"/>
        <v/>
      </c>
      <c r="N57" s="43">
        <f t="shared" si="1"/>
        <v>0</v>
      </c>
      <c r="O57" s="44">
        <f t="shared" si="2"/>
        <v>0</v>
      </c>
      <c r="P57" s="41" t="str">
        <f t="shared" si="3"/>
        <v/>
      </c>
      <c r="Q57" s="41" t="str">
        <f t="shared" si="4"/>
        <v/>
      </c>
      <c r="R57" s="44"/>
      <c r="S57" s="44" t="str">
        <f>IF(I57&lt;&gt;"",_xlfn.XLOOKUP($D$4+I56+1,#REF!,#REF!,"",0) * 1000,"")</f>
        <v/>
      </c>
      <c r="T57" s="52">
        <f t="shared" si="31"/>
        <v>0.04</v>
      </c>
      <c r="U57" s="53" t="str">
        <f t="shared" si="16"/>
        <v/>
      </c>
      <c r="V57" s="53" t="str">
        <f t="shared" si="17"/>
        <v/>
      </c>
      <c r="W57" s="53" t="str">
        <f t="shared" si="18"/>
        <v/>
      </c>
      <c r="X57" s="46" t="str">
        <f t="shared" si="5"/>
        <v/>
      </c>
      <c r="Y57" s="54"/>
      <c r="Z57" s="41" t="str">
        <f t="shared" si="19"/>
        <v/>
      </c>
      <c r="AA57" s="41" t="str">
        <f t="shared" si="20"/>
        <v/>
      </c>
      <c r="AB57" s="41" t="str">
        <f t="shared" si="6"/>
        <v/>
      </c>
      <c r="AC57" s="41" t="str">
        <f t="shared" si="7"/>
        <v/>
      </c>
      <c r="AD57" s="54"/>
      <c r="AE57" s="41" t="str">
        <f t="shared" si="8"/>
        <v/>
      </c>
      <c r="AF57" s="41" t="str">
        <f t="shared" si="9"/>
        <v/>
      </c>
      <c r="AG57" s="41" t="str">
        <f t="shared" si="10"/>
        <v/>
      </c>
      <c r="AH57" s="41" t="str">
        <f t="shared" si="21"/>
        <v/>
      </c>
      <c r="AI57" s="41" t="str">
        <f t="shared" si="22"/>
        <v/>
      </c>
      <c r="AJ57" s="41">
        <f t="shared" si="11"/>
        <v>0</v>
      </c>
      <c r="AK57" s="41" t="str">
        <f t="shared" si="12"/>
        <v/>
      </c>
      <c r="AL57" s="41">
        <f t="shared" si="23"/>
        <v>0</v>
      </c>
      <c r="AM57" s="41">
        <f t="shared" si="13"/>
        <v>0</v>
      </c>
      <c r="AN57" s="41" t="str">
        <f t="shared" si="14"/>
        <v/>
      </c>
      <c r="AO57" s="41">
        <f t="shared" si="15"/>
        <v>0</v>
      </c>
      <c r="AP57" s="45"/>
      <c r="AQ57" s="45"/>
      <c r="AR57" s="48"/>
      <c r="AS57" s="48"/>
      <c r="AT57" s="51">
        <f t="shared" si="24"/>
        <v>53</v>
      </c>
      <c r="AU57" s="49" t="str">
        <f t="shared" si="25"/>
        <v/>
      </c>
      <c r="AV57" s="49" t="str">
        <f t="shared" si="26"/>
        <v/>
      </c>
      <c r="AW57" s="50">
        <f xml:space="preserve"> IF(ISERROR(ROUND((1000*NPV($AT$1,$AV58:$AV$124)-$AW$1*($AU58+NPV($AT$1,$AU59:$AU$124)))/AU58,3)), 0, ROUND((1000*NPV($AT$1,$AV58:$AV$124)-$AW$1*($AU58+NPV($AT$1,$AU59:$AU$124)))/AU58,3))</f>
        <v>0</v>
      </c>
      <c r="AX57" s="50">
        <f>IF(ISERROR(ROUND(MAX(0,1000*NPV($AT$2,$AV58:$AV$124)-$AW$2*($AU58+NPV($AT$2,$AU59:$AU$124)))/AU58,3)), 0, ROUND(MAX(0,1000*NPV($AT$2,$AV58:$AV$124)-$AW$2*($AU58+NPV($AT$2,$AU59:$AU$124)))/AU58,3))</f>
        <v>0</v>
      </c>
    </row>
    <row r="58" spans="2:50" ht="15" x14ac:dyDescent="0.25">
      <c r="C58" s="60">
        <v>33</v>
      </c>
      <c r="D58">
        <v>596.67528281658224</v>
      </c>
      <c r="I58" s="51"/>
      <c r="J58" s="41" t="str">
        <f t="shared" si="27"/>
        <v/>
      </c>
      <c r="K58" s="41" t="str">
        <f t="shared" si="28"/>
        <v/>
      </c>
      <c r="L58" s="42" t="str">
        <f t="shared" si="29"/>
        <v/>
      </c>
      <c r="M58" s="41" t="str">
        <f t="shared" si="30"/>
        <v/>
      </c>
      <c r="N58" s="43">
        <f t="shared" si="1"/>
        <v>0</v>
      </c>
      <c r="O58" s="44">
        <f t="shared" si="2"/>
        <v>0</v>
      </c>
      <c r="P58" s="41" t="str">
        <f t="shared" si="3"/>
        <v/>
      </c>
      <c r="Q58" s="41" t="str">
        <f t="shared" si="4"/>
        <v/>
      </c>
      <c r="R58" s="44"/>
      <c r="S58" s="44" t="str">
        <f>IF(I58&lt;&gt;"",_xlfn.XLOOKUP($D$4+I57+1,#REF!,#REF!,"",0) * 1000,"")</f>
        <v/>
      </c>
      <c r="T58" s="52">
        <f t="shared" si="31"/>
        <v>0.04</v>
      </c>
      <c r="U58" s="53" t="str">
        <f t="shared" si="16"/>
        <v/>
      </c>
      <c r="V58" s="53" t="str">
        <f t="shared" si="17"/>
        <v/>
      </c>
      <c r="W58" s="53" t="str">
        <f t="shared" si="18"/>
        <v/>
      </c>
      <c r="X58" s="46" t="str">
        <f t="shared" si="5"/>
        <v/>
      </c>
      <c r="Y58" s="54"/>
      <c r="Z58" s="41" t="str">
        <f t="shared" si="19"/>
        <v/>
      </c>
      <c r="AA58" s="41" t="str">
        <f t="shared" si="20"/>
        <v/>
      </c>
      <c r="AB58" s="41" t="str">
        <f t="shared" si="6"/>
        <v/>
      </c>
      <c r="AC58" s="41" t="str">
        <f t="shared" si="7"/>
        <v/>
      </c>
      <c r="AD58" s="54"/>
      <c r="AE58" s="41" t="str">
        <f t="shared" si="8"/>
        <v/>
      </c>
      <c r="AF58" s="41" t="str">
        <f t="shared" si="9"/>
        <v/>
      </c>
      <c r="AG58" s="41" t="str">
        <f t="shared" si="10"/>
        <v/>
      </c>
      <c r="AH58" s="41" t="str">
        <f t="shared" si="21"/>
        <v/>
      </c>
      <c r="AI58" s="41" t="str">
        <f t="shared" si="22"/>
        <v/>
      </c>
      <c r="AJ58" s="41">
        <f t="shared" si="11"/>
        <v>0</v>
      </c>
      <c r="AK58" s="41" t="str">
        <f t="shared" si="12"/>
        <v/>
      </c>
      <c r="AL58" s="41">
        <f t="shared" si="23"/>
        <v>0</v>
      </c>
      <c r="AM58" s="41">
        <f t="shared" si="13"/>
        <v>0</v>
      </c>
      <c r="AN58" s="41" t="str">
        <f t="shared" si="14"/>
        <v/>
      </c>
      <c r="AO58" s="41">
        <f t="shared" si="15"/>
        <v>0</v>
      </c>
      <c r="AP58" s="45"/>
      <c r="AQ58" s="45"/>
      <c r="AR58" s="48"/>
      <c r="AS58" s="48"/>
      <c r="AT58" s="51">
        <f t="shared" si="24"/>
        <v>54</v>
      </c>
      <c r="AU58" s="49" t="str">
        <f t="shared" si="25"/>
        <v/>
      </c>
      <c r="AV58" s="49" t="str">
        <f t="shared" si="26"/>
        <v/>
      </c>
      <c r="AW58" s="50">
        <f xml:space="preserve"> IF(ISERROR(ROUND((1000*NPV($AT$1,$AV59:$AV$124)-$AW$1*($AU59+NPV($AT$1,$AU60:$AU$124)))/AU59,3)), 0, ROUND((1000*NPV($AT$1,$AV59:$AV$124)-$AW$1*($AU59+NPV($AT$1,$AU60:$AU$124)))/AU59,3))</f>
        <v>0</v>
      </c>
      <c r="AX58" s="50">
        <f>IF(ISERROR(ROUND(MAX(0,1000*NPV($AT$2,$AV59:$AV$124)-$AW$2*($AU59+NPV($AT$2,$AU60:$AU$124)))/AU59,3)), 0, ROUND(MAX(0,1000*NPV($AT$2,$AV59:$AV$124)-$AW$2*($AU59+NPV($AT$2,$AU60:$AU$124)))/AU59,3))</f>
        <v>0</v>
      </c>
    </row>
    <row r="59" spans="2:50" ht="15" x14ac:dyDescent="0.25">
      <c r="C59" s="60">
        <v>34</v>
      </c>
      <c r="D59">
        <v>619.79336168502607</v>
      </c>
      <c r="I59" s="51"/>
      <c r="J59" s="41" t="str">
        <f t="shared" si="27"/>
        <v/>
      </c>
      <c r="K59" s="41" t="str">
        <f t="shared" si="28"/>
        <v/>
      </c>
      <c r="L59" s="42" t="str">
        <f t="shared" si="29"/>
        <v/>
      </c>
      <c r="M59" s="41" t="str">
        <f t="shared" si="30"/>
        <v/>
      </c>
      <c r="N59" s="43">
        <f t="shared" si="1"/>
        <v>0</v>
      </c>
      <c r="O59" s="44">
        <f t="shared" si="2"/>
        <v>0</v>
      </c>
      <c r="P59" s="41" t="str">
        <f t="shared" si="3"/>
        <v/>
      </c>
      <c r="Q59" s="41" t="str">
        <f t="shared" si="4"/>
        <v/>
      </c>
      <c r="R59" s="44"/>
      <c r="S59" s="44" t="str">
        <f>IF(I59&lt;&gt;"",_xlfn.XLOOKUP($D$4+I58+1,#REF!,#REF!,"",0) * 1000,"")</f>
        <v/>
      </c>
      <c r="T59" s="52">
        <f t="shared" si="31"/>
        <v>0.04</v>
      </c>
      <c r="U59" s="53" t="str">
        <f t="shared" si="16"/>
        <v/>
      </c>
      <c r="V59" s="53" t="str">
        <f t="shared" si="17"/>
        <v/>
      </c>
      <c r="W59" s="53" t="str">
        <f t="shared" si="18"/>
        <v/>
      </c>
      <c r="X59" s="46" t="str">
        <f t="shared" si="5"/>
        <v/>
      </c>
      <c r="Y59" s="54"/>
      <c r="Z59" s="41" t="str">
        <f t="shared" si="19"/>
        <v/>
      </c>
      <c r="AA59" s="41" t="str">
        <f t="shared" si="20"/>
        <v/>
      </c>
      <c r="AB59" s="41" t="str">
        <f t="shared" si="6"/>
        <v/>
      </c>
      <c r="AC59" s="41" t="str">
        <f t="shared" si="7"/>
        <v/>
      </c>
      <c r="AD59" s="54"/>
      <c r="AE59" s="41" t="str">
        <f t="shared" si="8"/>
        <v/>
      </c>
      <c r="AF59" s="41" t="str">
        <f t="shared" si="9"/>
        <v/>
      </c>
      <c r="AG59" s="41" t="str">
        <f t="shared" si="10"/>
        <v/>
      </c>
      <c r="AH59" s="41" t="str">
        <f t="shared" si="21"/>
        <v/>
      </c>
      <c r="AI59" s="41" t="str">
        <f t="shared" si="22"/>
        <v/>
      </c>
      <c r="AJ59" s="41">
        <f t="shared" si="11"/>
        <v>0</v>
      </c>
      <c r="AK59" s="41" t="str">
        <f t="shared" si="12"/>
        <v/>
      </c>
      <c r="AL59" s="41">
        <f t="shared" si="23"/>
        <v>0</v>
      </c>
      <c r="AM59" s="41">
        <f t="shared" si="13"/>
        <v>0</v>
      </c>
      <c r="AN59" s="41" t="str">
        <f t="shared" si="14"/>
        <v/>
      </c>
      <c r="AO59" s="41">
        <f t="shared" si="15"/>
        <v>0</v>
      </c>
      <c r="AP59" s="45"/>
      <c r="AQ59" s="45"/>
      <c r="AR59" s="48"/>
      <c r="AS59" s="48"/>
      <c r="AT59" s="51">
        <f t="shared" si="24"/>
        <v>55</v>
      </c>
      <c r="AU59" s="49" t="str">
        <f t="shared" si="25"/>
        <v/>
      </c>
      <c r="AV59" s="49" t="str">
        <f t="shared" si="26"/>
        <v/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2:50" ht="15" x14ac:dyDescent="0.25">
      <c r="C60" s="60">
        <v>35</v>
      </c>
      <c r="D60">
        <v>644.18932914031029</v>
      </c>
      <c r="I60" s="51"/>
      <c r="J60" s="41" t="str">
        <f t="shared" si="27"/>
        <v/>
      </c>
      <c r="K60" s="41" t="str">
        <f t="shared" si="28"/>
        <v/>
      </c>
      <c r="L60" s="42" t="str">
        <f t="shared" si="29"/>
        <v/>
      </c>
      <c r="M60" s="41" t="str">
        <f t="shared" si="30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>IF(I60&lt;&gt;"",_xlfn.XLOOKUP($D$4+I59+1,#REF!,#REF!,"",0) * 1000,"")</f>
        <v/>
      </c>
      <c r="T60" s="52">
        <f t="shared" si="31"/>
        <v>0.04</v>
      </c>
      <c r="U60" s="53" t="str">
        <f t="shared" si="16"/>
        <v/>
      </c>
      <c r="V60" s="53" t="str">
        <f t="shared" si="17"/>
        <v/>
      </c>
      <c r="W60" s="53" t="str">
        <f t="shared" si="18"/>
        <v/>
      </c>
      <c r="X60" s="46" t="str">
        <f t="shared" si="5"/>
        <v/>
      </c>
      <c r="Y60" s="54"/>
      <c r="Z60" s="41" t="str">
        <f t="shared" si="19"/>
        <v/>
      </c>
      <c r="AA60" s="41" t="str">
        <f t="shared" si="20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 t="str">
        <f t="shared" si="9"/>
        <v/>
      </c>
      <c r="AG60" s="41" t="str">
        <f t="shared" si="10"/>
        <v/>
      </c>
      <c r="AH60" s="41" t="str">
        <f t="shared" si="21"/>
        <v/>
      </c>
      <c r="AI60" s="41" t="str">
        <f t="shared" si="22"/>
        <v/>
      </c>
      <c r="AJ60" s="41">
        <f t="shared" si="11"/>
        <v>0</v>
      </c>
      <c r="AK60" s="41" t="str">
        <f t="shared" si="12"/>
        <v/>
      </c>
      <c r="AL60" s="41">
        <f t="shared" si="23"/>
        <v>0</v>
      </c>
      <c r="AM60" s="41">
        <f t="shared" si="13"/>
        <v>0</v>
      </c>
      <c r="AN60" s="41" t="str">
        <f t="shared" si="14"/>
        <v/>
      </c>
      <c r="AO60" s="41">
        <f t="shared" si="15"/>
        <v>0</v>
      </c>
      <c r="AP60" s="45"/>
      <c r="AQ60" s="45"/>
      <c r="AR60" s="48"/>
      <c r="AS60" s="48"/>
      <c r="AT60" s="51">
        <f t="shared" si="24"/>
        <v>56</v>
      </c>
      <c r="AU60" s="49" t="str">
        <f t="shared" si="25"/>
        <v/>
      </c>
      <c r="AV60" s="49" t="str">
        <f t="shared" si="26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2:50" ht="15" x14ac:dyDescent="0.25">
      <c r="C61" s="60">
        <v>36</v>
      </c>
      <c r="D61">
        <v>669.94070697509392</v>
      </c>
      <c r="I61" s="51"/>
      <c r="J61" s="41" t="str">
        <f t="shared" si="27"/>
        <v/>
      </c>
      <c r="K61" s="41" t="str">
        <f t="shared" si="28"/>
        <v/>
      </c>
      <c r="L61" s="42" t="str">
        <f t="shared" si="29"/>
        <v/>
      </c>
      <c r="M61" s="41" t="str">
        <f t="shared" si="30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>IF(I61&lt;&gt;"",_xlfn.XLOOKUP($D$4+I60+1,#REF!,#REF!,"",0) * 1000,"")</f>
        <v/>
      </c>
      <c r="T61" s="52">
        <f t="shared" si="31"/>
        <v>0.04</v>
      </c>
      <c r="U61" s="53" t="str">
        <f t="shared" si="16"/>
        <v/>
      </c>
      <c r="V61" s="53" t="str">
        <f t="shared" si="17"/>
        <v/>
      </c>
      <c r="W61" s="53" t="str">
        <f t="shared" si="18"/>
        <v/>
      </c>
      <c r="X61" s="46" t="str">
        <f t="shared" si="5"/>
        <v/>
      </c>
      <c r="Y61" s="54"/>
      <c r="Z61" s="41" t="str">
        <f t="shared" si="19"/>
        <v/>
      </c>
      <c r="AA61" s="41" t="str">
        <f t="shared" si="20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 t="str">
        <f t="shared" si="9"/>
        <v/>
      </c>
      <c r="AG61" s="41" t="str">
        <f t="shared" si="10"/>
        <v/>
      </c>
      <c r="AH61" s="41" t="str">
        <f t="shared" si="21"/>
        <v/>
      </c>
      <c r="AI61" s="41" t="str">
        <f t="shared" si="22"/>
        <v/>
      </c>
      <c r="AJ61" s="41">
        <f t="shared" si="11"/>
        <v>0</v>
      </c>
      <c r="AK61" s="41" t="str">
        <f t="shared" si="12"/>
        <v/>
      </c>
      <c r="AL61" s="41">
        <f t="shared" si="23"/>
        <v>0</v>
      </c>
      <c r="AM61" s="41">
        <f t="shared" si="13"/>
        <v>0</v>
      </c>
      <c r="AN61" s="41" t="str">
        <f t="shared" si="14"/>
        <v/>
      </c>
      <c r="AO61" s="41">
        <f t="shared" si="15"/>
        <v>0</v>
      </c>
      <c r="AP61" s="45"/>
      <c r="AQ61" s="45"/>
      <c r="AR61" s="48"/>
      <c r="AS61" s="48"/>
      <c r="AT61" s="51">
        <f t="shared" si="24"/>
        <v>57</v>
      </c>
      <c r="AU61" s="49" t="str">
        <f t="shared" si="25"/>
        <v/>
      </c>
      <c r="AV61" s="49" t="str">
        <f t="shared" si="26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2:50" ht="15" x14ac:dyDescent="0.25">
      <c r="C62" s="60">
        <v>37</v>
      </c>
      <c r="D62">
        <v>697.05556164428322</v>
      </c>
      <c r="I62" s="51"/>
      <c r="J62" s="41" t="str">
        <f t="shared" si="27"/>
        <v/>
      </c>
      <c r="K62" s="41" t="str">
        <f t="shared" si="28"/>
        <v/>
      </c>
      <c r="L62" s="42" t="str">
        <f t="shared" si="29"/>
        <v/>
      </c>
      <c r="M62" s="41" t="str">
        <f t="shared" si="30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>IF(I62&lt;&gt;"",_xlfn.XLOOKUP($D$4+I61+1,#REF!,#REF!,"",0) * 1000,"")</f>
        <v/>
      </c>
      <c r="T62" s="52">
        <f t="shared" si="31"/>
        <v>0.04</v>
      </c>
      <c r="U62" s="53" t="str">
        <f t="shared" si="16"/>
        <v/>
      </c>
      <c r="V62" s="53" t="str">
        <f t="shared" si="17"/>
        <v/>
      </c>
      <c r="W62" s="53" t="str">
        <f t="shared" si="18"/>
        <v/>
      </c>
      <c r="X62" s="46" t="str">
        <f t="shared" si="5"/>
        <v/>
      </c>
      <c r="Y62" s="54"/>
      <c r="Z62" s="41" t="str">
        <f t="shared" si="19"/>
        <v/>
      </c>
      <c r="AA62" s="41" t="str">
        <f t="shared" si="20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 t="str">
        <f t="shared" si="9"/>
        <v/>
      </c>
      <c r="AG62" s="41" t="str">
        <f t="shared" si="10"/>
        <v/>
      </c>
      <c r="AH62" s="41" t="str">
        <f t="shared" si="21"/>
        <v/>
      </c>
      <c r="AI62" s="41" t="str">
        <f t="shared" si="22"/>
        <v/>
      </c>
      <c r="AJ62" s="41">
        <f t="shared" si="11"/>
        <v>0</v>
      </c>
      <c r="AK62" s="41" t="str">
        <f t="shared" si="12"/>
        <v/>
      </c>
      <c r="AL62" s="41">
        <f t="shared" si="23"/>
        <v>0</v>
      </c>
      <c r="AM62" s="41">
        <f t="shared" si="13"/>
        <v>0</v>
      </c>
      <c r="AN62" s="41" t="str">
        <f t="shared" si="14"/>
        <v/>
      </c>
      <c r="AO62" s="41">
        <f t="shared" si="15"/>
        <v>0</v>
      </c>
      <c r="AP62" s="45"/>
      <c r="AQ62" s="45"/>
      <c r="AR62" s="48"/>
      <c r="AS62" s="48"/>
      <c r="AT62" s="51">
        <f t="shared" si="24"/>
        <v>58</v>
      </c>
      <c r="AU62" s="49" t="str">
        <f t="shared" si="25"/>
        <v/>
      </c>
      <c r="AV62" s="49" t="str">
        <f t="shared" si="26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2:50" ht="15" x14ac:dyDescent="0.25">
      <c r="C63" s="60">
        <v>38</v>
      </c>
      <c r="D63">
        <v>725.58494858147208</v>
      </c>
      <c r="I63" s="51"/>
      <c r="J63" s="41" t="str">
        <f t="shared" si="27"/>
        <v/>
      </c>
      <c r="K63" s="41" t="str">
        <f t="shared" si="28"/>
        <v/>
      </c>
      <c r="L63" s="42" t="str">
        <f t="shared" si="29"/>
        <v/>
      </c>
      <c r="M63" s="41" t="str">
        <f t="shared" si="30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>IF(I63&lt;&gt;"",_xlfn.XLOOKUP($D$4+I62+1,#REF!,#REF!,"",0) * 1000,"")</f>
        <v/>
      </c>
      <c r="T63" s="52">
        <f t="shared" si="31"/>
        <v>0.04</v>
      </c>
      <c r="U63" s="53" t="str">
        <f t="shared" si="16"/>
        <v/>
      </c>
      <c r="V63" s="53" t="str">
        <f t="shared" si="17"/>
        <v/>
      </c>
      <c r="W63" s="53" t="str">
        <f t="shared" si="18"/>
        <v/>
      </c>
      <c r="X63" s="46" t="str">
        <f t="shared" si="5"/>
        <v/>
      </c>
      <c r="Y63" s="54"/>
      <c r="Z63" s="41" t="str">
        <f t="shared" si="19"/>
        <v/>
      </c>
      <c r="AA63" s="41" t="str">
        <f t="shared" si="20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 t="str">
        <f t="shared" si="9"/>
        <v/>
      </c>
      <c r="AG63" s="41" t="str">
        <f t="shared" si="10"/>
        <v/>
      </c>
      <c r="AH63" s="41" t="str">
        <f t="shared" si="21"/>
        <v/>
      </c>
      <c r="AI63" s="41" t="str">
        <f t="shared" si="22"/>
        <v/>
      </c>
      <c r="AJ63" s="41">
        <f t="shared" si="11"/>
        <v>0</v>
      </c>
      <c r="AK63" s="41" t="str">
        <f t="shared" si="12"/>
        <v/>
      </c>
      <c r="AL63" s="41">
        <f t="shared" si="23"/>
        <v>0</v>
      </c>
      <c r="AM63" s="41">
        <f t="shared" si="13"/>
        <v>0</v>
      </c>
      <c r="AN63" s="41" t="str">
        <f t="shared" si="14"/>
        <v/>
      </c>
      <c r="AO63" s="41">
        <f t="shared" si="15"/>
        <v>0</v>
      </c>
      <c r="AP63" s="45"/>
      <c r="AQ63" s="45"/>
      <c r="AR63" s="48"/>
      <c r="AS63" s="48"/>
      <c r="AT63" s="51">
        <f t="shared" si="24"/>
        <v>59</v>
      </c>
      <c r="AU63" s="49" t="str">
        <f t="shared" si="25"/>
        <v/>
      </c>
      <c r="AV63" s="49" t="str">
        <f t="shared" si="26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2:50" ht="15" x14ac:dyDescent="0.25">
      <c r="C64" s="60">
        <v>39</v>
      </c>
      <c r="D64">
        <v>755.64651144410595</v>
      </c>
      <c r="I64" s="51"/>
      <c r="J64" s="41" t="str">
        <f t="shared" si="27"/>
        <v/>
      </c>
      <c r="K64" s="41" t="str">
        <f t="shared" si="28"/>
        <v/>
      </c>
      <c r="L64" s="42" t="str">
        <f t="shared" si="29"/>
        <v/>
      </c>
      <c r="M64" s="41" t="str">
        <f t="shared" si="30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>IF(I64&lt;&gt;"",_xlfn.XLOOKUP($D$4+I63+1,#REF!,#REF!,"",0) * 1000,"")</f>
        <v/>
      </c>
      <c r="T64" s="52">
        <f t="shared" si="31"/>
        <v>0.04</v>
      </c>
      <c r="U64" s="53" t="str">
        <f t="shared" si="16"/>
        <v/>
      </c>
      <c r="V64" s="53" t="str">
        <f t="shared" si="17"/>
        <v/>
      </c>
      <c r="W64" s="53" t="str">
        <f t="shared" si="18"/>
        <v/>
      </c>
      <c r="X64" s="46" t="str">
        <f t="shared" si="5"/>
        <v/>
      </c>
      <c r="Y64" s="54"/>
      <c r="Z64" s="41" t="str">
        <f t="shared" si="19"/>
        <v/>
      </c>
      <c r="AA64" s="41" t="str">
        <f t="shared" si="20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 t="str">
        <f t="shared" si="9"/>
        <v/>
      </c>
      <c r="AG64" s="41" t="str">
        <f t="shared" si="10"/>
        <v/>
      </c>
      <c r="AH64" s="41" t="str">
        <f t="shared" si="21"/>
        <v/>
      </c>
      <c r="AI64" s="41" t="str">
        <f t="shared" si="22"/>
        <v/>
      </c>
      <c r="AJ64" s="41">
        <f t="shared" si="11"/>
        <v>0</v>
      </c>
      <c r="AK64" s="41" t="str">
        <f t="shared" si="12"/>
        <v/>
      </c>
      <c r="AL64" s="41">
        <f t="shared" si="23"/>
        <v>0</v>
      </c>
      <c r="AM64" s="41">
        <f t="shared" si="13"/>
        <v>0</v>
      </c>
      <c r="AN64" s="41" t="str">
        <f t="shared" si="14"/>
        <v/>
      </c>
      <c r="AO64" s="41">
        <f t="shared" si="15"/>
        <v>0</v>
      </c>
      <c r="AP64" s="45"/>
      <c r="AQ64" s="45"/>
      <c r="AR64" s="48"/>
      <c r="AS64" s="48"/>
      <c r="AT64" s="51">
        <f t="shared" si="24"/>
        <v>60</v>
      </c>
      <c r="AU64" s="49" t="str">
        <f t="shared" si="25"/>
        <v/>
      </c>
      <c r="AV64" s="49" t="str">
        <f t="shared" si="26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3:50" ht="15" x14ac:dyDescent="0.25">
      <c r="C65" s="60">
        <v>40</v>
      </c>
      <c r="D65">
        <v>787.36021553910359</v>
      </c>
      <c r="I65" s="51"/>
      <c r="J65" s="41" t="str">
        <f t="shared" si="27"/>
        <v/>
      </c>
      <c r="K65" s="41" t="str">
        <f t="shared" si="28"/>
        <v/>
      </c>
      <c r="L65" s="42" t="str">
        <f t="shared" si="29"/>
        <v/>
      </c>
      <c r="M65" s="41" t="str">
        <f t="shared" si="30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>IF(I65&lt;&gt;"",_xlfn.XLOOKUP($D$4+I64+1,#REF!,#REF!,"",0) * 1000,"")</f>
        <v/>
      </c>
      <c r="T65" s="52">
        <f t="shared" si="31"/>
        <v>0.04</v>
      </c>
      <c r="U65" s="53" t="str">
        <f t="shared" si="16"/>
        <v/>
      </c>
      <c r="V65" s="53" t="str">
        <f t="shared" si="17"/>
        <v/>
      </c>
      <c r="W65" s="53" t="str">
        <f t="shared" si="18"/>
        <v/>
      </c>
      <c r="X65" s="46" t="str">
        <f t="shared" si="5"/>
        <v/>
      </c>
      <c r="Y65" s="54"/>
      <c r="Z65" s="41" t="str">
        <f t="shared" si="19"/>
        <v/>
      </c>
      <c r="AA65" s="41" t="str">
        <f t="shared" si="20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 t="str">
        <f t="shared" si="9"/>
        <v/>
      </c>
      <c r="AG65" s="41" t="str">
        <f t="shared" si="10"/>
        <v/>
      </c>
      <c r="AH65" s="41" t="str">
        <f t="shared" si="21"/>
        <v/>
      </c>
      <c r="AI65" s="41" t="str">
        <f t="shared" si="22"/>
        <v/>
      </c>
      <c r="AJ65" s="41">
        <f t="shared" si="11"/>
        <v>0</v>
      </c>
      <c r="AK65" s="41" t="str">
        <f t="shared" si="12"/>
        <v/>
      </c>
      <c r="AL65" s="41">
        <f t="shared" si="23"/>
        <v>0</v>
      </c>
      <c r="AM65" s="41">
        <f t="shared" si="13"/>
        <v>0</v>
      </c>
      <c r="AN65" s="41" t="str">
        <f t="shared" si="14"/>
        <v/>
      </c>
      <c r="AO65" s="41">
        <f t="shared" si="15"/>
        <v>0</v>
      </c>
      <c r="AP65" s="45"/>
      <c r="AQ65" s="45"/>
      <c r="AR65" s="48"/>
      <c r="AS65" s="48"/>
      <c r="AT65" s="51">
        <f t="shared" si="24"/>
        <v>61</v>
      </c>
      <c r="AU65" s="49" t="str">
        <f t="shared" si="25"/>
        <v/>
      </c>
      <c r="AV65" s="49" t="str">
        <f t="shared" si="26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3:50" ht="15" x14ac:dyDescent="0.25">
      <c r="C66" s="60">
        <v>41</v>
      </c>
      <c r="D66">
        <v>820.79628090129188</v>
      </c>
      <c r="I66" s="51"/>
      <c r="J66" s="41" t="str">
        <f t="shared" si="27"/>
        <v/>
      </c>
      <c r="K66" s="41" t="str">
        <f t="shared" si="28"/>
        <v/>
      </c>
      <c r="L66" s="42" t="str">
        <f t="shared" si="29"/>
        <v/>
      </c>
      <c r="M66" s="41" t="str">
        <f t="shared" si="30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>IF(I66&lt;&gt;"",_xlfn.XLOOKUP($D$4+I65+1,#REF!,#REF!,"",0) * 1000,"")</f>
        <v/>
      </c>
      <c r="T66" s="52">
        <f t="shared" si="31"/>
        <v>0.04</v>
      </c>
      <c r="U66" s="53" t="str">
        <f t="shared" si="16"/>
        <v/>
      </c>
      <c r="V66" s="53" t="str">
        <f t="shared" si="17"/>
        <v/>
      </c>
      <c r="W66" s="53" t="str">
        <f t="shared" si="18"/>
        <v/>
      </c>
      <c r="X66" s="46" t="str">
        <f t="shared" si="5"/>
        <v/>
      </c>
      <c r="Y66" s="54"/>
      <c r="Z66" s="41" t="str">
        <f t="shared" si="19"/>
        <v/>
      </c>
      <c r="AA66" s="41" t="str">
        <f t="shared" si="20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 t="str">
        <f t="shared" si="9"/>
        <v/>
      </c>
      <c r="AG66" s="41" t="str">
        <f t="shared" si="10"/>
        <v/>
      </c>
      <c r="AH66" s="41" t="str">
        <f t="shared" si="21"/>
        <v/>
      </c>
      <c r="AI66" s="41" t="str">
        <f t="shared" si="22"/>
        <v/>
      </c>
      <c r="AJ66" s="41">
        <f t="shared" si="11"/>
        <v>0</v>
      </c>
      <c r="AK66" s="41" t="str">
        <f t="shared" si="12"/>
        <v/>
      </c>
      <c r="AL66" s="41">
        <f t="shared" si="23"/>
        <v>0</v>
      </c>
      <c r="AM66" s="41">
        <f t="shared" si="13"/>
        <v>0</v>
      </c>
      <c r="AN66" s="41" t="str">
        <f t="shared" si="14"/>
        <v/>
      </c>
      <c r="AO66" s="41">
        <f t="shared" si="15"/>
        <v>0</v>
      </c>
      <c r="AP66" s="45"/>
      <c r="AQ66" s="45"/>
      <c r="AR66" s="48"/>
      <c r="AS66" s="48"/>
      <c r="AT66" s="51">
        <f t="shared" si="24"/>
        <v>62</v>
      </c>
      <c r="AU66" s="49" t="str">
        <f t="shared" si="25"/>
        <v/>
      </c>
      <c r="AV66" s="49" t="str">
        <f t="shared" si="26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3:50" ht="15" x14ac:dyDescent="0.25">
      <c r="C67" s="60">
        <v>42</v>
      </c>
      <c r="D67">
        <v>856.12751348760162</v>
      </c>
      <c r="I67" s="51"/>
      <c r="J67" s="41" t="str">
        <f t="shared" si="27"/>
        <v/>
      </c>
      <c r="K67" s="41" t="str">
        <f t="shared" si="28"/>
        <v/>
      </c>
      <c r="L67" s="42" t="str">
        <f t="shared" si="29"/>
        <v/>
      </c>
      <c r="M67" s="41" t="str">
        <f t="shared" si="30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>IF(I67&lt;&gt;"",_xlfn.XLOOKUP($D$4+I66+1,#REF!,#REF!,"",0) * 1000,"")</f>
        <v/>
      </c>
      <c r="T67" s="52">
        <f t="shared" si="31"/>
        <v>0.04</v>
      </c>
      <c r="U67" s="53" t="str">
        <f t="shared" si="16"/>
        <v/>
      </c>
      <c r="V67" s="53" t="str">
        <f t="shared" si="17"/>
        <v/>
      </c>
      <c r="W67" s="53" t="str">
        <f t="shared" si="18"/>
        <v/>
      </c>
      <c r="X67" s="46" t="str">
        <f t="shared" si="5"/>
        <v/>
      </c>
      <c r="Y67" s="54"/>
      <c r="Z67" s="41" t="str">
        <f t="shared" si="19"/>
        <v/>
      </c>
      <c r="AA67" s="41" t="str">
        <f t="shared" si="20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 t="str">
        <f t="shared" si="9"/>
        <v/>
      </c>
      <c r="AG67" s="41" t="str">
        <f t="shared" si="10"/>
        <v/>
      </c>
      <c r="AH67" s="41" t="str">
        <f t="shared" si="21"/>
        <v/>
      </c>
      <c r="AI67" s="41" t="str">
        <f t="shared" si="22"/>
        <v/>
      </c>
      <c r="AJ67" s="41">
        <f t="shared" si="11"/>
        <v>0</v>
      </c>
      <c r="AK67" s="41" t="str">
        <f t="shared" si="12"/>
        <v/>
      </c>
      <c r="AL67" s="41">
        <f t="shared" si="23"/>
        <v>0</v>
      </c>
      <c r="AM67" s="41">
        <f t="shared" si="13"/>
        <v>0</v>
      </c>
      <c r="AN67" s="41" t="str">
        <f t="shared" si="14"/>
        <v/>
      </c>
      <c r="AO67" s="41">
        <f t="shared" si="15"/>
        <v>0</v>
      </c>
      <c r="AP67" s="45"/>
      <c r="AQ67" s="45"/>
      <c r="AR67" s="48"/>
      <c r="AS67" s="48"/>
      <c r="AT67" s="51">
        <f t="shared" si="24"/>
        <v>63</v>
      </c>
      <c r="AU67" s="49" t="str">
        <f t="shared" si="25"/>
        <v/>
      </c>
      <c r="AV67" s="49" t="str">
        <f t="shared" si="26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3:50" ht="15" x14ac:dyDescent="0.25">
      <c r="C68" s="60">
        <v>43</v>
      </c>
      <c r="D68">
        <v>893.45902358410035</v>
      </c>
      <c r="I68" s="51"/>
      <c r="J68" s="41" t="str">
        <f t="shared" si="27"/>
        <v/>
      </c>
      <c r="K68" s="41" t="str">
        <f t="shared" si="28"/>
        <v/>
      </c>
      <c r="L68" s="42" t="str">
        <f t="shared" si="29"/>
        <v/>
      </c>
      <c r="M68" s="41" t="str">
        <f t="shared" si="30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>IF(I68&lt;&gt;"",_xlfn.XLOOKUP($D$4+I67+1,#REF!,#REF!,"",0) * 1000,"")</f>
        <v/>
      </c>
      <c r="T68" s="52">
        <f t="shared" si="31"/>
        <v>0.04</v>
      </c>
      <c r="U68" s="53" t="str">
        <f t="shared" si="16"/>
        <v/>
      </c>
      <c r="V68" s="53" t="str">
        <f t="shared" si="17"/>
        <v/>
      </c>
      <c r="W68" s="53" t="str">
        <f t="shared" si="18"/>
        <v/>
      </c>
      <c r="X68" s="46" t="str">
        <f t="shared" si="5"/>
        <v/>
      </c>
      <c r="Y68" s="54"/>
      <c r="Z68" s="41" t="str">
        <f t="shared" si="19"/>
        <v/>
      </c>
      <c r="AA68" s="41" t="str">
        <f t="shared" si="20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 t="str">
        <f t="shared" si="9"/>
        <v/>
      </c>
      <c r="AG68" s="41" t="str">
        <f t="shared" si="10"/>
        <v/>
      </c>
      <c r="AH68" s="41" t="str">
        <f t="shared" si="21"/>
        <v/>
      </c>
      <c r="AI68" s="41" t="str">
        <f t="shared" si="22"/>
        <v/>
      </c>
      <c r="AJ68" s="41">
        <f t="shared" si="11"/>
        <v>0</v>
      </c>
      <c r="AK68" s="41" t="str">
        <f t="shared" si="12"/>
        <v/>
      </c>
      <c r="AL68" s="41">
        <f t="shared" si="23"/>
        <v>0</v>
      </c>
      <c r="AM68" s="41">
        <f t="shared" si="13"/>
        <v>0</v>
      </c>
      <c r="AN68" s="41" t="str">
        <f t="shared" si="14"/>
        <v/>
      </c>
      <c r="AO68" s="41">
        <f t="shared" si="15"/>
        <v>0</v>
      </c>
      <c r="AP68" s="45"/>
      <c r="AQ68" s="45"/>
      <c r="AR68" s="48"/>
      <c r="AS68" s="48"/>
      <c r="AT68" s="51">
        <f t="shared" si="24"/>
        <v>64</v>
      </c>
      <c r="AU68" s="49" t="str">
        <f t="shared" si="25"/>
        <v/>
      </c>
      <c r="AV68" s="49" t="str">
        <f t="shared" si="26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3:50" ht="15" x14ac:dyDescent="0.25">
      <c r="C69" s="60">
        <v>44</v>
      </c>
      <c r="D69">
        <v>932.94049026279549</v>
      </c>
      <c r="I69" s="51"/>
      <c r="J69" s="41" t="str">
        <f t="shared" si="27"/>
        <v/>
      </c>
      <c r="K69" s="41" t="str">
        <f t="shared" si="28"/>
        <v/>
      </c>
      <c r="L69" s="42" t="str">
        <f t="shared" si="29"/>
        <v/>
      </c>
      <c r="M69" s="41" t="str">
        <f t="shared" si="30"/>
        <v/>
      </c>
      <c r="N69" s="43">
        <f t="shared" ref="N69:N123" si="32">AX69</f>
        <v>0</v>
      </c>
      <c r="O69" s="44">
        <f t="shared" ref="O69:O123" si="33">AW69</f>
        <v>0</v>
      </c>
      <c r="P69" s="41" t="str">
        <f t="shared" ref="P69:P124" si="34">IF(I69&lt;&gt;"", M69*N69/1000, "")</f>
        <v/>
      </c>
      <c r="Q69" s="41" t="str">
        <f t="shared" ref="Q69:Q124" si="35">IF(I69&lt;&gt;"", M69*O69/1000, "")</f>
        <v/>
      </c>
      <c r="R69" s="44"/>
      <c r="S69" s="44" t="str">
        <f>IF(I69&lt;&gt;"",_xlfn.XLOOKUP($D$4+I68+1,#REF!,#REF!,"",0) * 1000,"")</f>
        <v/>
      </c>
      <c r="T69" s="52">
        <f t="shared" si="31"/>
        <v>0.04</v>
      </c>
      <c r="U69" s="53" t="str">
        <f t="shared" si="16"/>
        <v/>
      </c>
      <c r="V69" s="53" t="str">
        <f t="shared" si="17"/>
        <v/>
      </c>
      <c r="W69" s="53" t="str">
        <f t="shared" si="18"/>
        <v/>
      </c>
      <c r="X69" s="46" t="str">
        <f t="shared" ref="X69:X124" si="36">IF(I69&lt;&gt;"", U69-SUM(V69:W69), "")</f>
        <v/>
      </c>
      <c r="Y69" s="54"/>
      <c r="Z69" s="41" t="str">
        <f t="shared" si="19"/>
        <v/>
      </c>
      <c r="AA69" s="41" t="str">
        <f t="shared" si="20"/>
        <v/>
      </c>
      <c r="AB69" s="41" t="str">
        <f t="shared" ref="AB69:AB124" si="37">IF(I69&lt;&gt;"", Q69*X69, "" )</f>
        <v/>
      </c>
      <c r="AC69" s="41" t="str">
        <f t="shared" ref="AC69:AC124" si="38">IF(I69&lt;&gt;"", $H$14*M69*X69, "")</f>
        <v/>
      </c>
      <c r="AD69" s="54"/>
      <c r="AE69" s="41" t="str">
        <f t="shared" ref="AE69:AE124" si="39">IF(I69&lt;&gt;"", $X69*J69, "")</f>
        <v/>
      </c>
      <c r="AF69" s="41" t="str">
        <f t="shared" ref="AF69:AF124" si="40">IF(I69&lt;&gt;"", -$X69*K69, "")</f>
        <v/>
      </c>
      <c r="AG69" s="41" t="str">
        <f t="shared" ref="AG69:AG124" si="41">IF(I69&lt;&gt;"", -$X69*L69, "")</f>
        <v/>
      </c>
      <c r="AH69" s="41" t="str">
        <f t="shared" si="21"/>
        <v/>
      </c>
      <c r="AI69" s="41" t="str">
        <f t="shared" si="22"/>
        <v/>
      </c>
      <c r="AJ69" s="41">
        <f t="shared" ref="AJ69:AJ124" si="42">SUM(AE69:AI69)</f>
        <v>0</v>
      </c>
      <c r="AK69" s="41" t="str">
        <f t="shared" ref="AK69:AK124" si="43">IF(I69&lt;&gt;"", Z69-AB69, "")</f>
        <v/>
      </c>
      <c r="AL69" s="41">
        <f t="shared" si="23"/>
        <v>0</v>
      </c>
      <c r="AM69" s="41">
        <f t="shared" ref="AM69:AM124" si="44">SUM(AJ69:AL69)</f>
        <v>0</v>
      </c>
      <c r="AN69" s="41" t="str">
        <f t="shared" ref="AN69:AN124" si="45">IF(I69&lt;&gt;"", AA69-AC69, "")</f>
        <v/>
      </c>
      <c r="AO69" s="41">
        <f t="shared" ref="AO69:AO78" si="46">SUM(AM69:AN69)</f>
        <v>0</v>
      </c>
      <c r="AP69" s="45"/>
      <c r="AQ69" s="45"/>
      <c r="AR69" s="48"/>
      <c r="AS69" s="48"/>
      <c r="AT69" s="51">
        <f t="shared" si="24"/>
        <v>65</v>
      </c>
      <c r="AU69" s="49" t="str">
        <f t="shared" si="25"/>
        <v/>
      </c>
      <c r="AV69" s="49" t="str">
        <f t="shared" si="26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3:50" ht="15" x14ac:dyDescent="0.25">
      <c r="C70" s="60">
        <v>45</v>
      </c>
      <c r="D70">
        <v>974.7310114058422</v>
      </c>
      <c r="I70" s="51"/>
      <c r="J70" s="41" t="str">
        <f t="shared" si="27"/>
        <v/>
      </c>
      <c r="K70" s="41" t="str">
        <f t="shared" si="28"/>
        <v/>
      </c>
      <c r="L70" s="42" t="str">
        <f t="shared" si="29"/>
        <v/>
      </c>
      <c r="M70" s="41" t="str">
        <f t="shared" si="30"/>
        <v/>
      </c>
      <c r="N70" s="43">
        <f t="shared" si="32"/>
        <v>0</v>
      </c>
      <c r="O70" s="44">
        <f t="shared" si="33"/>
        <v>0</v>
      </c>
      <c r="P70" s="41" t="str">
        <f t="shared" si="34"/>
        <v/>
      </c>
      <c r="Q70" s="41" t="str">
        <f t="shared" si="35"/>
        <v/>
      </c>
      <c r="R70" s="44"/>
      <c r="S70" s="44" t="str">
        <f>IF(I70&lt;&gt;"",_xlfn.XLOOKUP($D$4+I69+1,#REF!,#REF!,"",0) * 1000,"")</f>
        <v/>
      </c>
      <c r="T70" s="52">
        <f t="shared" si="31"/>
        <v>0.04</v>
      </c>
      <c r="U70" s="53" t="str">
        <f t="shared" ref="U70:U124" si="47">IF(I70&lt;&gt;"", X69, "")</f>
        <v/>
      </c>
      <c r="V70" s="53" t="str">
        <f t="shared" ref="V70:V124" si="48">IF(I70&lt;&gt;"", S70*U70/1000, "")</f>
        <v/>
      </c>
      <c r="W70" s="53" t="str">
        <f t="shared" ref="W70:W124" si="49">IF(I70&lt;&gt;"", MIN(T70*U70,U70-V70), "")</f>
        <v/>
      </c>
      <c r="X70" s="46" t="str">
        <f t="shared" si="36"/>
        <v/>
      </c>
      <c r="Y70" s="54"/>
      <c r="Z70" s="41" t="str">
        <f t="shared" ref="Z70:Z124" si="50">IF(I70&lt;&gt;"",AB69,"")</f>
        <v/>
      </c>
      <c r="AA70" s="41" t="str">
        <f t="shared" ref="AA70:AA124" si="51">IF(I70&lt;&gt;"", AC69, "")</f>
        <v/>
      </c>
      <c r="AB70" s="41" t="str">
        <f t="shared" si="37"/>
        <v/>
      </c>
      <c r="AC70" s="41" t="str">
        <f t="shared" si="38"/>
        <v/>
      </c>
      <c r="AD70" s="54"/>
      <c r="AE70" s="41" t="str">
        <f t="shared" si="39"/>
        <v/>
      </c>
      <c r="AF70" s="41" t="str">
        <f t="shared" si="40"/>
        <v/>
      </c>
      <c r="AG70" s="41" t="str">
        <f t="shared" si="41"/>
        <v/>
      </c>
      <c r="AH70" s="41" t="str">
        <f t="shared" ref="AH70:AH124" si="52">IF(I70&lt;&gt;"",-M70*V70,"")</f>
        <v/>
      </c>
      <c r="AI70" s="41" t="str">
        <f t="shared" ref="AI70:AI124" si="53">IF(I70 &lt;&gt; "", -P70*W70, "")</f>
        <v/>
      </c>
      <c r="AJ70" s="41">
        <f t="shared" si="42"/>
        <v>0</v>
      </c>
      <c r="AK70" s="41" t="str">
        <f t="shared" si="43"/>
        <v/>
      </c>
      <c r="AL70" s="41">
        <f t="shared" ref="AL70:AL124" si="54">$D$6*SUM(Z70:AA70,AE70:AF70)</f>
        <v>0</v>
      </c>
      <c r="AM70" s="41">
        <f t="shared" si="44"/>
        <v>0</v>
      </c>
      <c r="AN70" s="41" t="str">
        <f t="shared" si="45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5">AT69+1</f>
        <v>66</v>
      </c>
      <c r="AU70" s="49" t="str">
        <f t="shared" ref="AU70:AU124" si="56">IF(I70&lt;&gt;"", AU69-AV69, "")</f>
        <v/>
      </c>
      <c r="AV70" s="49" t="str">
        <f t="shared" ref="AV70:AV124" si="57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3:50" ht="15" x14ac:dyDescent="0.25">
      <c r="C71" s="60">
        <v>46</v>
      </c>
      <c r="D71">
        <v>1019.0383512227058</v>
      </c>
      <c r="I71" s="51"/>
      <c r="J71" s="41" t="str">
        <f t="shared" ref="J71:J124" si="58">IF(I71&lt;&gt;"",$H$3,"")</f>
        <v/>
      </c>
      <c r="K71" s="41" t="str">
        <f t="shared" ref="K71:K124" si="59">IF(J71&lt;&gt;"",J71*$C$17,"")</f>
        <v/>
      </c>
      <c r="L71" s="42" t="str">
        <f t="shared" ref="L71:L124" si="60">IF(I71&lt;&gt;"",$C$21,"")</f>
        <v/>
      </c>
      <c r="M71" s="41" t="str">
        <f t="shared" ref="M71:M124" si="61">IF(I71&lt;&gt;"",$E$11,"")</f>
        <v/>
      </c>
      <c r="N71" s="43">
        <f t="shared" si="32"/>
        <v>0</v>
      </c>
      <c r="O71" s="44">
        <f t="shared" si="33"/>
        <v>0</v>
      </c>
      <c r="P71" s="41" t="str">
        <f t="shared" si="34"/>
        <v/>
      </c>
      <c r="Q71" s="41" t="str">
        <f t="shared" si="35"/>
        <v/>
      </c>
      <c r="R71" s="44"/>
      <c r="S71" s="44" t="str">
        <f>IF(I71&lt;&gt;"",_xlfn.XLOOKUP($D$4+I70+1,#REF!,#REF!,"",0) * 1000,"")</f>
        <v/>
      </c>
      <c r="T71" s="52">
        <f t="shared" si="31"/>
        <v>0.04</v>
      </c>
      <c r="U71" s="53" t="str">
        <f t="shared" si="47"/>
        <v/>
      </c>
      <c r="V71" s="53" t="str">
        <f t="shared" si="48"/>
        <v/>
      </c>
      <c r="W71" s="53" t="str">
        <f t="shared" si="49"/>
        <v/>
      </c>
      <c r="X71" s="46" t="str">
        <f t="shared" si="36"/>
        <v/>
      </c>
      <c r="Y71" s="54"/>
      <c r="Z71" s="41" t="str">
        <f t="shared" si="50"/>
        <v/>
      </c>
      <c r="AA71" s="41" t="str">
        <f t="shared" si="51"/>
        <v/>
      </c>
      <c r="AB71" s="41" t="str">
        <f t="shared" si="37"/>
        <v/>
      </c>
      <c r="AC71" s="41" t="str">
        <f t="shared" si="38"/>
        <v/>
      </c>
      <c r="AD71" s="54"/>
      <c r="AE71" s="41" t="str">
        <f t="shared" si="39"/>
        <v/>
      </c>
      <c r="AF71" s="41" t="str">
        <f t="shared" si="40"/>
        <v/>
      </c>
      <c r="AG71" s="41" t="str">
        <f t="shared" si="41"/>
        <v/>
      </c>
      <c r="AH71" s="41" t="str">
        <f t="shared" si="52"/>
        <v/>
      </c>
      <c r="AI71" s="41" t="str">
        <f t="shared" si="53"/>
        <v/>
      </c>
      <c r="AJ71" s="41">
        <f t="shared" si="42"/>
        <v>0</v>
      </c>
      <c r="AK71" s="41" t="str">
        <f t="shared" si="43"/>
        <v/>
      </c>
      <c r="AL71" s="41">
        <f t="shared" si="54"/>
        <v>0</v>
      </c>
      <c r="AM71" s="41">
        <f t="shared" si="44"/>
        <v>0</v>
      </c>
      <c r="AN71" s="41" t="str">
        <f t="shared" si="45"/>
        <v/>
      </c>
      <c r="AO71" s="41">
        <f t="shared" si="46"/>
        <v>0</v>
      </c>
      <c r="AP71" s="45"/>
      <c r="AQ71" s="45"/>
      <c r="AR71" s="48"/>
      <c r="AS71" s="48"/>
      <c r="AT71" s="51">
        <f t="shared" si="55"/>
        <v>67</v>
      </c>
      <c r="AU71" s="49" t="str">
        <f t="shared" si="56"/>
        <v/>
      </c>
      <c r="AV71" s="49" t="str">
        <f t="shared" si="57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3:50" ht="15" x14ac:dyDescent="0.25">
      <c r="C72" s="60">
        <v>47</v>
      </c>
      <c r="D72">
        <v>1065.9872242248957</v>
      </c>
      <c r="I72" s="51"/>
      <c r="J72" s="41" t="str">
        <f t="shared" si="58"/>
        <v/>
      </c>
      <c r="K72" s="41" t="str">
        <f t="shared" si="59"/>
        <v/>
      </c>
      <c r="L72" s="42" t="str">
        <f t="shared" si="60"/>
        <v/>
      </c>
      <c r="M72" s="41" t="str">
        <f t="shared" si="61"/>
        <v/>
      </c>
      <c r="N72" s="43">
        <f>AX72</f>
        <v>0</v>
      </c>
      <c r="O72" s="44">
        <f t="shared" si="33"/>
        <v>0</v>
      </c>
      <c r="P72" s="41" t="str">
        <f t="shared" si="34"/>
        <v/>
      </c>
      <c r="Q72" s="41" t="str">
        <f t="shared" si="35"/>
        <v/>
      </c>
      <c r="R72" s="44"/>
      <c r="S72" s="44" t="str">
        <f>IF(I72&lt;&gt;"",_xlfn.XLOOKUP($D$4+I71+1,#REF!,#REF!,"",0) * 1000,"")</f>
        <v/>
      </c>
      <c r="T72" s="52">
        <f t="shared" si="31"/>
        <v>0.04</v>
      </c>
      <c r="U72" s="53" t="str">
        <f t="shared" si="47"/>
        <v/>
      </c>
      <c r="V72" s="53" t="str">
        <f t="shared" si="48"/>
        <v/>
      </c>
      <c r="W72" s="53" t="str">
        <f t="shared" si="49"/>
        <v/>
      </c>
      <c r="X72" s="46" t="str">
        <f t="shared" si="36"/>
        <v/>
      </c>
      <c r="Y72" s="54"/>
      <c r="Z72" s="41" t="str">
        <f t="shared" si="50"/>
        <v/>
      </c>
      <c r="AA72" s="41" t="str">
        <f t="shared" si="51"/>
        <v/>
      </c>
      <c r="AB72" s="41" t="str">
        <f t="shared" si="37"/>
        <v/>
      </c>
      <c r="AC72" s="41" t="str">
        <f t="shared" si="38"/>
        <v/>
      </c>
      <c r="AD72" s="54"/>
      <c r="AE72" s="41" t="str">
        <f t="shared" si="39"/>
        <v/>
      </c>
      <c r="AF72" s="41" t="str">
        <f t="shared" si="40"/>
        <v/>
      </c>
      <c r="AG72" s="41" t="str">
        <f t="shared" si="41"/>
        <v/>
      </c>
      <c r="AH72" s="41" t="str">
        <f t="shared" si="52"/>
        <v/>
      </c>
      <c r="AI72" s="41" t="str">
        <f t="shared" si="53"/>
        <v/>
      </c>
      <c r="AJ72" s="41">
        <f t="shared" si="42"/>
        <v>0</v>
      </c>
      <c r="AK72" s="41" t="str">
        <f t="shared" si="43"/>
        <v/>
      </c>
      <c r="AL72" s="41">
        <f t="shared" si="54"/>
        <v>0</v>
      </c>
      <c r="AM72" s="41">
        <f t="shared" si="44"/>
        <v>0</v>
      </c>
      <c r="AN72" s="41" t="str">
        <f t="shared" si="45"/>
        <v/>
      </c>
      <c r="AO72" s="41">
        <f t="shared" si="46"/>
        <v>0</v>
      </c>
      <c r="AP72" s="45"/>
      <c r="AQ72" s="45"/>
      <c r="AR72" s="48"/>
      <c r="AS72" s="48"/>
      <c r="AT72" s="51">
        <f t="shared" si="55"/>
        <v>68</v>
      </c>
      <c r="AU72" s="49" t="str">
        <f t="shared" si="56"/>
        <v/>
      </c>
      <c r="AV72" s="49" t="str">
        <f t="shared" si="57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3:50" ht="15" x14ac:dyDescent="0.25">
      <c r="C73" s="60">
        <v>48</v>
      </c>
      <c r="D73">
        <v>1115.7151092761242</v>
      </c>
      <c r="I73" s="51"/>
      <c r="J73" s="41" t="str">
        <f t="shared" si="58"/>
        <v/>
      </c>
      <c r="K73" s="41" t="str">
        <f t="shared" si="59"/>
        <v/>
      </c>
      <c r="L73" s="42" t="str">
        <f t="shared" si="60"/>
        <v/>
      </c>
      <c r="M73" s="41" t="str">
        <f t="shared" si="61"/>
        <v/>
      </c>
      <c r="N73" s="43">
        <f t="shared" si="32"/>
        <v>0</v>
      </c>
      <c r="O73" s="44">
        <f t="shared" si="33"/>
        <v>0</v>
      </c>
      <c r="P73" s="41" t="str">
        <f t="shared" si="34"/>
        <v/>
      </c>
      <c r="Q73" s="41" t="str">
        <f t="shared" si="35"/>
        <v/>
      </c>
      <c r="R73" s="44"/>
      <c r="S73" s="44" t="str">
        <f>IF(I73&lt;&gt;"",_xlfn.XLOOKUP($D$4+I72+1,#REF!,#REF!,"",0) * 1000,"")</f>
        <v/>
      </c>
      <c r="T73" s="52">
        <f t="shared" si="31"/>
        <v>0.04</v>
      </c>
      <c r="U73" s="53" t="str">
        <f t="shared" si="47"/>
        <v/>
      </c>
      <c r="V73" s="53" t="str">
        <f t="shared" si="48"/>
        <v/>
      </c>
      <c r="W73" s="53" t="str">
        <f t="shared" si="49"/>
        <v/>
      </c>
      <c r="X73" s="46" t="str">
        <f t="shared" si="36"/>
        <v/>
      </c>
      <c r="Y73" s="54"/>
      <c r="Z73" s="41" t="str">
        <f t="shared" si="50"/>
        <v/>
      </c>
      <c r="AA73" s="41" t="str">
        <f t="shared" si="51"/>
        <v/>
      </c>
      <c r="AB73" s="41" t="str">
        <f t="shared" si="37"/>
        <v/>
      </c>
      <c r="AC73" s="41" t="str">
        <f t="shared" si="38"/>
        <v/>
      </c>
      <c r="AD73" s="54"/>
      <c r="AE73" s="41" t="str">
        <f t="shared" si="39"/>
        <v/>
      </c>
      <c r="AF73" s="41" t="str">
        <f t="shared" si="40"/>
        <v/>
      </c>
      <c r="AG73" s="41" t="str">
        <f t="shared" si="41"/>
        <v/>
      </c>
      <c r="AH73" s="41" t="str">
        <f t="shared" si="52"/>
        <v/>
      </c>
      <c r="AI73" s="41" t="str">
        <f t="shared" si="53"/>
        <v/>
      </c>
      <c r="AJ73" s="41">
        <f t="shared" si="42"/>
        <v>0</v>
      </c>
      <c r="AK73" s="41" t="str">
        <f t="shared" si="43"/>
        <v/>
      </c>
      <c r="AL73" s="41">
        <f t="shared" si="54"/>
        <v>0</v>
      </c>
      <c r="AM73" s="41">
        <f t="shared" si="44"/>
        <v>0</v>
      </c>
      <c r="AN73" s="41" t="str">
        <f t="shared" si="45"/>
        <v/>
      </c>
      <c r="AO73" s="41">
        <f t="shared" si="46"/>
        <v>0</v>
      </c>
      <c r="AP73" s="45"/>
      <c r="AQ73" s="45"/>
      <c r="AR73" s="48"/>
      <c r="AS73" s="48"/>
      <c r="AT73" s="51">
        <f t="shared" si="55"/>
        <v>69</v>
      </c>
      <c r="AU73" s="49" t="str">
        <f t="shared" si="56"/>
        <v/>
      </c>
      <c r="AV73" s="49" t="str">
        <f t="shared" si="57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3:50" ht="15" x14ac:dyDescent="0.25">
      <c r="C74" s="60">
        <v>49</v>
      </c>
      <c r="D74">
        <v>1168.4697146138726</v>
      </c>
      <c r="I74" s="51"/>
      <c r="J74" s="41" t="str">
        <f t="shared" si="58"/>
        <v/>
      </c>
      <c r="K74" s="41" t="str">
        <f t="shared" si="59"/>
        <v/>
      </c>
      <c r="L74" s="42" t="str">
        <f t="shared" si="60"/>
        <v/>
      </c>
      <c r="M74" s="41" t="str">
        <f t="shared" si="61"/>
        <v/>
      </c>
      <c r="N74" s="43">
        <f t="shared" si="32"/>
        <v>0</v>
      </c>
      <c r="O74" s="44">
        <f t="shared" si="33"/>
        <v>0</v>
      </c>
      <c r="P74" s="41" t="str">
        <f t="shared" si="34"/>
        <v/>
      </c>
      <c r="Q74" s="41" t="str">
        <f t="shared" si="35"/>
        <v/>
      </c>
      <c r="R74" s="44"/>
      <c r="S74" s="44" t="str">
        <f>IF(I74&lt;&gt;"",_xlfn.XLOOKUP($D$4+I73+1,#REF!,#REF!,"",0) * 1000,"")</f>
        <v/>
      </c>
      <c r="T74" s="52">
        <f t="shared" si="31"/>
        <v>0.04</v>
      </c>
      <c r="U74" s="53" t="str">
        <f t="shared" si="47"/>
        <v/>
      </c>
      <c r="V74" s="53" t="str">
        <f t="shared" si="48"/>
        <v/>
      </c>
      <c r="W74" s="53" t="str">
        <f t="shared" si="49"/>
        <v/>
      </c>
      <c r="X74" s="46" t="str">
        <f t="shared" si="36"/>
        <v/>
      </c>
      <c r="Y74" s="54"/>
      <c r="Z74" s="41" t="str">
        <f t="shared" si="50"/>
        <v/>
      </c>
      <c r="AA74" s="41" t="str">
        <f t="shared" si="51"/>
        <v/>
      </c>
      <c r="AB74" s="41" t="str">
        <f t="shared" si="37"/>
        <v/>
      </c>
      <c r="AC74" s="41" t="str">
        <f t="shared" si="38"/>
        <v/>
      </c>
      <c r="AD74" s="54"/>
      <c r="AE74" s="41" t="str">
        <f t="shared" si="39"/>
        <v/>
      </c>
      <c r="AF74" s="41" t="str">
        <f t="shared" si="40"/>
        <v/>
      </c>
      <c r="AG74" s="41" t="str">
        <f t="shared" si="41"/>
        <v/>
      </c>
      <c r="AH74" s="41" t="str">
        <f t="shared" si="52"/>
        <v/>
      </c>
      <c r="AI74" s="41" t="str">
        <f t="shared" si="53"/>
        <v/>
      </c>
      <c r="AJ74" s="41">
        <f t="shared" si="42"/>
        <v>0</v>
      </c>
      <c r="AK74" s="41" t="str">
        <f t="shared" si="43"/>
        <v/>
      </c>
      <c r="AL74" s="41">
        <f t="shared" si="54"/>
        <v>0</v>
      </c>
      <c r="AM74" s="41">
        <f t="shared" si="44"/>
        <v>0</v>
      </c>
      <c r="AN74" s="41" t="str">
        <f t="shared" si="45"/>
        <v/>
      </c>
      <c r="AO74" s="41">
        <f t="shared" si="46"/>
        <v>0</v>
      </c>
      <c r="AP74" s="45"/>
      <c r="AQ74" s="45"/>
      <c r="AR74" s="48"/>
      <c r="AS74" s="48"/>
      <c r="AT74" s="51">
        <f t="shared" si="55"/>
        <v>70</v>
      </c>
      <c r="AU74" s="49" t="str">
        <f t="shared" si="56"/>
        <v/>
      </c>
      <c r="AV74" s="49" t="str">
        <f t="shared" si="57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3:50" ht="15" x14ac:dyDescent="0.25">
      <c r="C75" s="60">
        <v>50</v>
      </c>
      <c r="D75">
        <v>1224.4924079434948</v>
      </c>
      <c r="I75" s="51"/>
      <c r="J75" s="41" t="str">
        <f t="shared" si="58"/>
        <v/>
      </c>
      <c r="K75" s="41" t="str">
        <f t="shared" si="59"/>
        <v/>
      </c>
      <c r="L75" s="42" t="str">
        <f t="shared" si="60"/>
        <v/>
      </c>
      <c r="M75" s="41" t="str">
        <f t="shared" si="61"/>
        <v/>
      </c>
      <c r="N75" s="43">
        <f t="shared" si="32"/>
        <v>0</v>
      </c>
      <c r="O75" s="44">
        <f t="shared" si="33"/>
        <v>0</v>
      </c>
      <c r="P75" s="41" t="str">
        <f t="shared" si="34"/>
        <v/>
      </c>
      <c r="Q75" s="41" t="str">
        <f t="shared" si="35"/>
        <v/>
      </c>
      <c r="R75" s="44"/>
      <c r="S75" s="44" t="str">
        <f>IF(I75&lt;&gt;"",_xlfn.XLOOKUP($D$4+I74+1,#REF!,#REF!,"",0) * 1000,"")</f>
        <v/>
      </c>
      <c r="T75" s="52">
        <f t="shared" si="31"/>
        <v>0.04</v>
      </c>
      <c r="U75" s="53" t="str">
        <f t="shared" si="47"/>
        <v/>
      </c>
      <c r="V75" s="53" t="str">
        <f t="shared" si="48"/>
        <v/>
      </c>
      <c r="W75" s="53" t="str">
        <f t="shared" si="49"/>
        <v/>
      </c>
      <c r="X75" s="46" t="str">
        <f t="shared" si="36"/>
        <v/>
      </c>
      <c r="Y75" s="54"/>
      <c r="Z75" s="41" t="str">
        <f t="shared" si="50"/>
        <v/>
      </c>
      <c r="AA75" s="41" t="str">
        <f t="shared" si="51"/>
        <v/>
      </c>
      <c r="AB75" s="41" t="str">
        <f t="shared" si="37"/>
        <v/>
      </c>
      <c r="AC75" s="41" t="str">
        <f t="shared" si="38"/>
        <v/>
      </c>
      <c r="AD75" s="54"/>
      <c r="AE75" s="41" t="str">
        <f t="shared" si="39"/>
        <v/>
      </c>
      <c r="AF75" s="41" t="str">
        <f t="shared" si="40"/>
        <v/>
      </c>
      <c r="AG75" s="41" t="str">
        <f t="shared" si="41"/>
        <v/>
      </c>
      <c r="AH75" s="41" t="str">
        <f t="shared" si="52"/>
        <v/>
      </c>
      <c r="AI75" s="41" t="str">
        <f t="shared" si="53"/>
        <v/>
      </c>
      <c r="AJ75" s="41">
        <f t="shared" si="42"/>
        <v>0</v>
      </c>
      <c r="AK75" s="41" t="str">
        <f t="shared" si="43"/>
        <v/>
      </c>
      <c r="AL75" s="41">
        <f t="shared" si="54"/>
        <v>0</v>
      </c>
      <c r="AM75" s="41">
        <f t="shared" si="44"/>
        <v>0</v>
      </c>
      <c r="AN75" s="41" t="str">
        <f t="shared" si="45"/>
        <v/>
      </c>
      <c r="AO75" s="41">
        <f t="shared" si="46"/>
        <v>0</v>
      </c>
      <c r="AP75" s="45"/>
      <c r="AQ75" s="45"/>
      <c r="AR75" s="48"/>
      <c r="AS75" s="48"/>
      <c r="AT75" s="51">
        <f t="shared" si="55"/>
        <v>71</v>
      </c>
      <c r="AU75" s="49" t="str">
        <f t="shared" si="56"/>
        <v/>
      </c>
      <c r="AV75" s="49" t="str">
        <f t="shared" si="57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3:50" ht="15" x14ac:dyDescent="0.25">
      <c r="C76" s="60">
        <v>51</v>
      </c>
      <c r="D76">
        <v>1284.0919507406163</v>
      </c>
      <c r="I76" s="51"/>
      <c r="J76" s="41" t="str">
        <f t="shared" si="58"/>
        <v/>
      </c>
      <c r="K76" s="41" t="str">
        <f t="shared" si="59"/>
        <v/>
      </c>
      <c r="L76" s="42" t="str">
        <f t="shared" si="60"/>
        <v/>
      </c>
      <c r="M76" s="41" t="str">
        <f t="shared" si="61"/>
        <v/>
      </c>
      <c r="N76" s="43">
        <f t="shared" si="32"/>
        <v>0</v>
      </c>
      <c r="O76" s="44">
        <f t="shared" si="33"/>
        <v>0</v>
      </c>
      <c r="P76" s="41" t="str">
        <f t="shared" si="34"/>
        <v/>
      </c>
      <c r="Q76" s="41" t="str">
        <f t="shared" si="35"/>
        <v/>
      </c>
      <c r="R76" s="44"/>
      <c r="S76" s="44" t="str">
        <f>IF(I76&lt;&gt;"",_xlfn.XLOOKUP($D$4+I75+1,#REF!,#REF!,"",0) * 1000,"")</f>
        <v/>
      </c>
      <c r="T76" s="52">
        <f t="shared" si="31"/>
        <v>0.04</v>
      </c>
      <c r="U76" s="53" t="str">
        <f t="shared" si="47"/>
        <v/>
      </c>
      <c r="V76" s="53" t="str">
        <f t="shared" si="48"/>
        <v/>
      </c>
      <c r="W76" s="53" t="str">
        <f t="shared" si="49"/>
        <v/>
      </c>
      <c r="X76" s="46" t="str">
        <f t="shared" si="36"/>
        <v/>
      </c>
      <c r="Y76" s="54"/>
      <c r="Z76" s="41" t="str">
        <f t="shared" si="50"/>
        <v/>
      </c>
      <c r="AA76" s="41" t="str">
        <f t="shared" si="51"/>
        <v/>
      </c>
      <c r="AB76" s="41" t="str">
        <f t="shared" si="37"/>
        <v/>
      </c>
      <c r="AC76" s="41" t="str">
        <f t="shared" si="38"/>
        <v/>
      </c>
      <c r="AD76" s="54"/>
      <c r="AE76" s="41" t="str">
        <f t="shared" si="39"/>
        <v/>
      </c>
      <c r="AF76" s="41" t="str">
        <f t="shared" si="40"/>
        <v/>
      </c>
      <c r="AG76" s="41" t="str">
        <f t="shared" si="41"/>
        <v/>
      </c>
      <c r="AH76" s="41" t="str">
        <f t="shared" si="52"/>
        <v/>
      </c>
      <c r="AI76" s="41" t="str">
        <f t="shared" si="53"/>
        <v/>
      </c>
      <c r="AJ76" s="41">
        <f t="shared" si="42"/>
        <v>0</v>
      </c>
      <c r="AK76" s="41" t="str">
        <f t="shared" si="43"/>
        <v/>
      </c>
      <c r="AL76" s="41">
        <f t="shared" si="54"/>
        <v>0</v>
      </c>
      <c r="AM76" s="41">
        <f t="shared" si="44"/>
        <v>0</v>
      </c>
      <c r="AN76" s="41" t="str">
        <f t="shared" si="45"/>
        <v/>
      </c>
      <c r="AO76" s="41">
        <f t="shared" si="46"/>
        <v>0</v>
      </c>
      <c r="AP76" s="45"/>
      <c r="AQ76" s="45"/>
      <c r="AR76" s="48"/>
      <c r="AS76" s="48"/>
      <c r="AT76" s="51">
        <f t="shared" si="55"/>
        <v>72</v>
      </c>
      <c r="AU76" s="49" t="str">
        <f t="shared" si="56"/>
        <v/>
      </c>
      <c r="AV76" s="49" t="str">
        <f t="shared" si="57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3:50" ht="15" x14ac:dyDescent="0.25">
      <c r="C77" s="60">
        <v>52</v>
      </c>
      <c r="D77">
        <v>1347.4854666022229</v>
      </c>
      <c r="I77" s="51"/>
      <c r="J77" s="41" t="str">
        <f t="shared" si="58"/>
        <v/>
      </c>
      <c r="K77" s="41" t="str">
        <f t="shared" si="59"/>
        <v/>
      </c>
      <c r="L77" s="42" t="str">
        <f t="shared" si="60"/>
        <v/>
      </c>
      <c r="M77" s="41" t="str">
        <f t="shared" si="61"/>
        <v/>
      </c>
      <c r="N77" s="43">
        <f t="shared" si="32"/>
        <v>0</v>
      </c>
      <c r="O77" s="44">
        <f t="shared" si="33"/>
        <v>0</v>
      </c>
      <c r="P77" s="41" t="str">
        <f t="shared" si="34"/>
        <v/>
      </c>
      <c r="Q77" s="41" t="str">
        <f t="shared" si="35"/>
        <v/>
      </c>
      <c r="R77" s="44"/>
      <c r="S77" s="44" t="str">
        <f>IF(I77&lt;&gt;"",_xlfn.XLOOKUP($D$4+I76+1,#REF!,#REF!,"",0) * 1000,"")</f>
        <v/>
      </c>
      <c r="T77" s="52">
        <f t="shared" si="31"/>
        <v>0.04</v>
      </c>
      <c r="U77" s="53" t="str">
        <f t="shared" si="47"/>
        <v/>
      </c>
      <c r="V77" s="53" t="str">
        <f t="shared" si="48"/>
        <v/>
      </c>
      <c r="W77" s="53" t="str">
        <f t="shared" si="49"/>
        <v/>
      </c>
      <c r="X77" s="46" t="str">
        <f t="shared" si="36"/>
        <v/>
      </c>
      <c r="Y77" s="54"/>
      <c r="Z77" s="41" t="str">
        <f t="shared" si="50"/>
        <v/>
      </c>
      <c r="AA77" s="41" t="str">
        <f t="shared" si="51"/>
        <v/>
      </c>
      <c r="AB77" s="41" t="str">
        <f t="shared" si="37"/>
        <v/>
      </c>
      <c r="AC77" s="41" t="str">
        <f t="shared" si="38"/>
        <v/>
      </c>
      <c r="AD77" s="54"/>
      <c r="AE77" s="41" t="str">
        <f t="shared" si="39"/>
        <v/>
      </c>
      <c r="AF77" s="41" t="str">
        <f t="shared" si="40"/>
        <v/>
      </c>
      <c r="AG77" s="41" t="str">
        <f t="shared" si="41"/>
        <v/>
      </c>
      <c r="AH77" s="41" t="str">
        <f t="shared" si="52"/>
        <v/>
      </c>
      <c r="AI77" s="41" t="str">
        <f t="shared" si="53"/>
        <v/>
      </c>
      <c r="AJ77" s="41">
        <f t="shared" si="42"/>
        <v>0</v>
      </c>
      <c r="AK77" s="41" t="str">
        <f t="shared" si="43"/>
        <v/>
      </c>
      <c r="AL77" s="41">
        <f t="shared" si="54"/>
        <v>0</v>
      </c>
      <c r="AM77" s="41">
        <f t="shared" si="44"/>
        <v>0</v>
      </c>
      <c r="AN77" s="41" t="str">
        <f t="shared" si="45"/>
        <v/>
      </c>
      <c r="AO77" s="41">
        <f t="shared" si="46"/>
        <v>0</v>
      </c>
      <c r="AP77" s="45"/>
      <c r="AQ77" s="45"/>
      <c r="AR77" s="48"/>
      <c r="AS77" s="48"/>
      <c r="AT77" s="51">
        <f t="shared" si="55"/>
        <v>73</v>
      </c>
      <c r="AU77" s="49" t="str">
        <f t="shared" si="56"/>
        <v/>
      </c>
      <c r="AV77" s="49" t="str">
        <f t="shared" si="57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3:50" ht="15" x14ac:dyDescent="0.25">
      <c r="C78" s="60">
        <v>53</v>
      </c>
      <c r="D78">
        <v>1414.9109130180254</v>
      </c>
      <c r="I78" s="51"/>
      <c r="J78" s="41" t="str">
        <f t="shared" si="58"/>
        <v/>
      </c>
      <c r="K78" s="41" t="str">
        <f t="shared" si="59"/>
        <v/>
      </c>
      <c r="L78" s="42" t="str">
        <f t="shared" si="60"/>
        <v/>
      </c>
      <c r="M78" s="41" t="str">
        <f t="shared" si="61"/>
        <v/>
      </c>
      <c r="N78" s="43">
        <f>AX78</f>
        <v>0</v>
      </c>
      <c r="O78" s="44">
        <f t="shared" si="33"/>
        <v>0</v>
      </c>
      <c r="P78" s="41" t="str">
        <f t="shared" si="34"/>
        <v/>
      </c>
      <c r="Q78" s="41" t="str">
        <f t="shared" si="35"/>
        <v/>
      </c>
      <c r="R78" s="44"/>
      <c r="S78" s="44" t="str">
        <f>IF(I78&lt;&gt;"",_xlfn.XLOOKUP($D$4+I77+1,#REF!,#REF!,"",0) * 1000,"")</f>
        <v/>
      </c>
      <c r="T78" s="52">
        <f t="shared" si="31"/>
        <v>0.04</v>
      </c>
      <c r="U78" s="53" t="str">
        <f t="shared" si="47"/>
        <v/>
      </c>
      <c r="V78" s="53" t="str">
        <f t="shared" si="48"/>
        <v/>
      </c>
      <c r="W78" s="53" t="str">
        <f t="shared" si="49"/>
        <v/>
      </c>
      <c r="X78" s="46" t="str">
        <f t="shared" si="36"/>
        <v/>
      </c>
      <c r="Y78" s="54"/>
      <c r="Z78" s="41" t="str">
        <f t="shared" si="50"/>
        <v/>
      </c>
      <c r="AA78" s="41" t="str">
        <f t="shared" si="51"/>
        <v/>
      </c>
      <c r="AB78" s="41" t="str">
        <f t="shared" si="37"/>
        <v/>
      </c>
      <c r="AC78" s="41" t="str">
        <f t="shared" si="38"/>
        <v/>
      </c>
      <c r="AD78" s="54"/>
      <c r="AE78" s="41" t="str">
        <f t="shared" si="39"/>
        <v/>
      </c>
      <c r="AF78" s="41" t="str">
        <f t="shared" si="40"/>
        <v/>
      </c>
      <c r="AG78" s="41" t="str">
        <f t="shared" si="41"/>
        <v/>
      </c>
      <c r="AH78" s="41" t="str">
        <f t="shared" si="52"/>
        <v/>
      </c>
      <c r="AI78" s="41" t="str">
        <f t="shared" si="53"/>
        <v/>
      </c>
      <c r="AJ78" s="41">
        <f t="shared" si="42"/>
        <v>0</v>
      </c>
      <c r="AK78" s="41" t="str">
        <f t="shared" si="43"/>
        <v/>
      </c>
      <c r="AL78" s="41">
        <f t="shared" si="54"/>
        <v>0</v>
      </c>
      <c r="AM78" s="41">
        <f t="shared" si="44"/>
        <v>0</v>
      </c>
      <c r="AN78" s="41" t="str">
        <f t="shared" si="45"/>
        <v/>
      </c>
      <c r="AO78" s="41">
        <f t="shared" si="46"/>
        <v>0</v>
      </c>
      <c r="AP78" s="45"/>
      <c r="AQ78" s="45"/>
      <c r="AR78" s="48"/>
      <c r="AS78" s="48"/>
      <c r="AT78" s="51">
        <f t="shared" si="55"/>
        <v>74</v>
      </c>
      <c r="AU78" s="49" t="str">
        <f t="shared" si="56"/>
        <v/>
      </c>
      <c r="AV78" s="49" t="str">
        <f t="shared" si="57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3:50" ht="15" x14ac:dyDescent="0.25">
      <c r="C79" s="60">
        <v>54</v>
      </c>
      <c r="D79">
        <v>1486.6990676434971</v>
      </c>
      <c r="I79" s="51"/>
      <c r="J79" s="41" t="str">
        <f t="shared" si="58"/>
        <v/>
      </c>
      <c r="K79" s="41" t="str">
        <f t="shared" si="59"/>
        <v/>
      </c>
      <c r="L79" s="42" t="str">
        <f t="shared" si="60"/>
        <v/>
      </c>
      <c r="M79" s="41" t="str">
        <f t="shared" si="61"/>
        <v/>
      </c>
      <c r="N79" s="43">
        <f t="shared" si="32"/>
        <v>0</v>
      </c>
      <c r="O79" s="44">
        <f t="shared" si="33"/>
        <v>0</v>
      </c>
      <c r="P79" s="41" t="str">
        <f t="shared" si="34"/>
        <v/>
      </c>
      <c r="Q79" s="41" t="str">
        <f t="shared" si="35"/>
        <v/>
      </c>
      <c r="R79" s="44"/>
      <c r="S79" s="44" t="str">
        <f>IF(I79&lt;&gt;"",_xlfn.XLOOKUP($D$4+I78+1,#REF!,#REF!,"",0) * 1000,"")</f>
        <v/>
      </c>
      <c r="T79" s="52">
        <f t="shared" si="31"/>
        <v>0.04</v>
      </c>
      <c r="U79" s="53" t="str">
        <f t="shared" si="47"/>
        <v/>
      </c>
      <c r="V79" s="53" t="str">
        <f t="shared" si="48"/>
        <v/>
      </c>
      <c r="W79" s="53" t="str">
        <f t="shared" si="49"/>
        <v/>
      </c>
      <c r="X79" s="46" t="str">
        <f t="shared" si="36"/>
        <v/>
      </c>
      <c r="Y79" s="54"/>
      <c r="Z79" s="41" t="str">
        <f t="shared" si="50"/>
        <v/>
      </c>
      <c r="AA79" s="41" t="str">
        <f t="shared" si="51"/>
        <v/>
      </c>
      <c r="AB79" s="41" t="str">
        <f t="shared" si="37"/>
        <v/>
      </c>
      <c r="AC79" s="41" t="str">
        <f t="shared" si="38"/>
        <v/>
      </c>
      <c r="AD79" s="54"/>
      <c r="AE79" s="41" t="str">
        <f t="shared" si="39"/>
        <v/>
      </c>
      <c r="AF79" s="41" t="str">
        <f t="shared" si="40"/>
        <v/>
      </c>
      <c r="AG79" s="41" t="str">
        <f t="shared" si="41"/>
        <v/>
      </c>
      <c r="AH79" s="41" t="str">
        <f t="shared" si="52"/>
        <v/>
      </c>
      <c r="AI79" s="41" t="str">
        <f t="shared" si="53"/>
        <v/>
      </c>
      <c r="AJ79" s="41">
        <f t="shared" si="42"/>
        <v>0</v>
      </c>
      <c r="AK79" s="41" t="str">
        <f t="shared" si="43"/>
        <v/>
      </c>
      <c r="AL79" s="41">
        <f t="shared" si="54"/>
        <v>0</v>
      </c>
      <c r="AM79" s="41">
        <f t="shared" si="44"/>
        <v>0</v>
      </c>
      <c r="AN79" s="41" t="str">
        <f t="shared" si="45"/>
        <v/>
      </c>
      <c r="AO79" s="41">
        <f>SUM(AM79:AN79)</f>
        <v>0</v>
      </c>
      <c r="AP79" s="45"/>
      <c r="AQ79" s="45"/>
      <c r="AR79" s="48"/>
      <c r="AS79" s="48"/>
      <c r="AT79" s="51">
        <f t="shared" si="55"/>
        <v>75</v>
      </c>
      <c r="AU79" s="49" t="str">
        <f t="shared" si="56"/>
        <v/>
      </c>
      <c r="AV79" s="49" t="str">
        <f t="shared" si="57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3:50" ht="15" x14ac:dyDescent="0.25">
      <c r="C80" s="60">
        <v>55</v>
      </c>
      <c r="D80">
        <v>1563.1036982694013</v>
      </c>
      <c r="I80" s="51"/>
      <c r="J80" s="41" t="str">
        <f t="shared" si="58"/>
        <v/>
      </c>
      <c r="K80" s="41" t="str">
        <f t="shared" si="59"/>
        <v/>
      </c>
      <c r="L80" s="42" t="str">
        <f t="shared" si="60"/>
        <v/>
      </c>
      <c r="M80" s="41" t="str">
        <f t="shared" si="61"/>
        <v/>
      </c>
      <c r="N80" s="43">
        <f t="shared" si="32"/>
        <v>0</v>
      </c>
      <c r="O80" s="44">
        <f t="shared" si="33"/>
        <v>0</v>
      </c>
      <c r="P80" s="41" t="str">
        <f t="shared" si="34"/>
        <v/>
      </c>
      <c r="Q80" s="41" t="str">
        <f t="shared" si="35"/>
        <v/>
      </c>
      <c r="R80" s="45"/>
      <c r="S80" s="44" t="str">
        <f>IF(I80&lt;&gt;"",_xlfn.XLOOKUP($D$4+I79+1,#REF!,#REF!,"",0) * 1000,"")</f>
        <v/>
      </c>
      <c r="T80" s="52">
        <f t="shared" si="31"/>
        <v>0.04</v>
      </c>
      <c r="U80" s="53" t="str">
        <f t="shared" si="47"/>
        <v/>
      </c>
      <c r="V80" s="53" t="str">
        <f t="shared" si="48"/>
        <v/>
      </c>
      <c r="W80" s="53" t="str">
        <f t="shared" si="49"/>
        <v/>
      </c>
      <c r="X80" s="46" t="str">
        <f t="shared" si="36"/>
        <v/>
      </c>
      <c r="Y80" s="45"/>
      <c r="Z80" s="41" t="str">
        <f t="shared" si="50"/>
        <v/>
      </c>
      <c r="AA80" s="41" t="str">
        <f t="shared" si="51"/>
        <v/>
      </c>
      <c r="AB80" s="41" t="str">
        <f t="shared" si="37"/>
        <v/>
      </c>
      <c r="AC80" s="41" t="str">
        <f t="shared" si="38"/>
        <v/>
      </c>
      <c r="AD80" s="45"/>
      <c r="AE80" s="41" t="str">
        <f t="shared" si="39"/>
        <v/>
      </c>
      <c r="AF80" s="41" t="str">
        <f t="shared" si="40"/>
        <v/>
      </c>
      <c r="AG80" s="41" t="str">
        <f t="shared" si="41"/>
        <v/>
      </c>
      <c r="AH80" s="41" t="str">
        <f t="shared" si="52"/>
        <v/>
      </c>
      <c r="AI80" s="41" t="str">
        <f t="shared" si="53"/>
        <v/>
      </c>
      <c r="AJ80" s="41">
        <f t="shared" si="42"/>
        <v>0</v>
      </c>
      <c r="AK80" s="41" t="str">
        <f t="shared" si="43"/>
        <v/>
      </c>
      <c r="AL80" s="41">
        <f t="shared" si="54"/>
        <v>0</v>
      </c>
      <c r="AM80" s="41">
        <f t="shared" si="44"/>
        <v>0</v>
      </c>
      <c r="AN80" s="41" t="str">
        <f t="shared" si="45"/>
        <v/>
      </c>
      <c r="AO80" s="41">
        <f t="shared" ref="AO80:AO124" si="62">SUM(AM80:AN80)</f>
        <v>0</v>
      </c>
      <c r="AP80" s="45"/>
      <c r="AQ80" s="48"/>
      <c r="AR80" s="48"/>
      <c r="AS80" s="48"/>
      <c r="AT80" s="51">
        <f t="shared" si="55"/>
        <v>76</v>
      </c>
      <c r="AU80" s="49" t="str">
        <f t="shared" si="56"/>
        <v/>
      </c>
      <c r="AV80" s="49" t="str">
        <f t="shared" si="57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3:50" ht="15" x14ac:dyDescent="0.25">
      <c r="C81" s="60">
        <v>56</v>
      </c>
      <c r="D81">
        <v>1644.3859882506442</v>
      </c>
      <c r="I81" s="51"/>
      <c r="J81" s="41" t="str">
        <f t="shared" si="58"/>
        <v/>
      </c>
      <c r="K81" s="41" t="str">
        <f t="shared" si="59"/>
        <v/>
      </c>
      <c r="L81" s="42" t="str">
        <f t="shared" si="60"/>
        <v/>
      </c>
      <c r="M81" s="41" t="str">
        <f t="shared" si="61"/>
        <v/>
      </c>
      <c r="N81" s="43">
        <f t="shared" si="32"/>
        <v>0</v>
      </c>
      <c r="O81" s="44">
        <f t="shared" si="33"/>
        <v>0</v>
      </c>
      <c r="P81" s="41" t="str">
        <f t="shared" si="34"/>
        <v/>
      </c>
      <c r="Q81" s="41" t="str">
        <f t="shared" si="35"/>
        <v/>
      </c>
      <c r="R81" s="45"/>
      <c r="S81" s="44" t="str">
        <f>IF(I81&lt;&gt;"",_xlfn.XLOOKUP($D$4+I80+1,#REF!,#REF!,"",0) * 1000,"")</f>
        <v/>
      </c>
      <c r="T81" s="52">
        <f t="shared" ref="T81:T124" si="63">$C$13</f>
        <v>0.04</v>
      </c>
      <c r="U81" s="53" t="str">
        <f t="shared" si="47"/>
        <v/>
      </c>
      <c r="V81" s="53" t="str">
        <f t="shared" si="48"/>
        <v/>
      </c>
      <c r="W81" s="53" t="str">
        <f t="shared" si="49"/>
        <v/>
      </c>
      <c r="X81" s="46" t="str">
        <f t="shared" si="36"/>
        <v/>
      </c>
      <c r="Y81" s="45"/>
      <c r="Z81" s="41" t="str">
        <f t="shared" si="50"/>
        <v/>
      </c>
      <c r="AA81" s="41" t="str">
        <f t="shared" si="51"/>
        <v/>
      </c>
      <c r="AB81" s="41" t="str">
        <f t="shared" si="37"/>
        <v/>
      </c>
      <c r="AC81" s="41" t="str">
        <f t="shared" si="38"/>
        <v/>
      </c>
      <c r="AD81" s="48"/>
      <c r="AE81" s="41" t="str">
        <f t="shared" si="39"/>
        <v/>
      </c>
      <c r="AF81" s="41" t="str">
        <f t="shared" si="40"/>
        <v/>
      </c>
      <c r="AG81" s="41" t="str">
        <f t="shared" si="41"/>
        <v/>
      </c>
      <c r="AH81" s="41" t="str">
        <f t="shared" si="52"/>
        <v/>
      </c>
      <c r="AI81" s="41" t="str">
        <f t="shared" si="53"/>
        <v/>
      </c>
      <c r="AJ81" s="41">
        <f t="shared" si="42"/>
        <v>0</v>
      </c>
      <c r="AK81" s="41" t="str">
        <f t="shared" si="43"/>
        <v/>
      </c>
      <c r="AL81" s="41">
        <f t="shared" si="54"/>
        <v>0</v>
      </c>
      <c r="AM81" s="41">
        <f t="shared" si="44"/>
        <v>0</v>
      </c>
      <c r="AN81" s="41" t="str">
        <f t="shared" si="45"/>
        <v/>
      </c>
      <c r="AO81" s="41">
        <f t="shared" si="62"/>
        <v>0</v>
      </c>
      <c r="AP81" s="45"/>
      <c r="AQ81" s="48"/>
      <c r="AR81" s="48"/>
      <c r="AS81" s="48"/>
      <c r="AT81" s="51">
        <f t="shared" si="55"/>
        <v>77</v>
      </c>
      <c r="AU81" s="49" t="str">
        <f t="shared" si="56"/>
        <v/>
      </c>
      <c r="AV81" s="49" t="str">
        <f t="shared" si="57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3:50" ht="15" x14ac:dyDescent="0.25">
      <c r="C82" s="60">
        <v>57</v>
      </c>
      <c r="D82">
        <v>1731.1055393106797</v>
      </c>
      <c r="I82" s="51"/>
      <c r="J82" s="41" t="str">
        <f t="shared" si="58"/>
        <v/>
      </c>
      <c r="K82" s="41" t="str">
        <f t="shared" si="59"/>
        <v/>
      </c>
      <c r="L82" s="42" t="str">
        <f t="shared" si="60"/>
        <v/>
      </c>
      <c r="M82" s="41" t="str">
        <f t="shared" si="61"/>
        <v/>
      </c>
      <c r="N82" s="43">
        <f t="shared" si="32"/>
        <v>0</v>
      </c>
      <c r="O82" s="44">
        <f t="shared" si="33"/>
        <v>0</v>
      </c>
      <c r="P82" s="41" t="str">
        <f t="shared" si="34"/>
        <v/>
      </c>
      <c r="Q82" s="41" t="str">
        <f t="shared" si="35"/>
        <v/>
      </c>
      <c r="R82" s="45"/>
      <c r="S82" s="44" t="str">
        <f>IF(I82&lt;&gt;"",_xlfn.XLOOKUP($D$4+I81+1,#REF!,#REF!,"",0) * 1000,"")</f>
        <v/>
      </c>
      <c r="T82" s="52">
        <f t="shared" si="63"/>
        <v>0.04</v>
      </c>
      <c r="U82" s="53" t="str">
        <f t="shared" si="47"/>
        <v/>
      </c>
      <c r="V82" s="53" t="str">
        <f t="shared" si="48"/>
        <v/>
      </c>
      <c r="W82" s="53" t="str">
        <f t="shared" si="49"/>
        <v/>
      </c>
      <c r="X82" s="46" t="str">
        <f t="shared" si="36"/>
        <v/>
      </c>
      <c r="Y82" s="45"/>
      <c r="Z82" s="41" t="str">
        <f t="shared" si="50"/>
        <v/>
      </c>
      <c r="AA82" s="41" t="str">
        <f t="shared" si="51"/>
        <v/>
      </c>
      <c r="AB82" s="41" t="str">
        <f t="shared" si="37"/>
        <v/>
      </c>
      <c r="AC82" s="41" t="str">
        <f t="shared" si="38"/>
        <v/>
      </c>
      <c r="AD82" s="48"/>
      <c r="AE82" s="41" t="str">
        <f t="shared" si="39"/>
        <v/>
      </c>
      <c r="AF82" s="41" t="str">
        <f t="shared" si="40"/>
        <v/>
      </c>
      <c r="AG82" s="41" t="str">
        <f t="shared" si="41"/>
        <v/>
      </c>
      <c r="AH82" s="41" t="str">
        <f t="shared" si="52"/>
        <v/>
      </c>
      <c r="AI82" s="41" t="str">
        <f t="shared" si="53"/>
        <v/>
      </c>
      <c r="AJ82" s="41">
        <f t="shared" si="42"/>
        <v>0</v>
      </c>
      <c r="AK82" s="41" t="str">
        <f t="shared" si="43"/>
        <v/>
      </c>
      <c r="AL82" s="41">
        <f t="shared" si="54"/>
        <v>0</v>
      </c>
      <c r="AM82" s="41">
        <f t="shared" si="44"/>
        <v>0</v>
      </c>
      <c r="AN82" s="41" t="str">
        <f t="shared" si="45"/>
        <v/>
      </c>
      <c r="AO82" s="41">
        <f t="shared" si="62"/>
        <v>0</v>
      </c>
      <c r="AP82" s="45"/>
      <c r="AQ82" s="48"/>
      <c r="AR82" s="48"/>
      <c r="AS82" s="48"/>
      <c r="AT82" s="51">
        <f t="shared" si="55"/>
        <v>78</v>
      </c>
      <c r="AU82" s="49" t="str">
        <f t="shared" si="56"/>
        <v/>
      </c>
      <c r="AV82" s="49" t="str">
        <f t="shared" si="57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3:50" ht="15" x14ac:dyDescent="0.25">
      <c r="C83" s="60">
        <v>58</v>
      </c>
      <c r="D83">
        <v>1823.8637766440922</v>
      </c>
      <c r="I83" s="51"/>
      <c r="J83" s="41" t="str">
        <f t="shared" si="58"/>
        <v/>
      </c>
      <c r="K83" s="41" t="str">
        <f t="shared" si="59"/>
        <v/>
      </c>
      <c r="L83" s="42" t="str">
        <f t="shared" si="60"/>
        <v/>
      </c>
      <c r="M83" s="41" t="str">
        <f t="shared" si="61"/>
        <v/>
      </c>
      <c r="N83" s="43">
        <f t="shared" si="32"/>
        <v>0</v>
      </c>
      <c r="O83" s="44">
        <f t="shared" si="33"/>
        <v>0</v>
      </c>
      <c r="P83" s="41" t="str">
        <f t="shared" si="34"/>
        <v/>
      </c>
      <c r="Q83" s="41" t="str">
        <f t="shared" si="35"/>
        <v/>
      </c>
      <c r="R83" s="45"/>
      <c r="S83" s="44" t="str">
        <f>IF(I83&lt;&gt;"",_xlfn.XLOOKUP($D$4+I82+1,#REF!,#REF!,"",0) * 1000,"")</f>
        <v/>
      </c>
      <c r="T83" s="52">
        <f t="shared" si="63"/>
        <v>0.04</v>
      </c>
      <c r="U83" s="53" t="str">
        <f t="shared" si="47"/>
        <v/>
      </c>
      <c r="V83" s="53" t="str">
        <f t="shared" si="48"/>
        <v/>
      </c>
      <c r="W83" s="53" t="str">
        <f t="shared" si="49"/>
        <v/>
      </c>
      <c r="X83" s="46" t="str">
        <f t="shared" si="36"/>
        <v/>
      </c>
      <c r="Y83" s="45"/>
      <c r="Z83" s="41" t="str">
        <f t="shared" si="50"/>
        <v/>
      </c>
      <c r="AA83" s="41" t="str">
        <f t="shared" si="51"/>
        <v/>
      </c>
      <c r="AB83" s="41" t="str">
        <f t="shared" si="37"/>
        <v/>
      </c>
      <c r="AC83" s="41" t="str">
        <f t="shared" si="38"/>
        <v/>
      </c>
      <c r="AD83" s="48"/>
      <c r="AE83" s="41" t="str">
        <f t="shared" si="39"/>
        <v/>
      </c>
      <c r="AF83" s="41" t="str">
        <f t="shared" si="40"/>
        <v/>
      </c>
      <c r="AG83" s="41" t="str">
        <f t="shared" si="41"/>
        <v/>
      </c>
      <c r="AH83" s="41" t="str">
        <f t="shared" si="52"/>
        <v/>
      </c>
      <c r="AI83" s="41" t="str">
        <f t="shared" si="53"/>
        <v/>
      </c>
      <c r="AJ83" s="41">
        <f t="shared" si="42"/>
        <v>0</v>
      </c>
      <c r="AK83" s="41" t="str">
        <f t="shared" si="43"/>
        <v/>
      </c>
      <c r="AL83" s="41">
        <f t="shared" si="54"/>
        <v>0</v>
      </c>
      <c r="AM83" s="41">
        <f t="shared" si="44"/>
        <v>0</v>
      </c>
      <c r="AN83" s="41" t="str">
        <f t="shared" si="45"/>
        <v/>
      </c>
      <c r="AO83" s="41">
        <f t="shared" si="62"/>
        <v>0</v>
      </c>
      <c r="AP83" s="45"/>
      <c r="AQ83" s="48"/>
      <c r="AR83" s="48"/>
      <c r="AS83" s="48"/>
      <c r="AT83" s="51">
        <f t="shared" si="55"/>
        <v>79</v>
      </c>
      <c r="AU83" s="49" t="str">
        <f t="shared" si="56"/>
        <v/>
      </c>
      <c r="AV83" s="49" t="str">
        <f t="shared" si="57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3:50" ht="15" x14ac:dyDescent="0.25">
      <c r="C84" s="60">
        <v>59</v>
      </c>
      <c r="D84">
        <v>1923.2165101010228</v>
      </c>
      <c r="I84" s="51"/>
      <c r="J84" s="41" t="str">
        <f t="shared" si="58"/>
        <v/>
      </c>
      <c r="K84" s="41" t="str">
        <f t="shared" si="59"/>
        <v/>
      </c>
      <c r="L84" s="42" t="str">
        <f t="shared" si="60"/>
        <v/>
      </c>
      <c r="M84" s="41" t="str">
        <f t="shared" si="61"/>
        <v/>
      </c>
      <c r="N84" s="43">
        <f t="shared" si="32"/>
        <v>0</v>
      </c>
      <c r="O84" s="44">
        <f t="shared" si="33"/>
        <v>0</v>
      </c>
      <c r="P84" s="41" t="str">
        <f t="shared" si="34"/>
        <v/>
      </c>
      <c r="Q84" s="41" t="str">
        <f t="shared" si="35"/>
        <v/>
      </c>
      <c r="R84" s="45"/>
      <c r="S84" s="44" t="str">
        <f>IF(I84&lt;&gt;"",_xlfn.XLOOKUP($D$4+I83+1,#REF!,#REF!,"",0) * 1000,"")</f>
        <v/>
      </c>
      <c r="T84" s="52">
        <f t="shared" si="63"/>
        <v>0.04</v>
      </c>
      <c r="U84" s="53" t="str">
        <f t="shared" si="47"/>
        <v/>
      </c>
      <c r="V84" s="53" t="str">
        <f t="shared" si="48"/>
        <v/>
      </c>
      <c r="W84" s="53" t="str">
        <f t="shared" si="49"/>
        <v/>
      </c>
      <c r="X84" s="46" t="str">
        <f t="shared" si="36"/>
        <v/>
      </c>
      <c r="Y84" s="45"/>
      <c r="Z84" s="41" t="str">
        <f t="shared" si="50"/>
        <v/>
      </c>
      <c r="AA84" s="41" t="str">
        <f t="shared" si="51"/>
        <v/>
      </c>
      <c r="AB84" s="41" t="str">
        <f t="shared" si="37"/>
        <v/>
      </c>
      <c r="AC84" s="41" t="str">
        <f t="shared" si="38"/>
        <v/>
      </c>
      <c r="AD84" s="48"/>
      <c r="AE84" s="41" t="str">
        <f t="shared" si="39"/>
        <v/>
      </c>
      <c r="AF84" s="41" t="str">
        <f t="shared" si="40"/>
        <v/>
      </c>
      <c r="AG84" s="41" t="str">
        <f t="shared" si="41"/>
        <v/>
      </c>
      <c r="AH84" s="41" t="str">
        <f t="shared" si="52"/>
        <v/>
      </c>
      <c r="AI84" s="41" t="str">
        <f t="shared" si="53"/>
        <v/>
      </c>
      <c r="AJ84" s="41">
        <f t="shared" si="42"/>
        <v>0</v>
      </c>
      <c r="AK84" s="41" t="str">
        <f t="shared" si="43"/>
        <v/>
      </c>
      <c r="AL84" s="41">
        <f t="shared" si="54"/>
        <v>0</v>
      </c>
      <c r="AM84" s="41">
        <f t="shared" si="44"/>
        <v>0</v>
      </c>
      <c r="AN84" s="41" t="str">
        <f t="shared" si="45"/>
        <v/>
      </c>
      <c r="AO84" s="41">
        <f t="shared" si="62"/>
        <v>0</v>
      </c>
      <c r="AP84" s="45"/>
      <c r="AQ84" s="48"/>
      <c r="AR84" s="48"/>
      <c r="AS84" s="48"/>
      <c r="AT84" s="51">
        <f t="shared" si="55"/>
        <v>80</v>
      </c>
      <c r="AU84" s="49" t="str">
        <f t="shared" si="56"/>
        <v/>
      </c>
      <c r="AV84" s="49" t="str">
        <f t="shared" si="57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3:50" ht="15" x14ac:dyDescent="0.25">
      <c r="C85" s="60">
        <v>60</v>
      </c>
      <c r="D85">
        <v>2029.3121097558774</v>
      </c>
      <c r="I85" s="51"/>
      <c r="J85" s="41" t="str">
        <f t="shared" si="58"/>
        <v/>
      </c>
      <c r="K85" s="41" t="str">
        <f t="shared" si="59"/>
        <v/>
      </c>
      <c r="L85" s="42" t="str">
        <f t="shared" si="60"/>
        <v/>
      </c>
      <c r="M85" s="41" t="str">
        <f t="shared" si="61"/>
        <v/>
      </c>
      <c r="N85" s="43">
        <f t="shared" si="32"/>
        <v>0</v>
      </c>
      <c r="O85" s="44">
        <f t="shared" si="33"/>
        <v>0</v>
      </c>
      <c r="P85" s="41" t="str">
        <f t="shared" si="34"/>
        <v/>
      </c>
      <c r="Q85" s="41" t="str">
        <f t="shared" si="35"/>
        <v/>
      </c>
      <c r="R85" s="45"/>
      <c r="S85" s="44" t="str">
        <f>IF(I85&lt;&gt;"",_xlfn.XLOOKUP($D$4+I84+1,#REF!,#REF!,"",0) * 1000,"")</f>
        <v/>
      </c>
      <c r="T85" s="52">
        <f t="shared" si="63"/>
        <v>0.04</v>
      </c>
      <c r="U85" s="53" t="str">
        <f t="shared" si="47"/>
        <v/>
      </c>
      <c r="V85" s="53" t="str">
        <f t="shared" si="48"/>
        <v/>
      </c>
      <c r="W85" s="53" t="str">
        <f t="shared" si="49"/>
        <v/>
      </c>
      <c r="X85" s="46" t="str">
        <f t="shared" si="36"/>
        <v/>
      </c>
      <c r="Y85" s="45"/>
      <c r="Z85" s="41" t="str">
        <f t="shared" si="50"/>
        <v/>
      </c>
      <c r="AA85" s="41" t="str">
        <f t="shared" si="51"/>
        <v/>
      </c>
      <c r="AB85" s="41" t="str">
        <f t="shared" si="37"/>
        <v/>
      </c>
      <c r="AC85" s="41" t="str">
        <f t="shared" si="38"/>
        <v/>
      </c>
      <c r="AD85" s="48"/>
      <c r="AE85" s="41" t="str">
        <f t="shared" si="39"/>
        <v/>
      </c>
      <c r="AF85" s="41" t="str">
        <f t="shared" si="40"/>
        <v/>
      </c>
      <c r="AG85" s="41" t="str">
        <f t="shared" si="41"/>
        <v/>
      </c>
      <c r="AH85" s="41" t="str">
        <f t="shared" si="52"/>
        <v/>
      </c>
      <c r="AI85" s="41" t="str">
        <f t="shared" si="53"/>
        <v/>
      </c>
      <c r="AJ85" s="41">
        <f t="shared" si="42"/>
        <v>0</v>
      </c>
      <c r="AK85" s="41" t="str">
        <f t="shared" si="43"/>
        <v/>
      </c>
      <c r="AL85" s="41">
        <f t="shared" si="54"/>
        <v>0</v>
      </c>
      <c r="AM85" s="41">
        <f t="shared" si="44"/>
        <v>0</v>
      </c>
      <c r="AN85" s="41" t="str">
        <f t="shared" si="45"/>
        <v/>
      </c>
      <c r="AO85" s="41">
        <f t="shared" si="62"/>
        <v>0</v>
      </c>
      <c r="AP85" s="45"/>
      <c r="AQ85" s="48"/>
      <c r="AR85" s="48"/>
      <c r="AS85" s="48"/>
      <c r="AT85" s="51">
        <f t="shared" si="55"/>
        <v>81</v>
      </c>
      <c r="AU85" s="49" t="str">
        <f t="shared" si="56"/>
        <v/>
      </c>
      <c r="AV85" s="49" t="str">
        <f t="shared" si="57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3:50" ht="15" x14ac:dyDescent="0.25">
      <c r="C86" s="60">
        <v>61</v>
      </c>
      <c r="D86">
        <v>2142.8668472846616</v>
      </c>
      <c r="I86" s="51"/>
      <c r="J86" s="41" t="str">
        <f t="shared" si="58"/>
        <v/>
      </c>
      <c r="K86" s="41" t="str">
        <f t="shared" si="59"/>
        <v/>
      </c>
      <c r="L86" s="42" t="str">
        <f t="shared" si="60"/>
        <v/>
      </c>
      <c r="M86" s="41" t="str">
        <f t="shared" si="61"/>
        <v/>
      </c>
      <c r="N86" s="43">
        <f t="shared" si="32"/>
        <v>0</v>
      </c>
      <c r="O86" s="44">
        <f t="shared" si="33"/>
        <v>0</v>
      </c>
      <c r="P86" s="41" t="str">
        <f t="shared" si="34"/>
        <v/>
      </c>
      <c r="Q86" s="41" t="str">
        <f t="shared" si="35"/>
        <v/>
      </c>
      <c r="R86" s="45"/>
      <c r="S86" s="44" t="str">
        <f>IF(I86&lt;&gt;"",_xlfn.XLOOKUP($D$4+I85+1,#REF!,#REF!,"",0) * 1000,"")</f>
        <v/>
      </c>
      <c r="T86" s="52">
        <f t="shared" si="63"/>
        <v>0.04</v>
      </c>
      <c r="U86" s="53" t="str">
        <f t="shared" si="47"/>
        <v/>
      </c>
      <c r="V86" s="53" t="str">
        <f t="shared" si="48"/>
        <v/>
      </c>
      <c r="W86" s="53" t="str">
        <f t="shared" si="49"/>
        <v/>
      </c>
      <c r="X86" s="46" t="str">
        <f t="shared" si="36"/>
        <v/>
      </c>
      <c r="Y86" s="45"/>
      <c r="Z86" s="41" t="str">
        <f t="shared" si="50"/>
        <v/>
      </c>
      <c r="AA86" s="41" t="str">
        <f t="shared" si="51"/>
        <v/>
      </c>
      <c r="AB86" s="41" t="str">
        <f t="shared" si="37"/>
        <v/>
      </c>
      <c r="AC86" s="41" t="str">
        <f t="shared" si="38"/>
        <v/>
      </c>
      <c r="AD86" s="45"/>
      <c r="AE86" s="41" t="str">
        <f t="shared" si="39"/>
        <v/>
      </c>
      <c r="AF86" s="41" t="str">
        <f t="shared" si="40"/>
        <v/>
      </c>
      <c r="AG86" s="41" t="str">
        <f t="shared" si="41"/>
        <v/>
      </c>
      <c r="AH86" s="41" t="str">
        <f t="shared" si="52"/>
        <v/>
      </c>
      <c r="AI86" s="41" t="str">
        <f t="shared" si="53"/>
        <v/>
      </c>
      <c r="AJ86" s="41">
        <f t="shared" si="42"/>
        <v>0</v>
      </c>
      <c r="AK86" s="41" t="str">
        <f t="shared" si="43"/>
        <v/>
      </c>
      <c r="AL86" s="41">
        <f t="shared" si="54"/>
        <v>0</v>
      </c>
      <c r="AM86" s="41">
        <f t="shared" si="44"/>
        <v>0</v>
      </c>
      <c r="AN86" s="41" t="str">
        <f t="shared" si="45"/>
        <v/>
      </c>
      <c r="AO86" s="41">
        <f t="shared" si="62"/>
        <v>0</v>
      </c>
      <c r="AP86" s="45"/>
      <c r="AQ86" s="48"/>
      <c r="AR86" s="48"/>
      <c r="AS86" s="48"/>
      <c r="AT86" s="51">
        <f t="shared" si="55"/>
        <v>82</v>
      </c>
      <c r="AU86" s="49" t="str">
        <f t="shared" si="56"/>
        <v/>
      </c>
      <c r="AV86" s="49" t="str">
        <f t="shared" si="57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3:50" ht="15" x14ac:dyDescent="0.25">
      <c r="C87" s="60">
        <v>62</v>
      </c>
      <c r="D87">
        <v>2265.1400179417983</v>
      </c>
      <c r="I87" s="51"/>
      <c r="J87" s="41" t="str">
        <f t="shared" si="58"/>
        <v/>
      </c>
      <c r="K87" s="41" t="str">
        <f t="shared" si="59"/>
        <v/>
      </c>
      <c r="L87" s="42" t="str">
        <f t="shared" si="60"/>
        <v/>
      </c>
      <c r="M87" s="41" t="str">
        <f t="shared" si="61"/>
        <v/>
      </c>
      <c r="N87" s="43">
        <f t="shared" si="32"/>
        <v>0</v>
      </c>
      <c r="O87" s="44">
        <f t="shared" si="33"/>
        <v>0</v>
      </c>
      <c r="P87" s="41" t="str">
        <f t="shared" si="34"/>
        <v/>
      </c>
      <c r="Q87" s="41" t="str">
        <f t="shared" si="35"/>
        <v/>
      </c>
      <c r="R87" s="45"/>
      <c r="S87" s="44" t="str">
        <f>IF(I87&lt;&gt;"",_xlfn.XLOOKUP($D$4+I86+1,#REF!,#REF!,"",0) * 1000,"")</f>
        <v/>
      </c>
      <c r="T87" s="52">
        <f t="shared" si="63"/>
        <v>0.04</v>
      </c>
      <c r="U87" s="53" t="str">
        <f t="shared" si="47"/>
        <v/>
      </c>
      <c r="V87" s="53" t="str">
        <f t="shared" si="48"/>
        <v/>
      </c>
      <c r="W87" s="53" t="str">
        <f t="shared" si="49"/>
        <v/>
      </c>
      <c r="X87" s="46" t="str">
        <f t="shared" si="36"/>
        <v/>
      </c>
      <c r="Y87" s="45"/>
      <c r="Z87" s="41" t="str">
        <f t="shared" si="50"/>
        <v/>
      </c>
      <c r="AA87" s="41" t="str">
        <f t="shared" si="51"/>
        <v/>
      </c>
      <c r="AB87" s="41" t="str">
        <f t="shared" si="37"/>
        <v/>
      </c>
      <c r="AC87" s="41" t="str">
        <f t="shared" si="38"/>
        <v/>
      </c>
      <c r="AD87" s="45"/>
      <c r="AE87" s="41" t="str">
        <f t="shared" si="39"/>
        <v/>
      </c>
      <c r="AF87" s="41" t="str">
        <f t="shared" si="40"/>
        <v/>
      </c>
      <c r="AG87" s="41" t="str">
        <f t="shared" si="41"/>
        <v/>
      </c>
      <c r="AH87" s="41" t="str">
        <f t="shared" si="52"/>
        <v/>
      </c>
      <c r="AI87" s="41" t="str">
        <f t="shared" si="53"/>
        <v/>
      </c>
      <c r="AJ87" s="41">
        <f t="shared" si="42"/>
        <v>0</v>
      </c>
      <c r="AK87" s="41" t="str">
        <f t="shared" si="43"/>
        <v/>
      </c>
      <c r="AL87" s="41">
        <f t="shared" si="54"/>
        <v>0</v>
      </c>
      <c r="AM87" s="41">
        <f t="shared" si="44"/>
        <v>0</v>
      </c>
      <c r="AN87" s="41" t="str">
        <f t="shared" si="45"/>
        <v/>
      </c>
      <c r="AO87" s="41">
        <f t="shared" si="62"/>
        <v>0</v>
      </c>
      <c r="AP87" s="45"/>
      <c r="AQ87" s="48"/>
      <c r="AR87" s="48"/>
      <c r="AS87" s="48"/>
      <c r="AT87" s="51">
        <f t="shared" si="55"/>
        <v>83</v>
      </c>
      <c r="AU87" s="49" t="str">
        <f t="shared" si="56"/>
        <v/>
      </c>
      <c r="AV87" s="49" t="str">
        <f t="shared" si="57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3:50" ht="15" x14ac:dyDescent="0.25">
      <c r="C88" s="60">
        <v>63</v>
      </c>
      <c r="D88">
        <v>2397.0442661294906</v>
      </c>
      <c r="I88" s="51"/>
      <c r="J88" s="41" t="str">
        <f t="shared" si="58"/>
        <v/>
      </c>
      <c r="K88" s="41" t="str">
        <f t="shared" si="59"/>
        <v/>
      </c>
      <c r="L88" s="42" t="str">
        <f t="shared" si="60"/>
        <v/>
      </c>
      <c r="M88" s="41" t="str">
        <f t="shared" si="61"/>
        <v/>
      </c>
      <c r="N88" s="43">
        <f t="shared" si="32"/>
        <v>0</v>
      </c>
      <c r="O88" s="44">
        <f t="shared" si="33"/>
        <v>0</v>
      </c>
      <c r="P88" s="41" t="str">
        <f t="shared" si="34"/>
        <v/>
      </c>
      <c r="Q88" s="41" t="str">
        <f t="shared" si="35"/>
        <v/>
      </c>
      <c r="R88" s="45"/>
      <c r="S88" s="44" t="str">
        <f>IF(I88&lt;&gt;"",_xlfn.XLOOKUP($D$4+I87+1,#REF!,#REF!,"",0) * 1000,"")</f>
        <v/>
      </c>
      <c r="T88" s="52">
        <f t="shared" si="63"/>
        <v>0.04</v>
      </c>
      <c r="U88" s="53" t="str">
        <f t="shared" si="47"/>
        <v/>
      </c>
      <c r="V88" s="53" t="str">
        <f t="shared" si="48"/>
        <v/>
      </c>
      <c r="W88" s="53" t="str">
        <f t="shared" si="49"/>
        <v/>
      </c>
      <c r="X88" s="46" t="str">
        <f t="shared" si="36"/>
        <v/>
      </c>
      <c r="Y88" s="45"/>
      <c r="Z88" s="41" t="str">
        <f t="shared" si="50"/>
        <v/>
      </c>
      <c r="AA88" s="41" t="str">
        <f t="shared" si="51"/>
        <v/>
      </c>
      <c r="AB88" s="41" t="str">
        <f t="shared" si="37"/>
        <v/>
      </c>
      <c r="AC88" s="41" t="str">
        <f t="shared" si="38"/>
        <v/>
      </c>
      <c r="AD88" s="45"/>
      <c r="AE88" s="41" t="str">
        <f t="shared" si="39"/>
        <v/>
      </c>
      <c r="AF88" s="41" t="str">
        <f t="shared" si="40"/>
        <v/>
      </c>
      <c r="AG88" s="41" t="str">
        <f t="shared" si="41"/>
        <v/>
      </c>
      <c r="AH88" s="41" t="str">
        <f t="shared" si="52"/>
        <v/>
      </c>
      <c r="AI88" s="41" t="str">
        <f t="shared" si="53"/>
        <v/>
      </c>
      <c r="AJ88" s="41">
        <f t="shared" si="42"/>
        <v>0</v>
      </c>
      <c r="AK88" s="41" t="str">
        <f t="shared" si="43"/>
        <v/>
      </c>
      <c r="AL88" s="41">
        <f t="shared" si="54"/>
        <v>0</v>
      </c>
      <c r="AM88" s="41">
        <f t="shared" si="44"/>
        <v>0</v>
      </c>
      <c r="AN88" s="41" t="str">
        <f t="shared" si="45"/>
        <v/>
      </c>
      <c r="AO88" s="41">
        <f t="shared" si="62"/>
        <v>0</v>
      </c>
      <c r="AP88" s="45"/>
      <c r="AQ88" s="48"/>
      <c r="AR88" s="48"/>
      <c r="AS88" s="48"/>
      <c r="AT88" s="51">
        <f t="shared" si="55"/>
        <v>84</v>
      </c>
      <c r="AU88" s="49" t="str">
        <f t="shared" si="56"/>
        <v/>
      </c>
      <c r="AV88" s="49" t="str">
        <f t="shared" si="57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3:50" ht="15" x14ac:dyDescent="0.25">
      <c r="C89" s="60">
        <v>64</v>
      </c>
      <c r="D89">
        <v>2539.9121313319624</v>
      </c>
      <c r="I89" s="51"/>
      <c r="J89" s="41" t="str">
        <f t="shared" si="58"/>
        <v/>
      </c>
      <c r="K89" s="41" t="str">
        <f t="shared" si="59"/>
        <v/>
      </c>
      <c r="L89" s="42" t="str">
        <f t="shared" si="60"/>
        <v/>
      </c>
      <c r="M89" s="41" t="str">
        <f t="shared" si="61"/>
        <v/>
      </c>
      <c r="N89" s="43">
        <f t="shared" si="32"/>
        <v>0</v>
      </c>
      <c r="O89" s="44">
        <f t="shared" si="33"/>
        <v>0</v>
      </c>
      <c r="P89" s="41" t="str">
        <f t="shared" si="34"/>
        <v/>
      </c>
      <c r="Q89" s="41" t="str">
        <f t="shared" si="35"/>
        <v/>
      </c>
      <c r="R89" s="45"/>
      <c r="S89" s="44" t="str">
        <f>IF(I89&lt;&gt;"",_xlfn.XLOOKUP($D$4+I88+1,#REF!,#REF!,"",0) * 1000,"")</f>
        <v/>
      </c>
      <c r="T89" s="52">
        <f t="shared" si="63"/>
        <v>0.04</v>
      </c>
      <c r="U89" s="53" t="str">
        <f t="shared" si="47"/>
        <v/>
      </c>
      <c r="V89" s="53" t="str">
        <f t="shared" si="48"/>
        <v/>
      </c>
      <c r="W89" s="53" t="str">
        <f t="shared" si="49"/>
        <v/>
      </c>
      <c r="X89" s="46" t="str">
        <f t="shared" si="36"/>
        <v/>
      </c>
      <c r="Y89" s="45"/>
      <c r="Z89" s="41" t="str">
        <f t="shared" si="50"/>
        <v/>
      </c>
      <c r="AA89" s="41" t="str">
        <f t="shared" si="51"/>
        <v/>
      </c>
      <c r="AB89" s="41" t="str">
        <f t="shared" si="37"/>
        <v/>
      </c>
      <c r="AC89" s="41" t="str">
        <f t="shared" si="38"/>
        <v/>
      </c>
      <c r="AD89" s="45"/>
      <c r="AE89" s="41" t="str">
        <f t="shared" si="39"/>
        <v/>
      </c>
      <c r="AF89" s="41" t="str">
        <f t="shared" si="40"/>
        <v/>
      </c>
      <c r="AG89" s="41" t="str">
        <f t="shared" si="41"/>
        <v/>
      </c>
      <c r="AH89" s="41" t="str">
        <f t="shared" si="52"/>
        <v/>
      </c>
      <c r="AI89" s="41" t="str">
        <f t="shared" si="53"/>
        <v/>
      </c>
      <c r="AJ89" s="41">
        <f t="shared" si="42"/>
        <v>0</v>
      </c>
      <c r="AK89" s="41" t="str">
        <f t="shared" si="43"/>
        <v/>
      </c>
      <c r="AL89" s="41">
        <f t="shared" si="54"/>
        <v>0</v>
      </c>
      <c r="AM89" s="41">
        <f t="shared" si="44"/>
        <v>0</v>
      </c>
      <c r="AN89" s="41" t="str">
        <f t="shared" si="45"/>
        <v/>
      </c>
      <c r="AO89" s="41">
        <f t="shared" si="62"/>
        <v>0</v>
      </c>
      <c r="AP89" s="45"/>
      <c r="AQ89" s="48"/>
      <c r="AR89" s="48"/>
      <c r="AS89" s="48"/>
      <c r="AT89" s="51">
        <f t="shared" si="55"/>
        <v>85</v>
      </c>
      <c r="AU89" s="49" t="str">
        <f t="shared" si="56"/>
        <v/>
      </c>
      <c r="AV89" s="49" t="str">
        <f t="shared" si="57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3:50" ht="15" x14ac:dyDescent="0.25">
      <c r="C90" s="60">
        <v>65</v>
      </c>
      <c r="D90">
        <v>2694.9468542724153</v>
      </c>
      <c r="I90" s="51"/>
      <c r="J90" s="41" t="str">
        <f t="shared" si="58"/>
        <v/>
      </c>
      <c r="K90" s="41" t="str">
        <f t="shared" si="59"/>
        <v/>
      </c>
      <c r="L90" s="42" t="str">
        <f t="shared" si="60"/>
        <v/>
      </c>
      <c r="M90" s="41" t="str">
        <f t="shared" si="61"/>
        <v/>
      </c>
      <c r="N90" s="43">
        <f t="shared" si="32"/>
        <v>0</v>
      </c>
      <c r="O90" s="44">
        <f t="shared" si="33"/>
        <v>0</v>
      </c>
      <c r="P90" s="41" t="str">
        <f t="shared" si="34"/>
        <v/>
      </c>
      <c r="Q90" s="41" t="str">
        <f t="shared" si="35"/>
        <v/>
      </c>
      <c r="R90" s="45"/>
      <c r="S90" s="44" t="str">
        <f>IF(I90&lt;&gt;"",_xlfn.XLOOKUP($D$4+I89+1,#REF!,#REF!,"",0) * 1000,"")</f>
        <v/>
      </c>
      <c r="T90" s="52">
        <f t="shared" si="63"/>
        <v>0.04</v>
      </c>
      <c r="U90" s="53" t="str">
        <f t="shared" si="47"/>
        <v/>
      </c>
      <c r="V90" s="53" t="str">
        <f t="shared" si="48"/>
        <v/>
      </c>
      <c r="W90" s="53" t="str">
        <f t="shared" si="49"/>
        <v/>
      </c>
      <c r="X90" s="46" t="str">
        <f t="shared" si="36"/>
        <v/>
      </c>
      <c r="Y90" s="45"/>
      <c r="Z90" s="41" t="str">
        <f t="shared" si="50"/>
        <v/>
      </c>
      <c r="AA90" s="41" t="str">
        <f t="shared" si="51"/>
        <v/>
      </c>
      <c r="AB90" s="41" t="str">
        <f t="shared" si="37"/>
        <v/>
      </c>
      <c r="AC90" s="41" t="str">
        <f t="shared" si="38"/>
        <v/>
      </c>
      <c r="AD90" s="45"/>
      <c r="AE90" s="41" t="str">
        <f t="shared" si="39"/>
        <v/>
      </c>
      <c r="AF90" s="41" t="str">
        <f t="shared" si="40"/>
        <v/>
      </c>
      <c r="AG90" s="41" t="str">
        <f t="shared" si="41"/>
        <v/>
      </c>
      <c r="AH90" s="41" t="str">
        <f t="shared" si="52"/>
        <v/>
      </c>
      <c r="AI90" s="41" t="str">
        <f t="shared" si="53"/>
        <v/>
      </c>
      <c r="AJ90" s="41">
        <f t="shared" si="42"/>
        <v>0</v>
      </c>
      <c r="AK90" s="41" t="str">
        <f t="shared" si="43"/>
        <v/>
      </c>
      <c r="AL90" s="41">
        <f t="shared" si="54"/>
        <v>0</v>
      </c>
      <c r="AM90" s="41">
        <f t="shared" si="44"/>
        <v>0</v>
      </c>
      <c r="AN90" s="41" t="str">
        <f t="shared" si="45"/>
        <v/>
      </c>
      <c r="AO90" s="41">
        <f t="shared" si="62"/>
        <v>0</v>
      </c>
      <c r="AP90" s="45"/>
      <c r="AQ90" s="48"/>
      <c r="AR90" s="48"/>
      <c r="AS90" s="48"/>
      <c r="AT90" s="51">
        <f t="shared" si="55"/>
        <v>86</v>
      </c>
      <c r="AU90" s="49" t="str">
        <f t="shared" si="56"/>
        <v/>
      </c>
      <c r="AV90" s="49" t="str">
        <f t="shared" si="57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3:50" ht="15" x14ac:dyDescent="0.25">
      <c r="C91" s="60">
        <v>66</v>
      </c>
      <c r="D91">
        <v>2863.1686185561575</v>
      </c>
      <c r="I91" s="51"/>
      <c r="J91" s="41" t="str">
        <f t="shared" si="58"/>
        <v/>
      </c>
      <c r="K91" s="41" t="str">
        <f t="shared" si="59"/>
        <v/>
      </c>
      <c r="L91" s="42" t="str">
        <f t="shared" si="60"/>
        <v/>
      </c>
      <c r="M91" s="41" t="str">
        <f t="shared" si="61"/>
        <v/>
      </c>
      <c r="N91" s="43">
        <f t="shared" si="32"/>
        <v>0</v>
      </c>
      <c r="O91" s="44">
        <f t="shared" si="33"/>
        <v>0</v>
      </c>
      <c r="P91" s="41" t="str">
        <f t="shared" si="34"/>
        <v/>
      </c>
      <c r="Q91" s="41" t="str">
        <f t="shared" si="35"/>
        <v/>
      </c>
      <c r="R91" s="45"/>
      <c r="S91" s="44" t="str">
        <f>IF(I91&lt;&gt;"",_xlfn.XLOOKUP($D$4+I90+1,#REF!,#REF!,"",0) * 1000,"")</f>
        <v/>
      </c>
      <c r="T91" s="52">
        <f t="shared" si="63"/>
        <v>0.04</v>
      </c>
      <c r="U91" s="53" t="str">
        <f t="shared" si="47"/>
        <v/>
      </c>
      <c r="V91" s="53" t="str">
        <f t="shared" si="48"/>
        <v/>
      </c>
      <c r="W91" s="53" t="str">
        <f t="shared" si="49"/>
        <v/>
      </c>
      <c r="X91" s="46" t="str">
        <f t="shared" si="36"/>
        <v/>
      </c>
      <c r="Y91" s="45"/>
      <c r="Z91" s="41" t="str">
        <f t="shared" si="50"/>
        <v/>
      </c>
      <c r="AA91" s="41" t="str">
        <f t="shared" si="51"/>
        <v/>
      </c>
      <c r="AB91" s="41" t="str">
        <f t="shared" si="37"/>
        <v/>
      </c>
      <c r="AC91" s="41" t="str">
        <f t="shared" si="38"/>
        <v/>
      </c>
      <c r="AD91" s="45"/>
      <c r="AE91" s="41" t="str">
        <f t="shared" si="39"/>
        <v/>
      </c>
      <c r="AF91" s="41" t="str">
        <f t="shared" si="40"/>
        <v/>
      </c>
      <c r="AG91" s="41" t="str">
        <f t="shared" si="41"/>
        <v/>
      </c>
      <c r="AH91" s="41" t="str">
        <f t="shared" si="52"/>
        <v/>
      </c>
      <c r="AI91" s="41" t="str">
        <f t="shared" si="53"/>
        <v/>
      </c>
      <c r="AJ91" s="41">
        <f t="shared" si="42"/>
        <v>0</v>
      </c>
      <c r="AK91" s="41" t="str">
        <f t="shared" si="43"/>
        <v/>
      </c>
      <c r="AL91" s="41">
        <f t="shared" si="54"/>
        <v>0</v>
      </c>
      <c r="AM91" s="41">
        <f t="shared" si="44"/>
        <v>0</v>
      </c>
      <c r="AN91" s="41" t="str">
        <f t="shared" si="45"/>
        <v/>
      </c>
      <c r="AO91" s="41">
        <f t="shared" si="62"/>
        <v>0</v>
      </c>
      <c r="AP91" s="45"/>
      <c r="AQ91" s="48"/>
      <c r="AR91" s="48"/>
      <c r="AS91" s="48"/>
      <c r="AT91" s="51">
        <f t="shared" si="55"/>
        <v>87</v>
      </c>
      <c r="AU91" s="49" t="str">
        <f t="shared" si="56"/>
        <v/>
      </c>
      <c r="AV91" s="49" t="str">
        <f t="shared" si="57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3:50" ht="15" x14ac:dyDescent="0.25">
      <c r="C92" s="60">
        <v>67</v>
      </c>
      <c r="D92">
        <v>3046.5233255599519</v>
      </c>
      <c r="I92" s="51"/>
      <c r="J92" s="41" t="str">
        <f t="shared" si="58"/>
        <v/>
      </c>
      <c r="K92" s="41" t="str">
        <f t="shared" si="59"/>
        <v/>
      </c>
      <c r="L92" s="42" t="str">
        <f t="shared" si="60"/>
        <v/>
      </c>
      <c r="M92" s="41" t="str">
        <f t="shared" si="61"/>
        <v/>
      </c>
      <c r="N92" s="43">
        <f t="shared" si="32"/>
        <v>0</v>
      </c>
      <c r="O92" s="44">
        <f t="shared" si="33"/>
        <v>0</v>
      </c>
      <c r="P92" s="41" t="str">
        <f t="shared" si="34"/>
        <v/>
      </c>
      <c r="Q92" s="41" t="str">
        <f t="shared" si="35"/>
        <v/>
      </c>
      <c r="R92" s="45"/>
      <c r="S92" s="44" t="str">
        <f>IF(I92&lt;&gt;"",_xlfn.XLOOKUP($D$4+I91+1,#REF!,#REF!,"",0) * 1000,"")</f>
        <v/>
      </c>
      <c r="T92" s="52">
        <f t="shared" si="63"/>
        <v>0.04</v>
      </c>
      <c r="U92" s="53" t="str">
        <f t="shared" si="47"/>
        <v/>
      </c>
      <c r="V92" s="53" t="str">
        <f t="shared" si="48"/>
        <v/>
      </c>
      <c r="W92" s="53" t="str">
        <f t="shared" si="49"/>
        <v/>
      </c>
      <c r="X92" s="46" t="str">
        <f t="shared" si="36"/>
        <v/>
      </c>
      <c r="Y92" s="45"/>
      <c r="Z92" s="41" t="str">
        <f t="shared" si="50"/>
        <v/>
      </c>
      <c r="AA92" s="41" t="str">
        <f t="shared" si="51"/>
        <v/>
      </c>
      <c r="AB92" s="41" t="str">
        <f t="shared" si="37"/>
        <v/>
      </c>
      <c r="AC92" s="41" t="str">
        <f t="shared" si="38"/>
        <v/>
      </c>
      <c r="AD92" s="45"/>
      <c r="AE92" s="41" t="str">
        <f t="shared" si="39"/>
        <v/>
      </c>
      <c r="AF92" s="41" t="str">
        <f t="shared" si="40"/>
        <v/>
      </c>
      <c r="AG92" s="41" t="str">
        <f t="shared" si="41"/>
        <v/>
      </c>
      <c r="AH92" s="41" t="str">
        <f t="shared" si="52"/>
        <v/>
      </c>
      <c r="AI92" s="41" t="str">
        <f t="shared" si="53"/>
        <v/>
      </c>
      <c r="AJ92" s="41">
        <f t="shared" si="42"/>
        <v>0</v>
      </c>
      <c r="AK92" s="41" t="str">
        <f t="shared" si="43"/>
        <v/>
      </c>
      <c r="AL92" s="41">
        <f t="shared" si="54"/>
        <v>0</v>
      </c>
      <c r="AM92" s="41">
        <f t="shared" si="44"/>
        <v>0</v>
      </c>
      <c r="AN92" s="41" t="str">
        <f t="shared" si="45"/>
        <v/>
      </c>
      <c r="AO92" s="41">
        <f t="shared" si="62"/>
        <v>0</v>
      </c>
      <c r="AP92" s="45"/>
      <c r="AQ92" s="48"/>
      <c r="AR92" s="48"/>
      <c r="AS92" s="48"/>
      <c r="AT92" s="51">
        <f t="shared" si="55"/>
        <v>88</v>
      </c>
      <c r="AU92" s="49" t="str">
        <f t="shared" si="56"/>
        <v/>
      </c>
      <c r="AV92" s="49" t="str">
        <f t="shared" si="57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3:50" ht="15" x14ac:dyDescent="0.25">
      <c r="C93" s="60">
        <v>68</v>
      </c>
      <c r="D93">
        <v>3247.4606089158765</v>
      </c>
      <c r="I93" s="51"/>
      <c r="J93" s="41" t="str">
        <f t="shared" si="58"/>
        <v/>
      </c>
      <c r="K93" s="41" t="str">
        <f t="shared" si="59"/>
        <v/>
      </c>
      <c r="L93" s="42" t="str">
        <f t="shared" si="60"/>
        <v/>
      </c>
      <c r="M93" s="41" t="str">
        <f t="shared" si="61"/>
        <v/>
      </c>
      <c r="N93" s="43">
        <f t="shared" si="32"/>
        <v>0</v>
      </c>
      <c r="O93" s="44">
        <f t="shared" si="33"/>
        <v>0</v>
      </c>
      <c r="P93" s="41" t="str">
        <f t="shared" si="34"/>
        <v/>
      </c>
      <c r="Q93" s="41" t="str">
        <f t="shared" si="35"/>
        <v/>
      </c>
      <c r="R93" s="45"/>
      <c r="S93" s="44" t="str">
        <f>IF(I93&lt;&gt;"",_xlfn.XLOOKUP($D$4+I92+1,#REF!,#REF!,"",0) * 1000,"")</f>
        <v/>
      </c>
      <c r="T93" s="52">
        <f t="shared" si="63"/>
        <v>0.04</v>
      </c>
      <c r="U93" s="53" t="str">
        <f t="shared" si="47"/>
        <v/>
      </c>
      <c r="V93" s="53" t="str">
        <f t="shared" si="48"/>
        <v/>
      </c>
      <c r="W93" s="53" t="str">
        <f t="shared" si="49"/>
        <v/>
      </c>
      <c r="X93" s="46" t="str">
        <f t="shared" si="36"/>
        <v/>
      </c>
      <c r="Y93" s="45"/>
      <c r="Z93" s="41" t="str">
        <f t="shared" si="50"/>
        <v/>
      </c>
      <c r="AA93" s="41" t="str">
        <f t="shared" si="51"/>
        <v/>
      </c>
      <c r="AB93" s="41" t="str">
        <f t="shared" si="37"/>
        <v/>
      </c>
      <c r="AC93" s="41" t="str">
        <f t="shared" si="38"/>
        <v/>
      </c>
      <c r="AD93" s="45"/>
      <c r="AE93" s="41" t="str">
        <f t="shared" si="39"/>
        <v/>
      </c>
      <c r="AF93" s="41" t="str">
        <f t="shared" si="40"/>
        <v/>
      </c>
      <c r="AG93" s="41" t="str">
        <f t="shared" si="41"/>
        <v/>
      </c>
      <c r="AH93" s="41" t="str">
        <f t="shared" si="52"/>
        <v/>
      </c>
      <c r="AI93" s="41" t="str">
        <f t="shared" si="53"/>
        <v/>
      </c>
      <c r="AJ93" s="41">
        <f t="shared" si="42"/>
        <v>0</v>
      </c>
      <c r="AK93" s="41" t="str">
        <f t="shared" si="43"/>
        <v/>
      </c>
      <c r="AL93" s="41">
        <f t="shared" si="54"/>
        <v>0</v>
      </c>
      <c r="AM93" s="41">
        <f t="shared" si="44"/>
        <v>0</v>
      </c>
      <c r="AN93" s="41" t="str">
        <f t="shared" si="45"/>
        <v/>
      </c>
      <c r="AO93" s="41">
        <f t="shared" si="62"/>
        <v>0</v>
      </c>
      <c r="AP93" s="45"/>
      <c r="AQ93" s="48"/>
      <c r="AR93" s="48"/>
      <c r="AS93" s="48"/>
      <c r="AT93" s="51">
        <f t="shared" si="55"/>
        <v>89</v>
      </c>
      <c r="AU93" s="49" t="str">
        <f t="shared" si="56"/>
        <v/>
      </c>
      <c r="AV93" s="49" t="str">
        <f t="shared" si="57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3:50" ht="15" x14ac:dyDescent="0.25">
      <c r="C94" s="60">
        <v>69</v>
      </c>
      <c r="D94">
        <v>3468.3018514491082</v>
      </c>
      <c r="I94" s="40"/>
      <c r="J94" s="41" t="str">
        <f t="shared" si="58"/>
        <v/>
      </c>
      <c r="K94" s="41" t="str">
        <f t="shared" si="59"/>
        <v/>
      </c>
      <c r="L94" s="42" t="str">
        <f t="shared" si="60"/>
        <v/>
      </c>
      <c r="M94" s="41" t="str">
        <f t="shared" si="61"/>
        <v/>
      </c>
      <c r="N94" s="43">
        <f t="shared" si="32"/>
        <v>0</v>
      </c>
      <c r="O94" s="44">
        <f>AW94</f>
        <v>0</v>
      </c>
      <c r="P94" s="41" t="str">
        <f t="shared" si="34"/>
        <v/>
      </c>
      <c r="Q94" s="41" t="str">
        <f t="shared" si="35"/>
        <v/>
      </c>
      <c r="R94" s="48"/>
      <c r="S94" s="44" t="str">
        <f>IF(I94&lt;&gt;"",_xlfn.XLOOKUP($D$4+I93+1,#REF!,#REF!,"",0) * 1000,"")</f>
        <v/>
      </c>
      <c r="T94" s="52">
        <f t="shared" si="63"/>
        <v>0.04</v>
      </c>
      <c r="U94" s="53" t="str">
        <f t="shared" si="47"/>
        <v/>
      </c>
      <c r="V94" s="53" t="str">
        <f t="shared" si="48"/>
        <v/>
      </c>
      <c r="W94" s="53" t="str">
        <f t="shared" si="49"/>
        <v/>
      </c>
      <c r="X94" s="46" t="str">
        <f t="shared" si="36"/>
        <v/>
      </c>
      <c r="Y94" s="48"/>
      <c r="Z94" s="41" t="str">
        <f t="shared" si="50"/>
        <v/>
      </c>
      <c r="AA94" s="41" t="str">
        <f t="shared" si="51"/>
        <v/>
      </c>
      <c r="AB94" s="41" t="str">
        <f t="shared" si="37"/>
        <v/>
      </c>
      <c r="AC94" s="41" t="str">
        <f t="shared" si="38"/>
        <v/>
      </c>
      <c r="AD94" s="48"/>
      <c r="AE94" s="41" t="str">
        <f t="shared" si="39"/>
        <v/>
      </c>
      <c r="AF94" s="41" t="str">
        <f t="shared" si="40"/>
        <v/>
      </c>
      <c r="AG94" s="41" t="str">
        <f t="shared" si="41"/>
        <v/>
      </c>
      <c r="AH94" s="41" t="str">
        <f t="shared" si="52"/>
        <v/>
      </c>
      <c r="AI94" s="41" t="str">
        <f t="shared" si="53"/>
        <v/>
      </c>
      <c r="AJ94" s="41">
        <f t="shared" si="42"/>
        <v>0</v>
      </c>
      <c r="AK94" s="41" t="str">
        <f t="shared" si="43"/>
        <v/>
      </c>
      <c r="AL94" s="41">
        <f t="shared" si="54"/>
        <v>0</v>
      </c>
      <c r="AM94" s="41">
        <f t="shared" si="44"/>
        <v>0</v>
      </c>
      <c r="AN94" s="41" t="str">
        <f t="shared" si="45"/>
        <v/>
      </c>
      <c r="AO94" s="41">
        <f t="shared" si="62"/>
        <v>0</v>
      </c>
      <c r="AP94" s="48"/>
      <c r="AQ94" s="48"/>
      <c r="AR94" s="48"/>
      <c r="AS94" s="48"/>
      <c r="AT94" s="51">
        <f t="shared" si="55"/>
        <v>90</v>
      </c>
      <c r="AU94" s="49" t="str">
        <f t="shared" si="56"/>
        <v/>
      </c>
      <c r="AV94" s="49" t="str">
        <f t="shared" si="57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3:50" ht="15" x14ac:dyDescent="0.25">
      <c r="C95" s="60">
        <v>70</v>
      </c>
      <c r="D95">
        <v>3711.7751747468865</v>
      </c>
      <c r="I95" s="40"/>
      <c r="J95" s="41" t="str">
        <f t="shared" si="58"/>
        <v/>
      </c>
      <c r="K95" s="41" t="str">
        <f t="shared" si="59"/>
        <v/>
      </c>
      <c r="L95" s="42" t="str">
        <f t="shared" si="60"/>
        <v/>
      </c>
      <c r="M95" s="41" t="str">
        <f t="shared" si="61"/>
        <v/>
      </c>
      <c r="N95" s="43">
        <f t="shared" si="32"/>
        <v>0</v>
      </c>
      <c r="O95" s="44">
        <f t="shared" si="33"/>
        <v>0</v>
      </c>
      <c r="P95" s="41" t="str">
        <f t="shared" si="34"/>
        <v/>
      </c>
      <c r="Q95" s="41" t="str">
        <f t="shared" si="35"/>
        <v/>
      </c>
      <c r="R95" s="48"/>
      <c r="S95" s="44" t="str">
        <f>IF(I95&lt;&gt;"",_xlfn.XLOOKUP($D$4+I94+1,#REF!,#REF!,"",0) * 1000,"")</f>
        <v/>
      </c>
      <c r="T95" s="52">
        <f t="shared" si="63"/>
        <v>0.04</v>
      </c>
      <c r="U95" s="53" t="str">
        <f t="shared" si="47"/>
        <v/>
      </c>
      <c r="V95" s="53" t="str">
        <f t="shared" si="48"/>
        <v/>
      </c>
      <c r="W95" s="53" t="str">
        <f t="shared" si="49"/>
        <v/>
      </c>
      <c r="X95" s="46" t="str">
        <f t="shared" si="36"/>
        <v/>
      </c>
      <c r="Y95" s="48"/>
      <c r="Z95" s="41" t="str">
        <f t="shared" si="50"/>
        <v/>
      </c>
      <c r="AA95" s="41" t="str">
        <f t="shared" si="51"/>
        <v/>
      </c>
      <c r="AB95" s="41" t="str">
        <f t="shared" si="37"/>
        <v/>
      </c>
      <c r="AC95" s="41" t="str">
        <f t="shared" si="38"/>
        <v/>
      </c>
      <c r="AD95" s="48"/>
      <c r="AE95" s="41" t="str">
        <f t="shared" si="39"/>
        <v/>
      </c>
      <c r="AF95" s="41" t="str">
        <f t="shared" si="40"/>
        <v/>
      </c>
      <c r="AG95" s="41" t="str">
        <f t="shared" si="41"/>
        <v/>
      </c>
      <c r="AH95" s="41" t="str">
        <f t="shared" si="52"/>
        <v/>
      </c>
      <c r="AI95" s="41" t="str">
        <f t="shared" si="53"/>
        <v/>
      </c>
      <c r="AJ95" s="41">
        <f t="shared" si="42"/>
        <v>0</v>
      </c>
      <c r="AK95" s="41" t="str">
        <f t="shared" si="43"/>
        <v/>
      </c>
      <c r="AL95" s="41">
        <f t="shared" si="54"/>
        <v>0</v>
      </c>
      <c r="AM95" s="41">
        <f t="shared" si="44"/>
        <v>0</v>
      </c>
      <c r="AN95" s="41" t="str">
        <f t="shared" si="45"/>
        <v/>
      </c>
      <c r="AO95" s="41">
        <f t="shared" si="62"/>
        <v>0</v>
      </c>
      <c r="AP95" s="48"/>
      <c r="AQ95" s="48"/>
      <c r="AR95" s="48"/>
      <c r="AS95" s="48"/>
      <c r="AT95" s="51">
        <f t="shared" si="55"/>
        <v>91</v>
      </c>
      <c r="AU95" s="49" t="str">
        <f t="shared" si="56"/>
        <v/>
      </c>
      <c r="AV95" s="49" t="str">
        <f t="shared" si="57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3:50" ht="15" x14ac:dyDescent="0.25">
      <c r="C96" s="60">
        <v>71</v>
      </c>
      <c r="D96">
        <v>3980.8289142182812</v>
      </c>
      <c r="I96" s="40"/>
      <c r="J96" s="41" t="str">
        <f t="shared" si="58"/>
        <v/>
      </c>
      <c r="K96" s="41" t="str">
        <f t="shared" si="59"/>
        <v/>
      </c>
      <c r="L96" s="42" t="str">
        <f t="shared" si="60"/>
        <v/>
      </c>
      <c r="M96" s="41" t="str">
        <f t="shared" si="61"/>
        <v/>
      </c>
      <c r="N96" s="43">
        <f t="shared" si="32"/>
        <v>0</v>
      </c>
      <c r="O96" s="44">
        <f t="shared" si="33"/>
        <v>0</v>
      </c>
      <c r="P96" s="41" t="str">
        <f t="shared" si="34"/>
        <v/>
      </c>
      <c r="Q96" s="41" t="str">
        <f t="shared" si="35"/>
        <v/>
      </c>
      <c r="R96" s="48"/>
      <c r="S96" s="44" t="str">
        <f>IF(I96&lt;&gt;"",_xlfn.XLOOKUP($D$4+I95+1,#REF!,#REF!,"",0) * 1000,"")</f>
        <v/>
      </c>
      <c r="T96" s="52">
        <f t="shared" si="63"/>
        <v>0.04</v>
      </c>
      <c r="U96" s="53" t="str">
        <f t="shared" si="47"/>
        <v/>
      </c>
      <c r="V96" s="53" t="str">
        <f t="shared" si="48"/>
        <v/>
      </c>
      <c r="W96" s="53" t="str">
        <f t="shared" si="49"/>
        <v/>
      </c>
      <c r="X96" s="46" t="str">
        <f t="shared" si="36"/>
        <v/>
      </c>
      <c r="Y96" s="48"/>
      <c r="Z96" s="41" t="str">
        <f t="shared" si="50"/>
        <v/>
      </c>
      <c r="AA96" s="41" t="str">
        <f t="shared" si="51"/>
        <v/>
      </c>
      <c r="AB96" s="41" t="str">
        <f t="shared" si="37"/>
        <v/>
      </c>
      <c r="AC96" s="41" t="str">
        <f t="shared" si="38"/>
        <v/>
      </c>
      <c r="AD96" s="48"/>
      <c r="AE96" s="41" t="str">
        <f t="shared" si="39"/>
        <v/>
      </c>
      <c r="AF96" s="41" t="str">
        <f t="shared" si="40"/>
        <v/>
      </c>
      <c r="AG96" s="41" t="str">
        <f t="shared" si="41"/>
        <v/>
      </c>
      <c r="AH96" s="41" t="str">
        <f t="shared" si="52"/>
        <v/>
      </c>
      <c r="AI96" s="41" t="str">
        <f t="shared" si="53"/>
        <v/>
      </c>
      <c r="AJ96" s="41">
        <f>SUM(AE96:AI96)</f>
        <v>0</v>
      </c>
      <c r="AK96" s="41" t="str">
        <f t="shared" si="43"/>
        <v/>
      </c>
      <c r="AL96" s="41">
        <f t="shared" si="54"/>
        <v>0</v>
      </c>
      <c r="AM96" s="41">
        <f t="shared" si="44"/>
        <v>0</v>
      </c>
      <c r="AN96" s="41" t="str">
        <f t="shared" si="45"/>
        <v/>
      </c>
      <c r="AO96" s="41">
        <f t="shared" si="62"/>
        <v>0</v>
      </c>
      <c r="AP96" s="48"/>
      <c r="AQ96" s="48"/>
      <c r="AR96" s="48"/>
      <c r="AS96" s="48"/>
      <c r="AT96" s="51">
        <f t="shared" si="55"/>
        <v>92</v>
      </c>
      <c r="AU96" s="49" t="str">
        <f t="shared" si="56"/>
        <v/>
      </c>
      <c r="AV96" s="49" t="str">
        <f t="shared" si="57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3:50" ht="15" x14ac:dyDescent="0.25">
      <c r="C97" s="60">
        <v>72</v>
      </c>
      <c r="D97">
        <v>4278.7826716319341</v>
      </c>
      <c r="I97" s="40"/>
      <c r="J97" s="41" t="str">
        <f t="shared" si="58"/>
        <v/>
      </c>
      <c r="K97" s="41" t="str">
        <f t="shared" si="59"/>
        <v/>
      </c>
      <c r="L97" s="42" t="str">
        <f t="shared" si="60"/>
        <v/>
      </c>
      <c r="M97" s="41" t="str">
        <f t="shared" si="61"/>
        <v/>
      </c>
      <c r="N97" s="43">
        <f t="shared" si="32"/>
        <v>0</v>
      </c>
      <c r="O97" s="44">
        <f t="shared" si="33"/>
        <v>0</v>
      </c>
      <c r="P97" s="41" t="str">
        <f t="shared" si="34"/>
        <v/>
      </c>
      <c r="Q97" s="41" t="str">
        <f t="shared" si="35"/>
        <v/>
      </c>
      <c r="R97" s="48"/>
      <c r="S97" s="44" t="str">
        <f>IF(I97&lt;&gt;"",_xlfn.XLOOKUP($D$4+I96+1,#REF!,#REF!,"",0) * 1000,"")</f>
        <v/>
      </c>
      <c r="T97" s="52">
        <f t="shared" si="63"/>
        <v>0.04</v>
      </c>
      <c r="U97" s="53" t="str">
        <f t="shared" si="47"/>
        <v/>
      </c>
      <c r="V97" s="53" t="str">
        <f t="shared" si="48"/>
        <v/>
      </c>
      <c r="W97" s="53" t="str">
        <f t="shared" si="49"/>
        <v/>
      </c>
      <c r="X97" s="46" t="str">
        <f t="shared" si="36"/>
        <v/>
      </c>
      <c r="Y97" s="48"/>
      <c r="Z97" s="41" t="str">
        <f t="shared" si="50"/>
        <v/>
      </c>
      <c r="AA97" s="41" t="str">
        <f t="shared" si="51"/>
        <v/>
      </c>
      <c r="AB97" s="41" t="str">
        <f t="shared" si="37"/>
        <v/>
      </c>
      <c r="AC97" s="41" t="str">
        <f t="shared" si="38"/>
        <v/>
      </c>
      <c r="AD97" s="48"/>
      <c r="AE97" s="41" t="str">
        <f t="shared" si="39"/>
        <v/>
      </c>
      <c r="AF97" s="41" t="str">
        <f t="shared" si="40"/>
        <v/>
      </c>
      <c r="AG97" s="41" t="str">
        <f t="shared" si="41"/>
        <v/>
      </c>
      <c r="AH97" s="41" t="str">
        <f t="shared" si="52"/>
        <v/>
      </c>
      <c r="AI97" s="41" t="str">
        <f t="shared" si="53"/>
        <v/>
      </c>
      <c r="AJ97" s="41">
        <f t="shared" si="42"/>
        <v>0</v>
      </c>
      <c r="AK97" s="41" t="str">
        <f t="shared" si="43"/>
        <v/>
      </c>
      <c r="AL97" s="41">
        <f t="shared" si="54"/>
        <v>0</v>
      </c>
      <c r="AM97" s="41">
        <f t="shared" si="44"/>
        <v>0</v>
      </c>
      <c r="AN97" s="41" t="str">
        <f t="shared" si="45"/>
        <v/>
      </c>
      <c r="AO97" s="41">
        <f t="shared" si="62"/>
        <v>0</v>
      </c>
      <c r="AP97" s="48"/>
      <c r="AQ97" s="48"/>
      <c r="AR97" s="48"/>
      <c r="AS97" s="48"/>
      <c r="AT97" s="51">
        <f t="shared" si="55"/>
        <v>93</v>
      </c>
      <c r="AU97" s="49" t="str">
        <f t="shared" si="56"/>
        <v/>
      </c>
      <c r="AV97" s="49" t="str">
        <f t="shared" si="57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3:50" ht="15" x14ac:dyDescent="0.25">
      <c r="C98" s="60">
        <v>73</v>
      </c>
      <c r="D98">
        <v>4609.3178985392669</v>
      </c>
      <c r="I98" s="40"/>
      <c r="J98" s="41" t="str">
        <f t="shared" si="58"/>
        <v/>
      </c>
      <c r="K98" s="41" t="str">
        <f t="shared" si="59"/>
        <v/>
      </c>
      <c r="L98" s="42" t="str">
        <f t="shared" si="60"/>
        <v/>
      </c>
      <c r="M98" s="41" t="str">
        <f t="shared" si="61"/>
        <v/>
      </c>
      <c r="N98" s="43">
        <f t="shared" si="32"/>
        <v>0</v>
      </c>
      <c r="O98" s="44">
        <f t="shared" si="33"/>
        <v>0</v>
      </c>
      <c r="P98" s="41" t="str">
        <f t="shared" si="34"/>
        <v/>
      </c>
      <c r="Q98" s="41" t="str">
        <f t="shared" si="35"/>
        <v/>
      </c>
      <c r="R98" s="48"/>
      <c r="S98" s="44" t="str">
        <f>IF(I98&lt;&gt;"",_xlfn.XLOOKUP($D$4+I97+1,#REF!,#REF!,"",0) * 1000,"")</f>
        <v/>
      </c>
      <c r="T98" s="52">
        <f t="shared" si="63"/>
        <v>0.04</v>
      </c>
      <c r="U98" s="53" t="str">
        <f t="shared" si="47"/>
        <v/>
      </c>
      <c r="V98" s="53" t="str">
        <f t="shared" si="48"/>
        <v/>
      </c>
      <c r="W98" s="53" t="str">
        <f t="shared" si="49"/>
        <v/>
      </c>
      <c r="X98" s="46" t="str">
        <f t="shared" si="36"/>
        <v/>
      </c>
      <c r="Y98" s="48"/>
      <c r="Z98" s="41" t="str">
        <f t="shared" si="50"/>
        <v/>
      </c>
      <c r="AA98" s="41" t="str">
        <f t="shared" si="51"/>
        <v/>
      </c>
      <c r="AB98" s="41" t="str">
        <f t="shared" si="37"/>
        <v/>
      </c>
      <c r="AC98" s="41" t="str">
        <f t="shared" si="38"/>
        <v/>
      </c>
      <c r="AD98" s="48"/>
      <c r="AE98" s="41" t="str">
        <f t="shared" si="39"/>
        <v/>
      </c>
      <c r="AF98" s="41" t="str">
        <f t="shared" si="40"/>
        <v/>
      </c>
      <c r="AG98" s="41" t="str">
        <f t="shared" si="41"/>
        <v/>
      </c>
      <c r="AH98" s="41" t="str">
        <f t="shared" si="52"/>
        <v/>
      </c>
      <c r="AI98" s="41" t="str">
        <f t="shared" si="53"/>
        <v/>
      </c>
      <c r="AJ98" s="41">
        <f t="shared" si="42"/>
        <v>0</v>
      </c>
      <c r="AK98" s="41" t="str">
        <f t="shared" si="43"/>
        <v/>
      </c>
      <c r="AL98" s="41">
        <f t="shared" si="54"/>
        <v>0</v>
      </c>
      <c r="AM98" s="41">
        <f t="shared" si="44"/>
        <v>0</v>
      </c>
      <c r="AN98" s="41" t="str">
        <f t="shared" si="45"/>
        <v/>
      </c>
      <c r="AO98" s="41">
        <f t="shared" si="62"/>
        <v>0</v>
      </c>
      <c r="AP98" s="48"/>
      <c r="AQ98" s="48"/>
      <c r="AR98" s="48"/>
      <c r="AS98" s="48"/>
      <c r="AT98" s="51">
        <f t="shared" si="55"/>
        <v>94</v>
      </c>
      <c r="AU98" s="49" t="str">
        <f t="shared" si="56"/>
        <v/>
      </c>
      <c r="AV98" s="49" t="str">
        <f t="shared" si="57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3:50" ht="15" x14ac:dyDescent="0.25">
      <c r="C99" s="60">
        <v>74</v>
      </c>
      <c r="D99">
        <v>4975.4661379770323</v>
      </c>
      <c r="I99" s="40"/>
      <c r="J99" s="41" t="str">
        <f t="shared" si="58"/>
        <v/>
      </c>
      <c r="K99" s="41" t="str">
        <f t="shared" si="59"/>
        <v/>
      </c>
      <c r="L99" s="42" t="str">
        <f t="shared" si="60"/>
        <v/>
      </c>
      <c r="M99" s="41" t="str">
        <f t="shared" si="61"/>
        <v/>
      </c>
      <c r="N99" s="43">
        <f t="shared" si="32"/>
        <v>0</v>
      </c>
      <c r="O99" s="44">
        <f t="shared" si="33"/>
        <v>0</v>
      </c>
      <c r="P99" s="41" t="str">
        <f t="shared" si="34"/>
        <v/>
      </c>
      <c r="Q99" s="41" t="str">
        <f t="shared" si="35"/>
        <v/>
      </c>
      <c r="R99" s="48"/>
      <c r="S99" s="44" t="str">
        <f>IF(I99&lt;&gt;"",_xlfn.XLOOKUP($D$4+I98+1,#REF!,#REF!,"",0) * 1000,"")</f>
        <v/>
      </c>
      <c r="T99" s="52">
        <f t="shared" si="63"/>
        <v>0.04</v>
      </c>
      <c r="U99" s="53" t="str">
        <f t="shared" si="47"/>
        <v/>
      </c>
      <c r="V99" s="53" t="str">
        <f t="shared" si="48"/>
        <v/>
      </c>
      <c r="W99" s="53" t="str">
        <f t="shared" si="49"/>
        <v/>
      </c>
      <c r="X99" s="46" t="str">
        <f t="shared" si="36"/>
        <v/>
      </c>
      <c r="Y99" s="48"/>
      <c r="Z99" s="41" t="str">
        <f t="shared" si="50"/>
        <v/>
      </c>
      <c r="AA99" s="41" t="str">
        <f t="shared" si="51"/>
        <v/>
      </c>
      <c r="AB99" s="41" t="str">
        <f t="shared" si="37"/>
        <v/>
      </c>
      <c r="AC99" s="41" t="str">
        <f t="shared" si="38"/>
        <v/>
      </c>
      <c r="AD99" s="48"/>
      <c r="AE99" s="41" t="str">
        <f t="shared" si="39"/>
        <v/>
      </c>
      <c r="AF99" s="41" t="str">
        <f t="shared" si="40"/>
        <v/>
      </c>
      <c r="AG99" s="41" t="str">
        <f t="shared" si="41"/>
        <v/>
      </c>
      <c r="AH99" s="41" t="str">
        <f t="shared" si="52"/>
        <v/>
      </c>
      <c r="AI99" s="41" t="str">
        <f t="shared" si="53"/>
        <v/>
      </c>
      <c r="AJ99" s="41">
        <f t="shared" si="42"/>
        <v>0</v>
      </c>
      <c r="AK99" s="41" t="str">
        <f t="shared" si="43"/>
        <v/>
      </c>
      <c r="AL99" s="41">
        <f t="shared" si="54"/>
        <v>0</v>
      </c>
      <c r="AM99" s="41">
        <f t="shared" si="44"/>
        <v>0</v>
      </c>
      <c r="AN99" s="41" t="str">
        <f t="shared" si="45"/>
        <v/>
      </c>
      <c r="AO99" s="41">
        <f t="shared" si="62"/>
        <v>0</v>
      </c>
      <c r="AP99" s="48"/>
      <c r="AQ99" s="48"/>
      <c r="AR99" s="48"/>
      <c r="AS99" s="48"/>
      <c r="AT99" s="51">
        <f t="shared" si="55"/>
        <v>95</v>
      </c>
      <c r="AU99" s="49" t="str">
        <f t="shared" si="56"/>
        <v/>
      </c>
      <c r="AV99" s="49" t="str">
        <f t="shared" si="57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3:50" ht="15" x14ac:dyDescent="0.25">
      <c r="C100" s="60">
        <v>75</v>
      </c>
      <c r="D100">
        <v>5381.2723371646698</v>
      </c>
      <c r="I100" s="40"/>
      <c r="J100" s="41" t="str">
        <f t="shared" si="58"/>
        <v/>
      </c>
      <c r="K100" s="41" t="str">
        <f t="shared" si="59"/>
        <v/>
      </c>
      <c r="L100" s="42" t="str">
        <f t="shared" si="60"/>
        <v/>
      </c>
      <c r="M100" s="41" t="str">
        <f t="shared" si="61"/>
        <v/>
      </c>
      <c r="N100" s="43">
        <f t="shared" si="32"/>
        <v>0</v>
      </c>
      <c r="O100" s="44">
        <f t="shared" si="33"/>
        <v>0</v>
      </c>
      <c r="P100" s="41" t="str">
        <f t="shared" si="34"/>
        <v/>
      </c>
      <c r="Q100" s="41" t="str">
        <f t="shared" si="35"/>
        <v/>
      </c>
      <c r="R100" s="48"/>
      <c r="S100" s="44" t="str">
        <f>IF(I100&lt;&gt;"",_xlfn.XLOOKUP($D$4+I99+1,#REF!,#REF!,"",0) * 1000,"")</f>
        <v/>
      </c>
      <c r="T100" s="52">
        <f t="shared" si="63"/>
        <v>0.04</v>
      </c>
      <c r="U100" s="53" t="str">
        <f t="shared" si="47"/>
        <v/>
      </c>
      <c r="V100" s="53" t="str">
        <f t="shared" si="48"/>
        <v/>
      </c>
      <c r="W100" s="53" t="str">
        <f t="shared" si="49"/>
        <v/>
      </c>
      <c r="X100" s="46" t="str">
        <f t="shared" si="36"/>
        <v/>
      </c>
      <c r="Y100" s="48"/>
      <c r="Z100" s="41" t="str">
        <f t="shared" si="50"/>
        <v/>
      </c>
      <c r="AA100" s="41" t="str">
        <f t="shared" si="51"/>
        <v/>
      </c>
      <c r="AB100" s="41" t="str">
        <f t="shared" si="37"/>
        <v/>
      </c>
      <c r="AC100" s="41" t="str">
        <f t="shared" si="38"/>
        <v/>
      </c>
      <c r="AD100" s="48"/>
      <c r="AE100" s="41" t="str">
        <f t="shared" si="39"/>
        <v/>
      </c>
      <c r="AF100" s="41" t="str">
        <f t="shared" si="40"/>
        <v/>
      </c>
      <c r="AG100" s="41" t="str">
        <f t="shared" si="41"/>
        <v/>
      </c>
      <c r="AH100" s="41" t="str">
        <f t="shared" si="52"/>
        <v/>
      </c>
      <c r="AI100" s="41" t="str">
        <f t="shared" si="53"/>
        <v/>
      </c>
      <c r="AJ100" s="41">
        <f t="shared" si="42"/>
        <v>0</v>
      </c>
      <c r="AK100" s="41" t="str">
        <f t="shared" si="43"/>
        <v/>
      </c>
      <c r="AL100" s="41">
        <f t="shared" si="54"/>
        <v>0</v>
      </c>
      <c r="AM100" s="41">
        <f t="shared" si="44"/>
        <v>0</v>
      </c>
      <c r="AN100" s="41" t="str">
        <f t="shared" si="45"/>
        <v/>
      </c>
      <c r="AO100" s="41">
        <f t="shared" si="62"/>
        <v>0</v>
      </c>
      <c r="AP100" s="48"/>
      <c r="AQ100" s="48"/>
      <c r="AR100" s="48"/>
      <c r="AS100" s="48"/>
      <c r="AT100" s="51">
        <f t="shared" si="55"/>
        <v>96</v>
      </c>
      <c r="AU100" s="49" t="str">
        <f t="shared" si="56"/>
        <v/>
      </c>
      <c r="AV100" s="49" t="str">
        <f t="shared" si="57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3:50" ht="15" x14ac:dyDescent="0.25">
      <c r="C101" s="60">
        <v>76</v>
      </c>
      <c r="D101">
        <v>5830.9909316578387</v>
      </c>
      <c r="I101" s="40"/>
      <c r="J101" s="41" t="str">
        <f t="shared" si="58"/>
        <v/>
      </c>
      <c r="K101" s="41" t="str">
        <f t="shared" si="59"/>
        <v/>
      </c>
      <c r="L101" s="42" t="str">
        <f t="shared" si="60"/>
        <v/>
      </c>
      <c r="M101" s="41" t="str">
        <f t="shared" si="61"/>
        <v/>
      </c>
      <c r="N101" s="43">
        <f t="shared" si="32"/>
        <v>0</v>
      </c>
      <c r="O101" s="44">
        <f t="shared" si="33"/>
        <v>0</v>
      </c>
      <c r="P101" s="41" t="str">
        <f t="shared" si="34"/>
        <v/>
      </c>
      <c r="Q101" s="41" t="str">
        <f t="shared" si="35"/>
        <v/>
      </c>
      <c r="R101" s="48"/>
      <c r="S101" s="44" t="str">
        <f>IF(I101&lt;&gt;"",_xlfn.XLOOKUP($D$4+I100+1,#REF!,#REF!,"",0) * 1000,"")</f>
        <v/>
      </c>
      <c r="T101" s="52">
        <f t="shared" si="63"/>
        <v>0.04</v>
      </c>
      <c r="U101" s="53" t="str">
        <f t="shared" si="47"/>
        <v/>
      </c>
      <c r="V101" s="53" t="str">
        <f t="shared" si="48"/>
        <v/>
      </c>
      <c r="W101" s="53" t="str">
        <f t="shared" si="49"/>
        <v/>
      </c>
      <c r="X101" s="46" t="str">
        <f t="shared" si="36"/>
        <v/>
      </c>
      <c r="Y101" s="48"/>
      <c r="Z101" s="41" t="str">
        <f t="shared" si="50"/>
        <v/>
      </c>
      <c r="AA101" s="41" t="str">
        <f t="shared" si="51"/>
        <v/>
      </c>
      <c r="AB101" s="41" t="str">
        <f t="shared" si="37"/>
        <v/>
      </c>
      <c r="AC101" s="41" t="str">
        <f t="shared" si="38"/>
        <v/>
      </c>
      <c r="AD101" s="48"/>
      <c r="AE101" s="41" t="str">
        <f t="shared" si="39"/>
        <v/>
      </c>
      <c r="AF101" s="41" t="str">
        <f t="shared" si="40"/>
        <v/>
      </c>
      <c r="AG101" s="41" t="str">
        <f t="shared" si="41"/>
        <v/>
      </c>
      <c r="AH101" s="41" t="str">
        <f t="shared" si="52"/>
        <v/>
      </c>
      <c r="AI101" s="41" t="str">
        <f t="shared" si="53"/>
        <v/>
      </c>
      <c r="AJ101" s="41">
        <f t="shared" si="42"/>
        <v>0</v>
      </c>
      <c r="AK101" s="41" t="str">
        <f t="shared" si="43"/>
        <v/>
      </c>
      <c r="AL101" s="41">
        <f t="shared" si="54"/>
        <v>0</v>
      </c>
      <c r="AM101" s="41">
        <f t="shared" si="44"/>
        <v>0</v>
      </c>
      <c r="AN101" s="41" t="str">
        <f t="shared" si="45"/>
        <v/>
      </c>
      <c r="AO101" s="41">
        <f t="shared" si="62"/>
        <v>0</v>
      </c>
      <c r="AP101" s="48"/>
      <c r="AQ101" s="48"/>
      <c r="AR101" s="48"/>
      <c r="AS101" s="48"/>
      <c r="AT101" s="51">
        <f t="shared" si="55"/>
        <v>97</v>
      </c>
      <c r="AU101" s="49" t="str">
        <f t="shared" si="56"/>
        <v/>
      </c>
      <c r="AV101" s="49" t="str">
        <f t="shared" si="57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3:50" ht="15" x14ac:dyDescent="0.25">
      <c r="C102" s="60">
        <v>77</v>
      </c>
      <c r="D102">
        <v>6328.5378592683601</v>
      </c>
      <c r="I102" s="40"/>
      <c r="J102" s="41" t="str">
        <f t="shared" si="58"/>
        <v/>
      </c>
      <c r="K102" s="41" t="str">
        <f t="shared" si="59"/>
        <v/>
      </c>
      <c r="L102" s="42" t="str">
        <f t="shared" si="60"/>
        <v/>
      </c>
      <c r="M102" s="41" t="str">
        <f t="shared" si="61"/>
        <v/>
      </c>
      <c r="N102" s="43">
        <f t="shared" si="32"/>
        <v>0</v>
      </c>
      <c r="O102" s="44">
        <f t="shared" si="33"/>
        <v>0</v>
      </c>
      <c r="P102" s="41" t="str">
        <f t="shared" si="34"/>
        <v/>
      </c>
      <c r="Q102" s="41" t="str">
        <f t="shared" si="35"/>
        <v/>
      </c>
      <c r="R102" s="48"/>
      <c r="S102" s="44" t="str">
        <f>IF(I102&lt;&gt;"",_xlfn.XLOOKUP($D$4+I101+1,#REF!,#REF!,"",0) * 1000,"")</f>
        <v/>
      </c>
      <c r="T102" s="52">
        <f t="shared" si="63"/>
        <v>0.04</v>
      </c>
      <c r="U102" s="53" t="str">
        <f t="shared" si="47"/>
        <v/>
      </c>
      <c r="V102" s="53" t="str">
        <f t="shared" si="48"/>
        <v/>
      </c>
      <c r="W102" s="53" t="str">
        <f t="shared" si="49"/>
        <v/>
      </c>
      <c r="X102" s="46" t="str">
        <f t="shared" si="36"/>
        <v/>
      </c>
      <c r="Y102" s="48"/>
      <c r="Z102" s="41" t="str">
        <f t="shared" si="50"/>
        <v/>
      </c>
      <c r="AA102" s="41" t="str">
        <f t="shared" si="51"/>
        <v/>
      </c>
      <c r="AB102" s="41" t="str">
        <f t="shared" si="37"/>
        <v/>
      </c>
      <c r="AC102" s="41" t="str">
        <f t="shared" si="38"/>
        <v/>
      </c>
      <c r="AD102" s="48"/>
      <c r="AE102" s="41" t="str">
        <f t="shared" si="39"/>
        <v/>
      </c>
      <c r="AF102" s="41" t="str">
        <f t="shared" si="40"/>
        <v/>
      </c>
      <c r="AG102" s="41" t="str">
        <f t="shared" si="41"/>
        <v/>
      </c>
      <c r="AH102" s="41" t="str">
        <f t="shared" si="52"/>
        <v/>
      </c>
      <c r="AI102" s="41" t="str">
        <f t="shared" si="53"/>
        <v/>
      </c>
      <c r="AJ102" s="41">
        <f t="shared" si="42"/>
        <v>0</v>
      </c>
      <c r="AK102" s="41" t="str">
        <f t="shared" si="43"/>
        <v/>
      </c>
      <c r="AL102" s="41">
        <f t="shared" si="54"/>
        <v>0</v>
      </c>
      <c r="AM102" s="41">
        <f t="shared" si="44"/>
        <v>0</v>
      </c>
      <c r="AN102" s="41" t="str">
        <f t="shared" si="45"/>
        <v/>
      </c>
      <c r="AO102" s="41">
        <f t="shared" si="62"/>
        <v>0</v>
      </c>
      <c r="AP102" s="48"/>
      <c r="AQ102" s="48"/>
      <c r="AR102" s="48"/>
      <c r="AS102" s="48"/>
      <c r="AT102" s="51">
        <f t="shared" si="55"/>
        <v>98</v>
      </c>
      <c r="AU102" s="49" t="str">
        <f t="shared" si="56"/>
        <v/>
      </c>
      <c r="AV102" s="49" t="str">
        <f t="shared" si="57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3:50" ht="15" x14ac:dyDescent="0.25">
      <c r="C103" s="60">
        <v>78</v>
      </c>
      <c r="D103">
        <v>6879.5914273459102</v>
      </c>
      <c r="I103" s="40"/>
      <c r="J103" s="41" t="str">
        <f t="shared" si="58"/>
        <v/>
      </c>
      <c r="K103" s="41" t="str">
        <f t="shared" si="59"/>
        <v/>
      </c>
      <c r="L103" s="42" t="str">
        <f t="shared" si="60"/>
        <v/>
      </c>
      <c r="M103" s="41" t="str">
        <f t="shared" si="61"/>
        <v/>
      </c>
      <c r="N103" s="43">
        <f t="shared" si="32"/>
        <v>0</v>
      </c>
      <c r="O103" s="44">
        <f t="shared" si="33"/>
        <v>0</v>
      </c>
      <c r="P103" s="41" t="str">
        <f t="shared" si="34"/>
        <v/>
      </c>
      <c r="Q103" s="41" t="str">
        <f t="shared" si="35"/>
        <v/>
      </c>
      <c r="R103" s="48"/>
      <c r="S103" s="44" t="str">
        <f>IF(I103&lt;&gt;"",_xlfn.XLOOKUP($D$4+I102+1,#REF!,#REF!,"",0) * 1000,"")</f>
        <v/>
      </c>
      <c r="T103" s="52">
        <f t="shared" si="63"/>
        <v>0.04</v>
      </c>
      <c r="U103" s="53" t="str">
        <f t="shared" si="47"/>
        <v/>
      </c>
      <c r="V103" s="53" t="str">
        <f t="shared" si="48"/>
        <v/>
      </c>
      <c r="W103" s="53" t="str">
        <f t="shared" si="49"/>
        <v/>
      </c>
      <c r="X103" s="46" t="str">
        <f t="shared" si="36"/>
        <v/>
      </c>
      <c r="Y103" s="48"/>
      <c r="Z103" s="41" t="str">
        <f t="shared" si="50"/>
        <v/>
      </c>
      <c r="AA103" s="41" t="str">
        <f t="shared" si="51"/>
        <v/>
      </c>
      <c r="AB103" s="41" t="str">
        <f t="shared" si="37"/>
        <v/>
      </c>
      <c r="AC103" s="41" t="str">
        <f t="shared" si="38"/>
        <v/>
      </c>
      <c r="AD103" s="48"/>
      <c r="AE103" s="41" t="str">
        <f t="shared" si="39"/>
        <v/>
      </c>
      <c r="AF103" s="41" t="str">
        <f t="shared" si="40"/>
        <v/>
      </c>
      <c r="AG103" s="41" t="str">
        <f t="shared" si="41"/>
        <v/>
      </c>
      <c r="AH103" s="41" t="str">
        <f t="shared" si="52"/>
        <v/>
      </c>
      <c r="AI103" s="41" t="str">
        <f t="shared" si="53"/>
        <v/>
      </c>
      <c r="AJ103" s="41">
        <f t="shared" si="42"/>
        <v>0</v>
      </c>
      <c r="AK103" s="41" t="str">
        <f t="shared" si="43"/>
        <v/>
      </c>
      <c r="AL103" s="41">
        <f t="shared" si="54"/>
        <v>0</v>
      </c>
      <c r="AM103" s="41">
        <f t="shared" si="44"/>
        <v>0</v>
      </c>
      <c r="AN103" s="41" t="str">
        <f t="shared" si="45"/>
        <v/>
      </c>
      <c r="AO103" s="41">
        <f t="shared" si="62"/>
        <v>0</v>
      </c>
      <c r="AP103" s="48"/>
      <c r="AQ103" s="48"/>
      <c r="AR103" s="48"/>
      <c r="AS103" s="48"/>
      <c r="AT103" s="51">
        <f t="shared" si="55"/>
        <v>99</v>
      </c>
      <c r="AU103" s="49" t="str">
        <f t="shared" si="56"/>
        <v/>
      </c>
      <c r="AV103" s="49" t="str">
        <f t="shared" si="57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3:50" ht="15" x14ac:dyDescent="0.25">
      <c r="C104" s="60">
        <v>79</v>
      </c>
      <c r="D104">
        <v>7490.8591282474545</v>
      </c>
      <c r="I104" s="40"/>
      <c r="J104" s="41" t="str">
        <f t="shared" si="58"/>
        <v/>
      </c>
      <c r="K104" s="41" t="str">
        <f t="shared" si="59"/>
        <v/>
      </c>
      <c r="L104" s="42" t="str">
        <f t="shared" si="60"/>
        <v/>
      </c>
      <c r="M104" s="41" t="str">
        <f t="shared" si="61"/>
        <v/>
      </c>
      <c r="N104" s="43">
        <f t="shared" si="32"/>
        <v>0</v>
      </c>
      <c r="O104" s="44">
        <f t="shared" si="33"/>
        <v>0</v>
      </c>
      <c r="P104" s="41" t="str">
        <f t="shared" si="34"/>
        <v/>
      </c>
      <c r="Q104" s="41" t="str">
        <f t="shared" si="35"/>
        <v/>
      </c>
      <c r="R104" s="48"/>
      <c r="S104" s="44" t="str">
        <f>IF(I104&lt;&gt;"",_xlfn.XLOOKUP($D$4+I103+1,#REF!,#REF!,"",0) * 1000,"")</f>
        <v/>
      </c>
      <c r="T104" s="52">
        <f t="shared" si="63"/>
        <v>0.04</v>
      </c>
      <c r="U104" s="53" t="str">
        <f t="shared" si="47"/>
        <v/>
      </c>
      <c r="V104" s="53" t="str">
        <f t="shared" si="48"/>
        <v/>
      </c>
      <c r="W104" s="53" t="str">
        <f t="shared" si="49"/>
        <v/>
      </c>
      <c r="X104" s="46" t="str">
        <f t="shared" si="36"/>
        <v/>
      </c>
      <c r="Y104" s="48"/>
      <c r="Z104" s="41" t="str">
        <f t="shared" si="50"/>
        <v/>
      </c>
      <c r="AA104" s="41" t="str">
        <f t="shared" si="51"/>
        <v/>
      </c>
      <c r="AB104" s="41" t="str">
        <f t="shared" si="37"/>
        <v/>
      </c>
      <c r="AC104" s="41" t="str">
        <f t="shared" si="38"/>
        <v/>
      </c>
      <c r="AD104" s="48"/>
      <c r="AE104" s="41" t="str">
        <f t="shared" si="39"/>
        <v/>
      </c>
      <c r="AF104" s="41" t="str">
        <f t="shared" si="40"/>
        <v/>
      </c>
      <c r="AG104" s="41" t="str">
        <f t="shared" si="41"/>
        <v/>
      </c>
      <c r="AH104" s="41" t="str">
        <f t="shared" si="52"/>
        <v/>
      </c>
      <c r="AI104" s="41" t="str">
        <f t="shared" si="53"/>
        <v/>
      </c>
      <c r="AJ104" s="41">
        <f t="shared" si="42"/>
        <v>0</v>
      </c>
      <c r="AK104" s="41" t="str">
        <f t="shared" si="43"/>
        <v/>
      </c>
      <c r="AL104" s="41">
        <f t="shared" si="54"/>
        <v>0</v>
      </c>
      <c r="AM104" s="41">
        <f t="shared" si="44"/>
        <v>0</v>
      </c>
      <c r="AN104" s="41" t="str">
        <f t="shared" si="45"/>
        <v/>
      </c>
      <c r="AO104" s="41">
        <f t="shared" si="62"/>
        <v>0</v>
      </c>
      <c r="AP104" s="48"/>
      <c r="AQ104" s="48"/>
      <c r="AR104" s="48"/>
      <c r="AS104" s="48"/>
      <c r="AT104" s="51">
        <f t="shared" si="55"/>
        <v>100</v>
      </c>
      <c r="AU104" s="49" t="str">
        <f t="shared" si="56"/>
        <v/>
      </c>
      <c r="AV104" s="49" t="str">
        <f t="shared" si="57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3:50" ht="15" x14ac:dyDescent="0.25">
      <c r="C105" s="60">
        <v>80</v>
      </c>
      <c r="D105">
        <v>8171.9704056376877</v>
      </c>
      <c r="I105" s="40"/>
      <c r="J105" s="41" t="str">
        <f t="shared" si="58"/>
        <v/>
      </c>
      <c r="K105" s="41" t="str">
        <f t="shared" si="59"/>
        <v/>
      </c>
      <c r="L105" s="42" t="str">
        <f t="shared" si="60"/>
        <v/>
      </c>
      <c r="M105" s="41" t="str">
        <f t="shared" si="61"/>
        <v/>
      </c>
      <c r="N105" s="43">
        <f t="shared" si="32"/>
        <v>0</v>
      </c>
      <c r="O105" s="44">
        <f t="shared" si="33"/>
        <v>0</v>
      </c>
      <c r="P105" s="41" t="str">
        <f t="shared" si="34"/>
        <v/>
      </c>
      <c r="Q105" s="41" t="str">
        <f t="shared" si="35"/>
        <v/>
      </c>
      <c r="R105" s="48"/>
      <c r="S105" s="44" t="str">
        <f>IF(I105&lt;&gt;"",_xlfn.XLOOKUP($D$4+I104+1,#REF!,#REF!,"",0) * 1000,"")</f>
        <v/>
      </c>
      <c r="T105" s="52">
        <f t="shared" si="63"/>
        <v>0.04</v>
      </c>
      <c r="U105" s="53" t="str">
        <f t="shared" si="47"/>
        <v/>
      </c>
      <c r="V105" s="53" t="str">
        <f t="shared" si="48"/>
        <v/>
      </c>
      <c r="W105" s="53" t="str">
        <f t="shared" si="49"/>
        <v/>
      </c>
      <c r="X105" s="46" t="str">
        <f t="shared" si="36"/>
        <v/>
      </c>
      <c r="Y105" s="48"/>
      <c r="Z105" s="41" t="str">
        <f t="shared" si="50"/>
        <v/>
      </c>
      <c r="AA105" s="41" t="str">
        <f t="shared" si="51"/>
        <v/>
      </c>
      <c r="AB105" s="41" t="str">
        <f t="shared" si="37"/>
        <v/>
      </c>
      <c r="AC105" s="41" t="str">
        <f t="shared" si="38"/>
        <v/>
      </c>
      <c r="AD105" s="48"/>
      <c r="AE105" s="41" t="str">
        <f t="shared" si="39"/>
        <v/>
      </c>
      <c r="AF105" s="41" t="str">
        <f t="shared" si="40"/>
        <v/>
      </c>
      <c r="AG105" s="41" t="str">
        <f t="shared" si="41"/>
        <v/>
      </c>
      <c r="AH105" s="41" t="str">
        <f t="shared" si="52"/>
        <v/>
      </c>
      <c r="AI105" s="41" t="str">
        <f t="shared" si="53"/>
        <v/>
      </c>
      <c r="AJ105" s="41">
        <f t="shared" si="42"/>
        <v>0</v>
      </c>
      <c r="AK105" s="41" t="str">
        <f t="shared" si="43"/>
        <v/>
      </c>
      <c r="AL105" s="41">
        <f t="shared" si="54"/>
        <v>0</v>
      </c>
      <c r="AM105" s="41">
        <f t="shared" si="44"/>
        <v>0</v>
      </c>
      <c r="AN105" s="41" t="str">
        <f t="shared" si="45"/>
        <v/>
      </c>
      <c r="AO105" s="41">
        <f t="shared" si="62"/>
        <v>0</v>
      </c>
      <c r="AP105" s="48"/>
      <c r="AQ105" s="48"/>
      <c r="AR105" s="48"/>
      <c r="AS105" s="48"/>
      <c r="AT105" s="51">
        <f t="shared" si="55"/>
        <v>101</v>
      </c>
      <c r="AU105" s="49" t="str">
        <f t="shared" si="56"/>
        <v/>
      </c>
      <c r="AV105" s="49" t="str">
        <f t="shared" si="57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3:50" ht="15" x14ac:dyDescent="0.25">
      <c r="C106" s="60">
        <v>81</v>
      </c>
      <c r="D106">
        <v>8937.5084817731185</v>
      </c>
      <c r="I106" s="40"/>
      <c r="J106" s="41" t="str">
        <f t="shared" si="58"/>
        <v/>
      </c>
      <c r="K106" s="41" t="str">
        <f t="shared" si="59"/>
        <v/>
      </c>
      <c r="L106" s="42" t="str">
        <f t="shared" si="60"/>
        <v/>
      </c>
      <c r="M106" s="41" t="str">
        <f t="shared" si="61"/>
        <v/>
      </c>
      <c r="N106" s="43">
        <f t="shared" si="32"/>
        <v>0</v>
      </c>
      <c r="O106" s="44">
        <f t="shared" si="33"/>
        <v>0</v>
      </c>
      <c r="P106" s="41" t="str">
        <f t="shared" si="34"/>
        <v/>
      </c>
      <c r="Q106" s="41" t="str">
        <f t="shared" si="35"/>
        <v/>
      </c>
      <c r="R106" s="48"/>
      <c r="S106" s="44" t="str">
        <f>IF(I106&lt;&gt;"",_xlfn.XLOOKUP($D$4+I105+1,#REF!,#REF!,"",0) * 1000,"")</f>
        <v/>
      </c>
      <c r="T106" s="52">
        <f t="shared" si="63"/>
        <v>0.04</v>
      </c>
      <c r="U106" s="53" t="str">
        <f t="shared" si="47"/>
        <v/>
      </c>
      <c r="V106" s="53" t="str">
        <f t="shared" si="48"/>
        <v/>
      </c>
      <c r="W106" s="53" t="str">
        <f t="shared" si="49"/>
        <v/>
      </c>
      <c r="X106" s="46" t="str">
        <f t="shared" si="36"/>
        <v/>
      </c>
      <c r="Y106" s="48"/>
      <c r="Z106" s="41" t="str">
        <f t="shared" si="50"/>
        <v/>
      </c>
      <c r="AA106" s="41" t="str">
        <f t="shared" si="51"/>
        <v/>
      </c>
      <c r="AB106" s="41" t="str">
        <f t="shared" si="37"/>
        <v/>
      </c>
      <c r="AC106" s="41" t="str">
        <f t="shared" si="38"/>
        <v/>
      </c>
      <c r="AD106" s="48"/>
      <c r="AE106" s="41" t="str">
        <f t="shared" si="39"/>
        <v/>
      </c>
      <c r="AF106" s="41" t="str">
        <f t="shared" si="40"/>
        <v/>
      </c>
      <c r="AG106" s="41" t="str">
        <f t="shared" si="41"/>
        <v/>
      </c>
      <c r="AH106" s="41" t="str">
        <f t="shared" si="52"/>
        <v/>
      </c>
      <c r="AI106" s="41" t="str">
        <f t="shared" si="53"/>
        <v/>
      </c>
      <c r="AJ106" s="41">
        <f t="shared" si="42"/>
        <v>0</v>
      </c>
      <c r="AK106" s="41" t="str">
        <f t="shared" si="43"/>
        <v/>
      </c>
      <c r="AL106" s="41">
        <f t="shared" si="54"/>
        <v>0</v>
      </c>
      <c r="AM106" s="41">
        <f t="shared" si="44"/>
        <v>0</v>
      </c>
      <c r="AN106" s="41" t="str">
        <f t="shared" si="45"/>
        <v/>
      </c>
      <c r="AO106" s="41">
        <f t="shared" si="62"/>
        <v>0</v>
      </c>
      <c r="AP106" s="48"/>
      <c r="AQ106" s="48"/>
      <c r="AR106" s="48"/>
      <c r="AS106" s="48"/>
      <c r="AT106" s="51">
        <f t="shared" si="55"/>
        <v>102</v>
      </c>
      <c r="AU106" s="49" t="str">
        <f t="shared" si="56"/>
        <v/>
      </c>
      <c r="AV106" s="49" t="str">
        <f t="shared" si="57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3:50" ht="15" x14ac:dyDescent="0.25">
      <c r="C107" s="60">
        <v>82</v>
      </c>
      <c r="D107">
        <v>9795.2653471754056</v>
      </c>
      <c r="I107" s="40"/>
      <c r="J107" s="41" t="str">
        <f t="shared" si="58"/>
        <v/>
      </c>
      <c r="K107" s="41" t="str">
        <f t="shared" si="59"/>
        <v/>
      </c>
      <c r="L107" s="42" t="str">
        <f t="shared" si="60"/>
        <v/>
      </c>
      <c r="M107" s="41" t="str">
        <f t="shared" si="61"/>
        <v/>
      </c>
      <c r="N107" s="43">
        <f t="shared" si="32"/>
        <v>0</v>
      </c>
      <c r="O107" s="44">
        <f t="shared" si="33"/>
        <v>0</v>
      </c>
      <c r="P107" s="41" t="str">
        <f t="shared" si="34"/>
        <v/>
      </c>
      <c r="Q107" s="41" t="str">
        <f t="shared" si="35"/>
        <v/>
      </c>
      <c r="R107" s="48"/>
      <c r="S107" s="44" t="str">
        <f>IF(I107&lt;&gt;"",_xlfn.XLOOKUP($D$4+I106+1,#REF!,#REF!,"",0) * 1000,"")</f>
        <v/>
      </c>
      <c r="T107" s="52">
        <f t="shared" si="63"/>
        <v>0.04</v>
      </c>
      <c r="U107" s="53" t="str">
        <f t="shared" si="47"/>
        <v/>
      </c>
      <c r="V107" s="53" t="str">
        <f t="shared" si="48"/>
        <v/>
      </c>
      <c r="W107" s="53" t="str">
        <f t="shared" si="49"/>
        <v/>
      </c>
      <c r="X107" s="46" t="str">
        <f t="shared" si="36"/>
        <v/>
      </c>
      <c r="Y107" s="48"/>
      <c r="Z107" s="41" t="str">
        <f t="shared" si="50"/>
        <v/>
      </c>
      <c r="AA107" s="41" t="str">
        <f t="shared" si="51"/>
        <v/>
      </c>
      <c r="AB107" s="41" t="str">
        <f t="shared" si="37"/>
        <v/>
      </c>
      <c r="AC107" s="41" t="str">
        <f t="shared" si="38"/>
        <v/>
      </c>
      <c r="AD107" s="48"/>
      <c r="AE107" s="41" t="str">
        <f t="shared" si="39"/>
        <v/>
      </c>
      <c r="AF107" s="41" t="str">
        <f t="shared" si="40"/>
        <v/>
      </c>
      <c r="AG107" s="41" t="str">
        <f t="shared" si="41"/>
        <v/>
      </c>
      <c r="AH107" s="41" t="str">
        <f t="shared" si="52"/>
        <v/>
      </c>
      <c r="AI107" s="41" t="str">
        <f t="shared" si="53"/>
        <v/>
      </c>
      <c r="AJ107" s="41">
        <f t="shared" si="42"/>
        <v>0</v>
      </c>
      <c r="AK107" s="41" t="str">
        <f t="shared" si="43"/>
        <v/>
      </c>
      <c r="AL107" s="41">
        <f t="shared" si="54"/>
        <v>0</v>
      </c>
      <c r="AM107" s="41">
        <f t="shared" si="44"/>
        <v>0</v>
      </c>
      <c r="AN107" s="41" t="str">
        <f t="shared" si="45"/>
        <v/>
      </c>
      <c r="AO107" s="41">
        <f t="shared" si="62"/>
        <v>0</v>
      </c>
      <c r="AP107" s="48"/>
      <c r="AQ107" s="48"/>
      <c r="AR107" s="48"/>
      <c r="AS107" s="48"/>
      <c r="AT107" s="51">
        <f t="shared" si="55"/>
        <v>103</v>
      </c>
      <c r="AU107" s="49" t="str">
        <f t="shared" si="56"/>
        <v/>
      </c>
      <c r="AV107" s="49" t="str">
        <f t="shared" si="57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3:50" ht="15" x14ac:dyDescent="0.25">
      <c r="C108" s="60">
        <v>83</v>
      </c>
      <c r="D108">
        <v>10752.103190585749</v>
      </c>
      <c r="I108" s="40"/>
      <c r="J108" s="41" t="str">
        <f t="shared" si="58"/>
        <v/>
      </c>
      <c r="K108" s="41" t="str">
        <f t="shared" si="59"/>
        <v/>
      </c>
      <c r="L108" s="42" t="str">
        <f t="shared" si="60"/>
        <v/>
      </c>
      <c r="M108" s="41" t="str">
        <f t="shared" si="61"/>
        <v/>
      </c>
      <c r="N108" s="43">
        <f t="shared" si="32"/>
        <v>0</v>
      </c>
      <c r="O108" s="44">
        <f t="shared" si="33"/>
        <v>0</v>
      </c>
      <c r="P108" s="41" t="str">
        <f t="shared" si="34"/>
        <v/>
      </c>
      <c r="Q108" s="41" t="str">
        <f t="shared" si="35"/>
        <v/>
      </c>
      <c r="R108" s="48"/>
      <c r="S108" s="44" t="str">
        <f>IF(I108&lt;&gt;"",_xlfn.XLOOKUP($D$4+I107+1,#REF!,#REF!,"",0) * 1000,"")</f>
        <v/>
      </c>
      <c r="T108" s="52">
        <f t="shared" si="63"/>
        <v>0.04</v>
      </c>
      <c r="U108" s="53" t="str">
        <f t="shared" si="47"/>
        <v/>
      </c>
      <c r="V108" s="53" t="str">
        <f t="shared" si="48"/>
        <v/>
      </c>
      <c r="W108" s="53" t="str">
        <f t="shared" si="49"/>
        <v/>
      </c>
      <c r="X108" s="46" t="str">
        <f t="shared" si="36"/>
        <v/>
      </c>
      <c r="Y108" s="48"/>
      <c r="Z108" s="41" t="str">
        <f t="shared" si="50"/>
        <v/>
      </c>
      <c r="AA108" s="41" t="str">
        <f t="shared" si="51"/>
        <v/>
      </c>
      <c r="AB108" s="41" t="str">
        <f t="shared" si="37"/>
        <v/>
      </c>
      <c r="AC108" s="41" t="str">
        <f t="shared" si="38"/>
        <v/>
      </c>
      <c r="AD108" s="48"/>
      <c r="AE108" s="41" t="str">
        <f t="shared" si="39"/>
        <v/>
      </c>
      <c r="AF108" s="41" t="str">
        <f t="shared" si="40"/>
        <v/>
      </c>
      <c r="AG108" s="41" t="str">
        <f t="shared" si="41"/>
        <v/>
      </c>
      <c r="AH108" s="41" t="str">
        <f t="shared" si="52"/>
        <v/>
      </c>
      <c r="AI108" s="41" t="str">
        <f t="shared" si="53"/>
        <v/>
      </c>
      <c r="AJ108" s="41">
        <f t="shared" si="42"/>
        <v>0</v>
      </c>
      <c r="AK108" s="41" t="str">
        <f t="shared" si="43"/>
        <v/>
      </c>
      <c r="AL108" s="41">
        <f t="shared" si="54"/>
        <v>0</v>
      </c>
      <c r="AM108" s="41">
        <f t="shared" si="44"/>
        <v>0</v>
      </c>
      <c r="AN108" s="41" t="str">
        <f t="shared" si="45"/>
        <v/>
      </c>
      <c r="AO108" s="41">
        <f t="shared" si="62"/>
        <v>0</v>
      </c>
      <c r="AP108" s="48"/>
      <c r="AQ108" s="48"/>
      <c r="AR108" s="48"/>
      <c r="AS108" s="48"/>
      <c r="AT108" s="51">
        <f t="shared" si="55"/>
        <v>104</v>
      </c>
      <c r="AU108" s="49" t="str">
        <f t="shared" si="56"/>
        <v/>
      </c>
      <c r="AV108" s="49" t="str">
        <f t="shared" si="57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3:50" ht="15" x14ac:dyDescent="0.25">
      <c r="C109" s="60">
        <v>84</v>
      </c>
      <c r="D109">
        <v>11813.253035084832</v>
      </c>
      <c r="I109" s="40"/>
      <c r="J109" s="41" t="str">
        <f t="shared" si="58"/>
        <v/>
      </c>
      <c r="K109" s="41" t="str">
        <f t="shared" si="59"/>
        <v/>
      </c>
      <c r="L109" s="42" t="str">
        <f t="shared" si="60"/>
        <v/>
      </c>
      <c r="M109" s="41" t="str">
        <f t="shared" si="61"/>
        <v/>
      </c>
      <c r="N109" s="43">
        <f t="shared" si="32"/>
        <v>0</v>
      </c>
      <c r="O109" s="44">
        <f t="shared" si="33"/>
        <v>0</v>
      </c>
      <c r="P109" s="41" t="str">
        <f t="shared" si="34"/>
        <v/>
      </c>
      <c r="Q109" s="41" t="str">
        <f t="shared" si="35"/>
        <v/>
      </c>
      <c r="R109" s="48"/>
      <c r="S109" s="44" t="str">
        <f>IF(I109&lt;&gt;"",_xlfn.XLOOKUP($D$4+I108+1,#REF!,#REF!,"",0) * 1000,"")</f>
        <v/>
      </c>
      <c r="T109" s="52">
        <f t="shared" si="63"/>
        <v>0.04</v>
      </c>
      <c r="U109" s="53" t="str">
        <f t="shared" si="47"/>
        <v/>
      </c>
      <c r="V109" s="53" t="str">
        <f t="shared" si="48"/>
        <v/>
      </c>
      <c r="W109" s="53" t="str">
        <f t="shared" si="49"/>
        <v/>
      </c>
      <c r="X109" s="46" t="str">
        <f t="shared" si="36"/>
        <v/>
      </c>
      <c r="Y109" s="48"/>
      <c r="Z109" s="41" t="str">
        <f t="shared" si="50"/>
        <v/>
      </c>
      <c r="AA109" s="41" t="str">
        <f t="shared" si="51"/>
        <v/>
      </c>
      <c r="AB109" s="41" t="str">
        <f t="shared" si="37"/>
        <v/>
      </c>
      <c r="AC109" s="41" t="str">
        <f t="shared" si="38"/>
        <v/>
      </c>
      <c r="AD109" s="48"/>
      <c r="AE109" s="41" t="str">
        <f t="shared" si="39"/>
        <v/>
      </c>
      <c r="AF109" s="41" t="str">
        <f t="shared" si="40"/>
        <v/>
      </c>
      <c r="AG109" s="41" t="str">
        <f t="shared" si="41"/>
        <v/>
      </c>
      <c r="AH109" s="41" t="str">
        <f t="shared" si="52"/>
        <v/>
      </c>
      <c r="AI109" s="41" t="str">
        <f t="shared" si="53"/>
        <v/>
      </c>
      <c r="AJ109" s="41">
        <f t="shared" si="42"/>
        <v>0</v>
      </c>
      <c r="AK109" s="41" t="str">
        <f t="shared" si="43"/>
        <v/>
      </c>
      <c r="AL109" s="41">
        <f t="shared" si="54"/>
        <v>0</v>
      </c>
      <c r="AM109" s="41">
        <f t="shared" si="44"/>
        <v>0</v>
      </c>
      <c r="AN109" s="41" t="str">
        <f t="shared" si="45"/>
        <v/>
      </c>
      <c r="AO109" s="41">
        <f t="shared" si="62"/>
        <v>0</v>
      </c>
      <c r="AP109" s="48"/>
      <c r="AQ109" s="48"/>
      <c r="AR109" s="48"/>
      <c r="AS109" s="48"/>
      <c r="AT109" s="51">
        <f t="shared" si="55"/>
        <v>105</v>
      </c>
      <c r="AU109" s="49" t="str">
        <f t="shared" si="56"/>
        <v/>
      </c>
      <c r="AV109" s="49" t="str">
        <f t="shared" si="57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3:50" ht="15" x14ac:dyDescent="0.25">
      <c r="C110" s="60">
        <v>85</v>
      </c>
      <c r="D110">
        <v>12992.651970778496</v>
      </c>
      <c r="I110" s="40"/>
      <c r="J110" s="41" t="str">
        <f t="shared" si="58"/>
        <v/>
      </c>
      <c r="K110" s="41" t="str">
        <f t="shared" si="59"/>
        <v/>
      </c>
      <c r="L110" s="42" t="str">
        <f t="shared" si="60"/>
        <v/>
      </c>
      <c r="M110" s="41" t="str">
        <f t="shared" si="61"/>
        <v/>
      </c>
      <c r="N110" s="43">
        <f t="shared" si="32"/>
        <v>0</v>
      </c>
      <c r="O110" s="44">
        <f t="shared" si="33"/>
        <v>0</v>
      </c>
      <c r="P110" s="41" t="str">
        <f t="shared" si="34"/>
        <v/>
      </c>
      <c r="Q110" s="41" t="str">
        <f t="shared" si="35"/>
        <v/>
      </c>
      <c r="R110" s="48"/>
      <c r="S110" s="44" t="str">
        <f>IF(I110&lt;&gt;"",_xlfn.XLOOKUP($D$4+I109+1,#REF!,#REF!,"",0) * 1000,"")</f>
        <v/>
      </c>
      <c r="T110" s="52">
        <f t="shared" si="63"/>
        <v>0.04</v>
      </c>
      <c r="U110" s="53" t="str">
        <f t="shared" si="47"/>
        <v/>
      </c>
      <c r="V110" s="53" t="str">
        <f t="shared" si="48"/>
        <v/>
      </c>
      <c r="W110" s="53" t="str">
        <f t="shared" si="49"/>
        <v/>
      </c>
      <c r="X110" s="46" t="str">
        <f t="shared" si="36"/>
        <v/>
      </c>
      <c r="Y110" s="48"/>
      <c r="Z110" s="41" t="str">
        <f t="shared" si="50"/>
        <v/>
      </c>
      <c r="AA110" s="41" t="str">
        <f t="shared" si="51"/>
        <v/>
      </c>
      <c r="AB110" s="41" t="str">
        <f t="shared" si="37"/>
        <v/>
      </c>
      <c r="AC110" s="41" t="str">
        <f t="shared" si="38"/>
        <v/>
      </c>
      <c r="AD110" s="48"/>
      <c r="AE110" s="41" t="str">
        <f t="shared" si="39"/>
        <v/>
      </c>
      <c r="AF110" s="41" t="str">
        <f t="shared" si="40"/>
        <v/>
      </c>
      <c r="AG110" s="41" t="str">
        <f t="shared" si="41"/>
        <v/>
      </c>
      <c r="AH110" s="41" t="str">
        <f t="shared" si="52"/>
        <v/>
      </c>
      <c r="AI110" s="41" t="str">
        <f t="shared" si="53"/>
        <v/>
      </c>
      <c r="AJ110" s="41">
        <f t="shared" si="42"/>
        <v>0</v>
      </c>
      <c r="AK110" s="41" t="str">
        <f t="shared" si="43"/>
        <v/>
      </c>
      <c r="AL110" s="41">
        <f t="shared" si="54"/>
        <v>0</v>
      </c>
      <c r="AM110" s="41">
        <f t="shared" si="44"/>
        <v>0</v>
      </c>
      <c r="AN110" s="41" t="str">
        <f t="shared" si="45"/>
        <v/>
      </c>
      <c r="AO110" s="41">
        <f t="shared" si="62"/>
        <v>0</v>
      </c>
      <c r="AP110" s="48"/>
      <c r="AQ110" s="48"/>
      <c r="AR110" s="48"/>
      <c r="AS110" s="48"/>
      <c r="AT110" s="51">
        <f t="shared" si="55"/>
        <v>106</v>
      </c>
      <c r="AU110" s="49" t="str">
        <f t="shared" si="56"/>
        <v/>
      </c>
      <c r="AV110" s="49" t="str">
        <f t="shared" si="57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3:50" ht="15" x14ac:dyDescent="0.25">
      <c r="C111" s="60">
        <v>86</v>
      </c>
      <c r="D111">
        <v>14319.965085953096</v>
      </c>
      <c r="I111" s="40"/>
      <c r="J111" s="41" t="str">
        <f t="shared" si="58"/>
        <v/>
      </c>
      <c r="K111" s="41" t="str">
        <f t="shared" si="59"/>
        <v/>
      </c>
      <c r="L111" s="42" t="str">
        <f t="shared" si="60"/>
        <v/>
      </c>
      <c r="M111" s="41" t="str">
        <f t="shared" si="61"/>
        <v/>
      </c>
      <c r="N111" s="43">
        <f t="shared" si="32"/>
        <v>0</v>
      </c>
      <c r="O111" s="44">
        <f t="shared" si="33"/>
        <v>0</v>
      </c>
      <c r="P111" s="41" t="str">
        <f t="shared" si="34"/>
        <v/>
      </c>
      <c r="Q111" s="41" t="str">
        <f t="shared" si="35"/>
        <v/>
      </c>
      <c r="R111" s="48"/>
      <c r="S111" s="44" t="str">
        <f>IF(I111&lt;&gt;"",_xlfn.XLOOKUP($D$4+I110+1,#REF!,#REF!,"",0) * 1000,"")</f>
        <v/>
      </c>
      <c r="T111" s="52">
        <f t="shared" si="63"/>
        <v>0.04</v>
      </c>
      <c r="U111" s="53" t="str">
        <f t="shared" si="47"/>
        <v/>
      </c>
      <c r="V111" s="53" t="str">
        <f t="shared" si="48"/>
        <v/>
      </c>
      <c r="W111" s="53" t="str">
        <f t="shared" si="49"/>
        <v/>
      </c>
      <c r="X111" s="46" t="str">
        <f t="shared" si="36"/>
        <v/>
      </c>
      <c r="Y111" s="48"/>
      <c r="Z111" s="41" t="str">
        <f t="shared" si="50"/>
        <v/>
      </c>
      <c r="AA111" s="41" t="str">
        <f t="shared" si="51"/>
        <v/>
      </c>
      <c r="AB111" s="41" t="str">
        <f t="shared" si="37"/>
        <v/>
      </c>
      <c r="AC111" s="41" t="str">
        <f t="shared" si="38"/>
        <v/>
      </c>
      <c r="AD111" s="48"/>
      <c r="AE111" s="41" t="str">
        <f t="shared" si="39"/>
        <v/>
      </c>
      <c r="AF111" s="41" t="str">
        <f t="shared" si="40"/>
        <v/>
      </c>
      <c r="AG111" s="41" t="str">
        <f t="shared" si="41"/>
        <v/>
      </c>
      <c r="AH111" s="41" t="str">
        <f t="shared" si="52"/>
        <v/>
      </c>
      <c r="AI111" s="41" t="str">
        <f t="shared" si="53"/>
        <v/>
      </c>
      <c r="AJ111" s="41">
        <f t="shared" si="42"/>
        <v>0</v>
      </c>
      <c r="AK111" s="41" t="str">
        <f t="shared" si="43"/>
        <v/>
      </c>
      <c r="AL111" s="41">
        <f t="shared" si="54"/>
        <v>0</v>
      </c>
      <c r="AM111" s="41">
        <f t="shared" si="44"/>
        <v>0</v>
      </c>
      <c r="AN111" s="41" t="str">
        <f t="shared" si="45"/>
        <v/>
      </c>
      <c r="AO111" s="41">
        <f t="shared" si="62"/>
        <v>0</v>
      </c>
      <c r="AP111" s="48"/>
      <c r="AQ111" s="48"/>
      <c r="AR111" s="48"/>
      <c r="AS111" s="48"/>
      <c r="AT111" s="51">
        <f t="shared" si="55"/>
        <v>107</v>
      </c>
      <c r="AU111" s="49" t="str">
        <f t="shared" si="56"/>
        <v/>
      </c>
      <c r="AV111" s="49" t="str">
        <f t="shared" si="57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3:50" ht="15" x14ac:dyDescent="0.25">
      <c r="C112" s="60">
        <v>87</v>
      </c>
      <c r="D112">
        <v>15814.268943981235</v>
      </c>
      <c r="I112" s="40"/>
      <c r="J112" s="41" t="str">
        <f t="shared" si="58"/>
        <v/>
      </c>
      <c r="K112" s="41" t="str">
        <f t="shared" si="59"/>
        <v/>
      </c>
      <c r="L112" s="42" t="str">
        <f t="shared" si="60"/>
        <v/>
      </c>
      <c r="M112" s="41" t="str">
        <f t="shared" si="61"/>
        <v/>
      </c>
      <c r="N112" s="43">
        <f t="shared" si="32"/>
        <v>0</v>
      </c>
      <c r="O112" s="44">
        <f t="shared" si="33"/>
        <v>0</v>
      </c>
      <c r="P112" s="41" t="str">
        <f t="shared" si="34"/>
        <v/>
      </c>
      <c r="Q112" s="41" t="str">
        <f t="shared" si="35"/>
        <v/>
      </c>
      <c r="R112" s="48"/>
      <c r="S112" s="44" t="str">
        <f>IF(I112&lt;&gt;"",_xlfn.XLOOKUP($D$4+I111+1,#REF!,#REF!,"",0) * 1000,"")</f>
        <v/>
      </c>
      <c r="T112" s="52">
        <f t="shared" si="63"/>
        <v>0.04</v>
      </c>
      <c r="U112" s="53" t="str">
        <f t="shared" si="47"/>
        <v/>
      </c>
      <c r="V112" s="53" t="str">
        <f t="shared" si="48"/>
        <v/>
      </c>
      <c r="W112" s="53" t="str">
        <f t="shared" si="49"/>
        <v/>
      </c>
      <c r="X112" s="46" t="str">
        <f t="shared" si="36"/>
        <v/>
      </c>
      <c r="Y112" s="48"/>
      <c r="Z112" s="41" t="str">
        <f t="shared" si="50"/>
        <v/>
      </c>
      <c r="AA112" s="41" t="str">
        <f t="shared" si="51"/>
        <v/>
      </c>
      <c r="AB112" s="41" t="str">
        <f t="shared" si="37"/>
        <v/>
      </c>
      <c r="AC112" s="41" t="str">
        <f t="shared" si="38"/>
        <v/>
      </c>
      <c r="AD112" s="48"/>
      <c r="AE112" s="41" t="str">
        <f t="shared" si="39"/>
        <v/>
      </c>
      <c r="AF112" s="41" t="str">
        <f t="shared" si="40"/>
        <v/>
      </c>
      <c r="AG112" s="41" t="str">
        <f t="shared" si="41"/>
        <v/>
      </c>
      <c r="AH112" s="41" t="str">
        <f t="shared" si="52"/>
        <v/>
      </c>
      <c r="AI112" s="41" t="str">
        <f t="shared" si="53"/>
        <v/>
      </c>
      <c r="AJ112" s="41">
        <f t="shared" si="42"/>
        <v>0</v>
      </c>
      <c r="AK112" s="41" t="str">
        <f t="shared" si="43"/>
        <v/>
      </c>
      <c r="AL112" s="41">
        <f t="shared" si="54"/>
        <v>0</v>
      </c>
      <c r="AM112" s="41">
        <f t="shared" si="44"/>
        <v>0</v>
      </c>
      <c r="AN112" s="41" t="str">
        <f t="shared" si="45"/>
        <v/>
      </c>
      <c r="AO112" s="41">
        <f t="shared" si="62"/>
        <v>0</v>
      </c>
      <c r="AP112" s="48"/>
      <c r="AQ112" s="48"/>
      <c r="AR112" s="48"/>
      <c r="AS112" s="48"/>
      <c r="AT112" s="51">
        <f t="shared" si="55"/>
        <v>108</v>
      </c>
      <c r="AU112" s="49" t="str">
        <f t="shared" si="56"/>
        <v/>
      </c>
      <c r="AV112" s="49" t="str">
        <f t="shared" si="57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3:50" ht="15" x14ac:dyDescent="0.25">
      <c r="C113" s="60">
        <v>88</v>
      </c>
      <c r="D113">
        <v>17492.986725451661</v>
      </c>
      <c r="I113" s="40"/>
      <c r="J113" s="41" t="str">
        <f t="shared" si="58"/>
        <v/>
      </c>
      <c r="K113" s="41" t="str">
        <f t="shared" si="59"/>
        <v/>
      </c>
      <c r="L113" s="42" t="str">
        <f t="shared" si="60"/>
        <v/>
      </c>
      <c r="M113" s="41" t="str">
        <f t="shared" si="61"/>
        <v/>
      </c>
      <c r="N113" s="43">
        <f t="shared" si="32"/>
        <v>0</v>
      </c>
      <c r="O113" s="44">
        <f t="shared" si="33"/>
        <v>0</v>
      </c>
      <c r="P113" s="41" t="str">
        <f t="shared" si="34"/>
        <v/>
      </c>
      <c r="Q113" s="41" t="str">
        <f t="shared" si="35"/>
        <v/>
      </c>
      <c r="R113" s="48"/>
      <c r="S113" s="44" t="str">
        <f>IF(I113&lt;&gt;"",_xlfn.XLOOKUP($D$4+I112+1,#REF!,#REF!,"",0) * 1000,"")</f>
        <v/>
      </c>
      <c r="T113" s="52">
        <f t="shared" si="63"/>
        <v>0.04</v>
      </c>
      <c r="U113" s="53" t="str">
        <f t="shared" si="47"/>
        <v/>
      </c>
      <c r="V113" s="53" t="str">
        <f t="shared" si="48"/>
        <v/>
      </c>
      <c r="W113" s="53" t="str">
        <f t="shared" si="49"/>
        <v/>
      </c>
      <c r="X113" s="46" t="str">
        <f t="shared" si="36"/>
        <v/>
      </c>
      <c r="Y113" s="48"/>
      <c r="Z113" s="41" t="str">
        <f t="shared" si="50"/>
        <v/>
      </c>
      <c r="AA113" s="41" t="str">
        <f t="shared" si="51"/>
        <v/>
      </c>
      <c r="AB113" s="41" t="str">
        <f t="shared" si="37"/>
        <v/>
      </c>
      <c r="AC113" s="41" t="str">
        <f t="shared" si="38"/>
        <v/>
      </c>
      <c r="AD113" s="48"/>
      <c r="AE113" s="41" t="str">
        <f t="shared" si="39"/>
        <v/>
      </c>
      <c r="AF113" s="41" t="str">
        <f t="shared" si="40"/>
        <v/>
      </c>
      <c r="AG113" s="41" t="str">
        <f t="shared" si="41"/>
        <v/>
      </c>
      <c r="AH113" s="41" t="str">
        <f t="shared" si="52"/>
        <v/>
      </c>
      <c r="AI113" s="41" t="str">
        <f t="shared" si="53"/>
        <v/>
      </c>
      <c r="AJ113" s="41">
        <f t="shared" si="42"/>
        <v>0</v>
      </c>
      <c r="AK113" s="41" t="str">
        <f t="shared" si="43"/>
        <v/>
      </c>
      <c r="AL113" s="41">
        <f t="shared" si="54"/>
        <v>0</v>
      </c>
      <c r="AM113" s="41">
        <f t="shared" si="44"/>
        <v>0</v>
      </c>
      <c r="AN113" s="41" t="str">
        <f t="shared" si="45"/>
        <v/>
      </c>
      <c r="AO113" s="41">
        <f t="shared" si="62"/>
        <v>0</v>
      </c>
      <c r="AP113" s="48"/>
      <c r="AQ113" s="48"/>
      <c r="AR113" s="48"/>
      <c r="AS113" s="48"/>
      <c r="AT113" s="51">
        <f t="shared" si="55"/>
        <v>109</v>
      </c>
      <c r="AU113" s="49" t="str">
        <f t="shared" si="56"/>
        <v/>
      </c>
      <c r="AV113" s="49" t="str">
        <f t="shared" si="57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3:50" ht="15" x14ac:dyDescent="0.25">
      <c r="C114" s="60">
        <v>89</v>
      </c>
      <c r="D114">
        <v>19365.001260322559</v>
      </c>
      <c r="I114" s="40"/>
      <c r="J114" s="41" t="str">
        <f t="shared" si="58"/>
        <v/>
      </c>
      <c r="K114" s="41" t="str">
        <f t="shared" si="59"/>
        <v/>
      </c>
      <c r="L114" s="42" t="str">
        <f t="shared" si="60"/>
        <v/>
      </c>
      <c r="M114" s="41" t="str">
        <f t="shared" si="61"/>
        <v/>
      </c>
      <c r="N114" s="43">
        <f t="shared" si="32"/>
        <v>0</v>
      </c>
      <c r="O114" s="44">
        <f t="shared" si="33"/>
        <v>0</v>
      </c>
      <c r="P114" s="41" t="str">
        <f t="shared" si="34"/>
        <v/>
      </c>
      <c r="Q114" s="41" t="str">
        <f t="shared" si="35"/>
        <v/>
      </c>
      <c r="R114" s="48"/>
      <c r="S114" s="44" t="str">
        <f>IF(I114&lt;&gt;"",_xlfn.XLOOKUP($D$4+I113+1,#REF!,#REF!,"",0) * 1000,"")</f>
        <v/>
      </c>
      <c r="T114" s="52">
        <f t="shared" si="63"/>
        <v>0.04</v>
      </c>
      <c r="U114" s="53" t="str">
        <f t="shared" si="47"/>
        <v/>
      </c>
      <c r="V114" s="53" t="str">
        <f t="shared" si="48"/>
        <v/>
      </c>
      <c r="W114" s="53" t="str">
        <f t="shared" si="49"/>
        <v/>
      </c>
      <c r="X114" s="46" t="str">
        <f t="shared" si="36"/>
        <v/>
      </c>
      <c r="Y114" s="48"/>
      <c r="Z114" s="41" t="str">
        <f t="shared" si="50"/>
        <v/>
      </c>
      <c r="AA114" s="41" t="str">
        <f t="shared" si="51"/>
        <v/>
      </c>
      <c r="AB114" s="41" t="str">
        <f t="shared" si="37"/>
        <v/>
      </c>
      <c r="AC114" s="41" t="str">
        <f t="shared" si="38"/>
        <v/>
      </c>
      <c r="AD114" s="48"/>
      <c r="AE114" s="41" t="str">
        <f t="shared" si="39"/>
        <v/>
      </c>
      <c r="AF114" s="41" t="str">
        <f t="shared" si="40"/>
        <v/>
      </c>
      <c r="AG114" s="41" t="str">
        <f t="shared" si="41"/>
        <v/>
      </c>
      <c r="AH114" s="41" t="str">
        <f t="shared" si="52"/>
        <v/>
      </c>
      <c r="AI114" s="41" t="str">
        <f t="shared" si="53"/>
        <v/>
      </c>
      <c r="AJ114" s="41">
        <f t="shared" si="42"/>
        <v>0</v>
      </c>
      <c r="AK114" s="41" t="str">
        <f t="shared" si="43"/>
        <v/>
      </c>
      <c r="AL114" s="41">
        <f t="shared" si="54"/>
        <v>0</v>
      </c>
      <c r="AM114" s="41">
        <f t="shared" si="44"/>
        <v>0</v>
      </c>
      <c r="AN114" s="41" t="str">
        <f t="shared" si="45"/>
        <v/>
      </c>
      <c r="AO114" s="41">
        <f t="shared" si="62"/>
        <v>0</v>
      </c>
      <c r="AP114" s="48"/>
      <c r="AQ114" s="48"/>
      <c r="AR114" s="48"/>
      <c r="AS114" s="48"/>
      <c r="AT114" s="51">
        <f t="shared" si="55"/>
        <v>110</v>
      </c>
      <c r="AU114" s="49" t="str">
        <f t="shared" si="56"/>
        <v/>
      </c>
      <c r="AV114" s="49" t="str">
        <f t="shared" si="57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3:50" ht="15" x14ac:dyDescent="0.25">
      <c r="C115" s="60">
        <v>90</v>
      </c>
      <c r="D115">
        <v>21430.844239775266</v>
      </c>
      <c r="I115" s="40"/>
      <c r="J115" s="41" t="str">
        <f t="shared" si="58"/>
        <v/>
      </c>
      <c r="K115" s="41" t="str">
        <f t="shared" si="59"/>
        <v/>
      </c>
      <c r="L115" s="42" t="str">
        <f t="shared" si="60"/>
        <v/>
      </c>
      <c r="M115" s="41" t="str">
        <f t="shared" si="61"/>
        <v/>
      </c>
      <c r="N115" s="43">
        <f t="shared" si="32"/>
        <v>0</v>
      </c>
      <c r="O115" s="44">
        <f t="shared" si="33"/>
        <v>0</v>
      </c>
      <c r="P115" s="41" t="str">
        <f t="shared" si="34"/>
        <v/>
      </c>
      <c r="Q115" s="41" t="str">
        <f t="shared" si="35"/>
        <v/>
      </c>
      <c r="R115" s="48"/>
      <c r="S115" s="44" t="str">
        <f>IF(I115&lt;&gt;"",_xlfn.XLOOKUP($D$4+I114+1,#REF!,#REF!,"",0) * 1000,"")</f>
        <v/>
      </c>
      <c r="T115" s="52">
        <f t="shared" si="63"/>
        <v>0.04</v>
      </c>
      <c r="U115" s="53" t="str">
        <f t="shared" si="47"/>
        <v/>
      </c>
      <c r="V115" s="53" t="str">
        <f t="shared" si="48"/>
        <v/>
      </c>
      <c r="W115" s="53" t="str">
        <f t="shared" si="49"/>
        <v/>
      </c>
      <c r="X115" s="46" t="str">
        <f t="shared" si="36"/>
        <v/>
      </c>
      <c r="Y115" s="48"/>
      <c r="Z115" s="41" t="str">
        <f t="shared" si="50"/>
        <v/>
      </c>
      <c r="AA115" s="41" t="str">
        <f t="shared" si="51"/>
        <v/>
      </c>
      <c r="AB115" s="41" t="str">
        <f t="shared" si="37"/>
        <v/>
      </c>
      <c r="AC115" s="41" t="str">
        <f t="shared" si="38"/>
        <v/>
      </c>
      <c r="AD115" s="48"/>
      <c r="AE115" s="41" t="str">
        <f t="shared" si="39"/>
        <v/>
      </c>
      <c r="AF115" s="41" t="str">
        <f t="shared" si="40"/>
        <v/>
      </c>
      <c r="AG115" s="41" t="str">
        <f t="shared" si="41"/>
        <v/>
      </c>
      <c r="AH115" s="41" t="str">
        <f t="shared" si="52"/>
        <v/>
      </c>
      <c r="AI115" s="41" t="str">
        <f t="shared" si="53"/>
        <v/>
      </c>
      <c r="AJ115" s="41">
        <f t="shared" si="42"/>
        <v>0</v>
      </c>
      <c r="AK115" s="41" t="str">
        <f t="shared" si="43"/>
        <v/>
      </c>
      <c r="AL115" s="41">
        <f t="shared" si="54"/>
        <v>0</v>
      </c>
      <c r="AM115" s="41">
        <f t="shared" si="44"/>
        <v>0</v>
      </c>
      <c r="AN115" s="41" t="str">
        <f t="shared" si="45"/>
        <v/>
      </c>
      <c r="AO115" s="41">
        <f t="shared" si="62"/>
        <v>0</v>
      </c>
      <c r="AP115" s="48"/>
      <c r="AQ115" s="48"/>
      <c r="AR115" s="48"/>
      <c r="AS115" s="48"/>
      <c r="AT115" s="51">
        <f t="shared" si="55"/>
        <v>111</v>
      </c>
      <c r="AU115" s="49" t="str">
        <f t="shared" si="56"/>
        <v/>
      </c>
      <c r="AV115" s="49" t="str">
        <f t="shared" si="57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3:50" ht="15" x14ac:dyDescent="0.25">
      <c r="C116" s="60">
        <v>91</v>
      </c>
      <c r="D116">
        <v>23743.567028899452</v>
      </c>
      <c r="I116" s="40"/>
      <c r="J116" s="41" t="str">
        <f t="shared" si="58"/>
        <v/>
      </c>
      <c r="K116" s="41" t="str">
        <f t="shared" si="59"/>
        <v/>
      </c>
      <c r="L116" s="42" t="str">
        <f t="shared" si="60"/>
        <v/>
      </c>
      <c r="M116" s="41" t="str">
        <f t="shared" si="61"/>
        <v/>
      </c>
      <c r="N116" s="43">
        <f t="shared" si="32"/>
        <v>0</v>
      </c>
      <c r="O116" s="44">
        <f t="shared" si="33"/>
        <v>0</v>
      </c>
      <c r="P116" s="41" t="str">
        <f t="shared" si="34"/>
        <v/>
      </c>
      <c r="Q116" s="41" t="str">
        <f t="shared" si="35"/>
        <v/>
      </c>
      <c r="R116" s="48"/>
      <c r="S116" s="44" t="str">
        <f>IF(I116&lt;&gt;"",_xlfn.XLOOKUP($D$4+I115+1,#REF!,#REF!,"",0) * 1000,"")</f>
        <v/>
      </c>
      <c r="T116" s="52">
        <f t="shared" si="63"/>
        <v>0.04</v>
      </c>
      <c r="U116" s="53" t="str">
        <f t="shared" si="47"/>
        <v/>
      </c>
      <c r="V116" s="53" t="str">
        <f t="shared" si="48"/>
        <v/>
      </c>
      <c r="W116" s="53" t="str">
        <f t="shared" si="49"/>
        <v/>
      </c>
      <c r="X116" s="46" t="str">
        <f t="shared" si="36"/>
        <v/>
      </c>
      <c r="Y116" s="48"/>
      <c r="Z116" s="41" t="str">
        <f t="shared" si="50"/>
        <v/>
      </c>
      <c r="AA116" s="41" t="str">
        <f t="shared" si="51"/>
        <v/>
      </c>
      <c r="AB116" s="41" t="str">
        <f t="shared" si="37"/>
        <v/>
      </c>
      <c r="AC116" s="41" t="str">
        <f t="shared" si="38"/>
        <v/>
      </c>
      <c r="AD116" s="48"/>
      <c r="AE116" s="41" t="str">
        <f t="shared" si="39"/>
        <v/>
      </c>
      <c r="AF116" s="41" t="str">
        <f t="shared" si="40"/>
        <v/>
      </c>
      <c r="AG116" s="41" t="str">
        <f t="shared" si="41"/>
        <v/>
      </c>
      <c r="AH116" s="41" t="str">
        <f t="shared" si="52"/>
        <v/>
      </c>
      <c r="AI116" s="41" t="str">
        <f t="shared" si="53"/>
        <v/>
      </c>
      <c r="AJ116" s="41">
        <f t="shared" si="42"/>
        <v>0</v>
      </c>
      <c r="AK116" s="41" t="str">
        <f t="shared" si="43"/>
        <v/>
      </c>
      <c r="AL116" s="41">
        <f t="shared" si="54"/>
        <v>0</v>
      </c>
      <c r="AM116" s="41">
        <f t="shared" si="44"/>
        <v>0</v>
      </c>
      <c r="AN116" s="41" t="str">
        <f t="shared" si="45"/>
        <v/>
      </c>
      <c r="AO116" s="41">
        <f t="shared" si="62"/>
        <v>0</v>
      </c>
      <c r="AP116" s="48"/>
      <c r="AQ116" s="48"/>
      <c r="AR116" s="48"/>
      <c r="AS116" s="48"/>
      <c r="AT116" s="51">
        <f t="shared" si="55"/>
        <v>112</v>
      </c>
      <c r="AU116" s="49" t="str">
        <f t="shared" si="56"/>
        <v/>
      </c>
      <c r="AV116" s="49" t="str">
        <f t="shared" si="57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3:50" ht="15" x14ac:dyDescent="0.25">
      <c r="C117" s="60">
        <v>92</v>
      </c>
      <c r="D117">
        <v>26320.5229272039</v>
      </c>
      <c r="I117" s="40"/>
      <c r="J117" s="41" t="str">
        <f t="shared" si="58"/>
        <v/>
      </c>
      <c r="K117" s="41" t="str">
        <f t="shared" si="59"/>
        <v/>
      </c>
      <c r="L117" s="42" t="str">
        <f t="shared" si="60"/>
        <v/>
      </c>
      <c r="M117" s="41" t="str">
        <f t="shared" si="61"/>
        <v/>
      </c>
      <c r="N117" s="43">
        <f t="shared" si="32"/>
        <v>0</v>
      </c>
      <c r="O117" s="44">
        <f t="shared" si="33"/>
        <v>0</v>
      </c>
      <c r="P117" s="41" t="str">
        <f t="shared" si="34"/>
        <v/>
      </c>
      <c r="Q117" s="41" t="str">
        <f t="shared" si="35"/>
        <v/>
      </c>
      <c r="R117" s="48"/>
      <c r="S117" s="44" t="str">
        <f>IF(I117&lt;&gt;"",_xlfn.XLOOKUP($D$4+I116+1,#REF!,#REF!,"",0) * 1000,"")</f>
        <v/>
      </c>
      <c r="T117" s="52">
        <f t="shared" si="63"/>
        <v>0.04</v>
      </c>
      <c r="U117" s="53" t="str">
        <f t="shared" si="47"/>
        <v/>
      </c>
      <c r="V117" s="53" t="str">
        <f t="shared" si="48"/>
        <v/>
      </c>
      <c r="W117" s="53" t="str">
        <f t="shared" si="49"/>
        <v/>
      </c>
      <c r="X117" s="46" t="str">
        <f t="shared" si="36"/>
        <v/>
      </c>
      <c r="Y117" s="48"/>
      <c r="Z117" s="41" t="str">
        <f t="shared" si="50"/>
        <v/>
      </c>
      <c r="AA117" s="41" t="str">
        <f t="shared" si="51"/>
        <v/>
      </c>
      <c r="AB117" s="41" t="str">
        <f t="shared" si="37"/>
        <v/>
      </c>
      <c r="AC117" s="41" t="str">
        <f t="shared" si="38"/>
        <v/>
      </c>
      <c r="AD117" s="48"/>
      <c r="AE117" s="41" t="str">
        <f t="shared" si="39"/>
        <v/>
      </c>
      <c r="AF117" s="41" t="str">
        <f t="shared" si="40"/>
        <v/>
      </c>
      <c r="AG117" s="41" t="str">
        <f t="shared" si="41"/>
        <v/>
      </c>
      <c r="AH117" s="41" t="str">
        <f t="shared" si="52"/>
        <v/>
      </c>
      <c r="AI117" s="41" t="str">
        <f t="shared" si="53"/>
        <v/>
      </c>
      <c r="AJ117" s="41">
        <f t="shared" si="42"/>
        <v>0</v>
      </c>
      <c r="AK117" s="41" t="str">
        <f t="shared" si="43"/>
        <v/>
      </c>
      <c r="AL117" s="41">
        <f t="shared" si="54"/>
        <v>0</v>
      </c>
      <c r="AM117" s="41">
        <f t="shared" si="44"/>
        <v>0</v>
      </c>
      <c r="AN117" s="41" t="str">
        <f t="shared" si="45"/>
        <v/>
      </c>
      <c r="AO117" s="41">
        <f t="shared" si="62"/>
        <v>0</v>
      </c>
      <c r="AP117" s="48"/>
      <c r="AQ117" s="48"/>
      <c r="AR117" s="48"/>
      <c r="AS117" s="48"/>
      <c r="AT117" s="51">
        <f t="shared" si="55"/>
        <v>113</v>
      </c>
      <c r="AU117" s="49" t="str">
        <f t="shared" si="56"/>
        <v/>
      </c>
      <c r="AV117" s="49" t="str">
        <f t="shared" si="57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3:50" ht="15" x14ac:dyDescent="0.25">
      <c r="C118" s="60">
        <v>93</v>
      </c>
      <c r="D118">
        <v>29197.357183733846</v>
      </c>
      <c r="I118" s="40"/>
      <c r="J118" s="41" t="str">
        <f t="shared" si="58"/>
        <v/>
      </c>
      <c r="K118" s="41" t="str">
        <f t="shared" si="59"/>
        <v/>
      </c>
      <c r="L118" s="42" t="str">
        <f t="shared" si="60"/>
        <v/>
      </c>
      <c r="M118" s="41" t="str">
        <f t="shared" si="61"/>
        <v/>
      </c>
      <c r="N118" s="43">
        <f t="shared" si="32"/>
        <v>0</v>
      </c>
      <c r="O118" s="44">
        <f t="shared" si="33"/>
        <v>0</v>
      </c>
      <c r="P118" s="41" t="str">
        <f t="shared" si="34"/>
        <v/>
      </c>
      <c r="Q118" s="41" t="str">
        <f t="shared" si="35"/>
        <v/>
      </c>
      <c r="R118" s="48"/>
      <c r="S118" s="44" t="str">
        <f>IF(I118&lt;&gt;"",_xlfn.XLOOKUP($D$4+I117+1,#REF!,#REF!,"",0) * 1000,"")</f>
        <v/>
      </c>
      <c r="T118" s="52">
        <f t="shared" si="63"/>
        <v>0.04</v>
      </c>
      <c r="U118" s="53" t="str">
        <f t="shared" si="47"/>
        <v/>
      </c>
      <c r="V118" s="53" t="str">
        <f t="shared" si="48"/>
        <v/>
      </c>
      <c r="W118" s="53" t="str">
        <f t="shared" si="49"/>
        <v/>
      </c>
      <c r="X118" s="46" t="str">
        <f t="shared" si="36"/>
        <v/>
      </c>
      <c r="Y118" s="48"/>
      <c r="Z118" s="41" t="str">
        <f t="shared" si="50"/>
        <v/>
      </c>
      <c r="AA118" s="41" t="str">
        <f t="shared" si="51"/>
        <v/>
      </c>
      <c r="AB118" s="41" t="str">
        <f t="shared" si="37"/>
        <v/>
      </c>
      <c r="AC118" s="41" t="str">
        <f t="shared" si="38"/>
        <v/>
      </c>
      <c r="AD118" s="48"/>
      <c r="AE118" s="41" t="str">
        <f t="shared" si="39"/>
        <v/>
      </c>
      <c r="AF118" s="41" t="str">
        <f t="shared" si="40"/>
        <v/>
      </c>
      <c r="AG118" s="41" t="str">
        <f t="shared" si="41"/>
        <v/>
      </c>
      <c r="AH118" s="41" t="str">
        <f t="shared" si="52"/>
        <v/>
      </c>
      <c r="AI118" s="41" t="str">
        <f t="shared" si="53"/>
        <v/>
      </c>
      <c r="AJ118" s="41">
        <f t="shared" si="42"/>
        <v>0</v>
      </c>
      <c r="AK118" s="41" t="str">
        <f t="shared" si="43"/>
        <v/>
      </c>
      <c r="AL118" s="41">
        <f t="shared" si="54"/>
        <v>0</v>
      </c>
      <c r="AM118" s="41">
        <f t="shared" si="44"/>
        <v>0</v>
      </c>
      <c r="AN118" s="41" t="str">
        <f t="shared" si="45"/>
        <v/>
      </c>
      <c r="AO118" s="41">
        <f t="shared" si="62"/>
        <v>0</v>
      </c>
      <c r="AP118" s="48"/>
      <c r="AQ118" s="48"/>
      <c r="AR118" s="48"/>
      <c r="AS118" s="48"/>
      <c r="AT118" s="51">
        <f t="shared" si="55"/>
        <v>114</v>
      </c>
      <c r="AU118" s="49" t="str">
        <f t="shared" si="56"/>
        <v/>
      </c>
      <c r="AV118" s="49" t="str">
        <f t="shared" si="57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3:50" ht="15" x14ac:dyDescent="0.25">
      <c r="C119" s="60">
        <v>94</v>
      </c>
      <c r="D119">
        <v>32425.534781889721</v>
      </c>
      <c r="I119" s="40"/>
      <c r="J119" s="41" t="str">
        <f t="shared" si="58"/>
        <v/>
      </c>
      <c r="K119" s="41" t="str">
        <f t="shared" si="59"/>
        <v/>
      </c>
      <c r="L119" s="42" t="str">
        <f t="shared" si="60"/>
        <v/>
      </c>
      <c r="M119" s="41" t="str">
        <f t="shared" si="61"/>
        <v/>
      </c>
      <c r="N119" s="43">
        <f t="shared" si="32"/>
        <v>0</v>
      </c>
      <c r="O119" s="44">
        <f t="shared" si="33"/>
        <v>0</v>
      </c>
      <c r="P119" s="41" t="str">
        <f t="shared" si="34"/>
        <v/>
      </c>
      <c r="Q119" s="41" t="str">
        <f t="shared" si="35"/>
        <v/>
      </c>
      <c r="R119" s="48"/>
      <c r="S119" s="44" t="str">
        <f>IF(I119&lt;&gt;"",_xlfn.XLOOKUP($D$4+I118+1,#REF!,#REF!,"",0) * 1000,"")</f>
        <v/>
      </c>
      <c r="T119" s="52">
        <f t="shared" si="63"/>
        <v>0.04</v>
      </c>
      <c r="U119" s="53" t="str">
        <f t="shared" si="47"/>
        <v/>
      </c>
      <c r="V119" s="53" t="str">
        <f t="shared" si="48"/>
        <v/>
      </c>
      <c r="W119" s="53" t="str">
        <f t="shared" si="49"/>
        <v/>
      </c>
      <c r="X119" s="46" t="str">
        <f t="shared" si="36"/>
        <v/>
      </c>
      <c r="Y119" s="48"/>
      <c r="Z119" s="41" t="str">
        <f t="shared" si="50"/>
        <v/>
      </c>
      <c r="AA119" s="41" t="str">
        <f t="shared" si="51"/>
        <v/>
      </c>
      <c r="AB119" s="41" t="str">
        <f t="shared" si="37"/>
        <v/>
      </c>
      <c r="AC119" s="41" t="str">
        <f t="shared" si="38"/>
        <v/>
      </c>
      <c r="AD119" s="48"/>
      <c r="AE119" s="41" t="str">
        <f t="shared" si="39"/>
        <v/>
      </c>
      <c r="AF119" s="41" t="str">
        <f t="shared" si="40"/>
        <v/>
      </c>
      <c r="AG119" s="41" t="str">
        <f t="shared" si="41"/>
        <v/>
      </c>
      <c r="AH119" s="41" t="str">
        <f t="shared" si="52"/>
        <v/>
      </c>
      <c r="AI119" s="41" t="str">
        <f t="shared" si="53"/>
        <v/>
      </c>
      <c r="AJ119" s="41">
        <f t="shared" si="42"/>
        <v>0</v>
      </c>
      <c r="AK119" s="41" t="str">
        <f t="shared" si="43"/>
        <v/>
      </c>
      <c r="AL119" s="41">
        <f t="shared" si="54"/>
        <v>0</v>
      </c>
      <c r="AM119" s="41">
        <f t="shared" si="44"/>
        <v>0</v>
      </c>
      <c r="AN119" s="41" t="str">
        <f t="shared" si="45"/>
        <v/>
      </c>
      <c r="AO119" s="41">
        <f t="shared" si="62"/>
        <v>0</v>
      </c>
      <c r="AP119" s="48"/>
      <c r="AQ119" s="48"/>
      <c r="AR119" s="48"/>
      <c r="AS119" s="48"/>
      <c r="AT119" s="51">
        <f t="shared" si="55"/>
        <v>115</v>
      </c>
      <c r="AU119" s="49" t="str">
        <f t="shared" si="56"/>
        <v/>
      </c>
      <c r="AV119" s="49" t="str">
        <f t="shared" si="57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3:50" ht="15" x14ac:dyDescent="0.25">
      <c r="C120" s="60">
        <v>95</v>
      </c>
      <c r="D120">
        <v>36029.078817261121</v>
      </c>
      <c r="I120" s="40"/>
      <c r="J120" s="41" t="str">
        <f t="shared" si="58"/>
        <v/>
      </c>
      <c r="K120" s="41" t="str">
        <f t="shared" si="59"/>
        <v/>
      </c>
      <c r="L120" s="42" t="str">
        <f t="shared" si="60"/>
        <v/>
      </c>
      <c r="M120" s="41" t="str">
        <f t="shared" si="61"/>
        <v/>
      </c>
      <c r="N120" s="43">
        <f t="shared" si="32"/>
        <v>0</v>
      </c>
      <c r="O120" s="44">
        <f t="shared" si="33"/>
        <v>0</v>
      </c>
      <c r="P120" s="41" t="str">
        <f t="shared" si="34"/>
        <v/>
      </c>
      <c r="Q120" s="41" t="str">
        <f t="shared" si="35"/>
        <v/>
      </c>
      <c r="R120" s="48"/>
      <c r="S120" s="44" t="str">
        <f>IF(I120&lt;&gt;"",_xlfn.XLOOKUP($D$4+I119+1,#REF!,#REF!,"",0) * 1000,"")</f>
        <v/>
      </c>
      <c r="T120" s="52">
        <f t="shared" si="63"/>
        <v>0.04</v>
      </c>
      <c r="U120" s="53" t="str">
        <f t="shared" si="47"/>
        <v/>
      </c>
      <c r="V120" s="53" t="str">
        <f t="shared" si="48"/>
        <v/>
      </c>
      <c r="W120" s="53" t="str">
        <f t="shared" si="49"/>
        <v/>
      </c>
      <c r="X120" s="46" t="str">
        <f t="shared" si="36"/>
        <v/>
      </c>
      <c r="Y120" s="48"/>
      <c r="Z120" s="41" t="str">
        <f t="shared" si="50"/>
        <v/>
      </c>
      <c r="AA120" s="41" t="str">
        <f t="shared" si="51"/>
        <v/>
      </c>
      <c r="AB120" s="41" t="str">
        <f t="shared" si="37"/>
        <v/>
      </c>
      <c r="AC120" s="41" t="str">
        <f t="shared" si="38"/>
        <v/>
      </c>
      <c r="AD120" s="48"/>
      <c r="AE120" s="41" t="str">
        <f t="shared" si="39"/>
        <v/>
      </c>
      <c r="AF120" s="41" t="str">
        <f t="shared" si="40"/>
        <v/>
      </c>
      <c r="AG120" s="41" t="str">
        <f t="shared" si="41"/>
        <v/>
      </c>
      <c r="AH120" s="41" t="str">
        <f t="shared" si="52"/>
        <v/>
      </c>
      <c r="AI120" s="41" t="str">
        <f t="shared" si="53"/>
        <v/>
      </c>
      <c r="AJ120" s="41">
        <f t="shared" si="42"/>
        <v>0</v>
      </c>
      <c r="AK120" s="41" t="str">
        <f t="shared" si="43"/>
        <v/>
      </c>
      <c r="AL120" s="41">
        <f t="shared" si="54"/>
        <v>0</v>
      </c>
      <c r="AM120" s="41">
        <f t="shared" si="44"/>
        <v>0</v>
      </c>
      <c r="AN120" s="41" t="str">
        <f t="shared" si="45"/>
        <v/>
      </c>
      <c r="AO120" s="41">
        <f t="shared" si="62"/>
        <v>0</v>
      </c>
      <c r="AP120" s="48"/>
      <c r="AQ120" s="48"/>
      <c r="AR120" s="48"/>
      <c r="AS120" s="48"/>
      <c r="AT120" s="51">
        <f t="shared" si="55"/>
        <v>116</v>
      </c>
      <c r="AU120" s="49" t="str">
        <f t="shared" si="56"/>
        <v/>
      </c>
      <c r="AV120" s="49" t="str">
        <f t="shared" si="57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3:50" ht="15" x14ac:dyDescent="0.25">
      <c r="C121" s="60">
        <v>96</v>
      </c>
      <c r="D121">
        <v>40073.834759300735</v>
      </c>
      <c r="I121" s="40"/>
      <c r="J121" s="41" t="str">
        <f t="shared" si="58"/>
        <v/>
      </c>
      <c r="K121" s="41" t="str">
        <f t="shared" si="59"/>
        <v/>
      </c>
      <c r="L121" s="42" t="str">
        <f t="shared" si="60"/>
        <v/>
      </c>
      <c r="M121" s="41" t="str">
        <f t="shared" si="61"/>
        <v/>
      </c>
      <c r="N121" s="43">
        <f t="shared" si="32"/>
        <v>0</v>
      </c>
      <c r="O121" s="44">
        <f t="shared" si="33"/>
        <v>0</v>
      </c>
      <c r="P121" s="41" t="str">
        <f t="shared" si="34"/>
        <v/>
      </c>
      <c r="Q121" s="41" t="str">
        <f t="shared" si="35"/>
        <v/>
      </c>
      <c r="R121" s="48"/>
      <c r="S121" s="44" t="str">
        <f>IF(I121&lt;&gt;"",_xlfn.XLOOKUP($D$4+I120+1,#REF!,#REF!,"",0) * 1000,"")</f>
        <v/>
      </c>
      <c r="T121" s="52">
        <f t="shared" si="63"/>
        <v>0.04</v>
      </c>
      <c r="U121" s="53" t="str">
        <f t="shared" si="47"/>
        <v/>
      </c>
      <c r="V121" s="53" t="str">
        <f t="shared" si="48"/>
        <v/>
      </c>
      <c r="W121" s="53" t="str">
        <f t="shared" si="49"/>
        <v/>
      </c>
      <c r="X121" s="46" t="str">
        <f t="shared" si="36"/>
        <v/>
      </c>
      <c r="Y121" s="48"/>
      <c r="Z121" s="41" t="str">
        <f t="shared" si="50"/>
        <v/>
      </c>
      <c r="AA121" s="41" t="str">
        <f t="shared" si="51"/>
        <v/>
      </c>
      <c r="AB121" s="41" t="str">
        <f t="shared" si="37"/>
        <v/>
      </c>
      <c r="AC121" s="41" t="str">
        <f t="shared" si="38"/>
        <v/>
      </c>
      <c r="AD121" s="48"/>
      <c r="AE121" s="41" t="str">
        <f t="shared" si="39"/>
        <v/>
      </c>
      <c r="AF121" s="41" t="str">
        <f t="shared" si="40"/>
        <v/>
      </c>
      <c r="AG121" s="41" t="str">
        <f t="shared" si="41"/>
        <v/>
      </c>
      <c r="AH121" s="41" t="str">
        <f t="shared" si="52"/>
        <v/>
      </c>
      <c r="AI121" s="41" t="str">
        <f t="shared" si="53"/>
        <v/>
      </c>
      <c r="AJ121" s="41">
        <f t="shared" si="42"/>
        <v>0</v>
      </c>
      <c r="AK121" s="41" t="str">
        <f t="shared" si="43"/>
        <v/>
      </c>
      <c r="AL121" s="41">
        <f t="shared" si="54"/>
        <v>0</v>
      </c>
      <c r="AM121" s="41">
        <f t="shared" si="44"/>
        <v>0</v>
      </c>
      <c r="AN121" s="41" t="str">
        <f t="shared" si="45"/>
        <v/>
      </c>
      <c r="AO121" s="41">
        <f t="shared" si="62"/>
        <v>0</v>
      </c>
      <c r="AP121" s="48"/>
      <c r="AQ121" s="48"/>
      <c r="AR121" s="48"/>
      <c r="AS121" s="48"/>
      <c r="AT121" s="51">
        <f t="shared" si="55"/>
        <v>117</v>
      </c>
      <c r="AU121" s="49" t="str">
        <f t="shared" si="56"/>
        <v/>
      </c>
      <c r="AV121" s="49" t="str">
        <f t="shared" si="57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3:50" ht="15" x14ac:dyDescent="0.25">
      <c r="C122" s="60">
        <v>97</v>
      </c>
      <c r="D122">
        <v>44576.111427805867</v>
      </c>
      <c r="I122" s="40"/>
      <c r="J122" s="41" t="str">
        <f t="shared" si="58"/>
        <v/>
      </c>
      <c r="K122" s="41" t="str">
        <f t="shared" si="59"/>
        <v/>
      </c>
      <c r="L122" s="42" t="str">
        <f t="shared" si="60"/>
        <v/>
      </c>
      <c r="M122" s="41" t="str">
        <f t="shared" si="61"/>
        <v/>
      </c>
      <c r="N122" s="43">
        <f t="shared" si="32"/>
        <v>0</v>
      </c>
      <c r="O122" s="44">
        <f t="shared" si="33"/>
        <v>0</v>
      </c>
      <c r="P122" s="41" t="str">
        <f t="shared" si="34"/>
        <v/>
      </c>
      <c r="Q122" s="41" t="str">
        <f t="shared" si="35"/>
        <v/>
      </c>
      <c r="R122" s="48"/>
      <c r="S122" s="44" t="str">
        <f>IF(I122&lt;&gt;"",_xlfn.XLOOKUP($D$4+I121+1,#REF!,#REF!,"",0) * 1000,"")</f>
        <v/>
      </c>
      <c r="T122" s="52">
        <f t="shared" si="63"/>
        <v>0.04</v>
      </c>
      <c r="U122" s="53" t="str">
        <f t="shared" si="47"/>
        <v/>
      </c>
      <c r="V122" s="53" t="str">
        <f t="shared" si="48"/>
        <v/>
      </c>
      <c r="W122" s="53" t="str">
        <f t="shared" si="49"/>
        <v/>
      </c>
      <c r="X122" s="46" t="str">
        <f t="shared" si="36"/>
        <v/>
      </c>
      <c r="Y122" s="48"/>
      <c r="Z122" s="41" t="str">
        <f t="shared" si="50"/>
        <v/>
      </c>
      <c r="AA122" s="41" t="str">
        <f t="shared" si="51"/>
        <v/>
      </c>
      <c r="AB122" s="41" t="str">
        <f t="shared" si="37"/>
        <v/>
      </c>
      <c r="AC122" s="41" t="str">
        <f t="shared" si="38"/>
        <v/>
      </c>
      <c r="AD122" s="48"/>
      <c r="AE122" s="41" t="str">
        <f t="shared" si="39"/>
        <v/>
      </c>
      <c r="AF122" s="41" t="str">
        <f t="shared" si="40"/>
        <v/>
      </c>
      <c r="AG122" s="41" t="str">
        <f t="shared" si="41"/>
        <v/>
      </c>
      <c r="AH122" s="41" t="str">
        <f t="shared" si="52"/>
        <v/>
      </c>
      <c r="AI122" s="41" t="str">
        <f t="shared" si="53"/>
        <v/>
      </c>
      <c r="AJ122" s="41">
        <f t="shared" si="42"/>
        <v>0</v>
      </c>
      <c r="AK122" s="41" t="str">
        <f t="shared" si="43"/>
        <v/>
      </c>
      <c r="AL122" s="41">
        <f t="shared" si="54"/>
        <v>0</v>
      </c>
      <c r="AM122" s="41">
        <f t="shared" si="44"/>
        <v>0</v>
      </c>
      <c r="AN122" s="41" t="str">
        <f t="shared" si="45"/>
        <v/>
      </c>
      <c r="AO122" s="41">
        <f t="shared" si="62"/>
        <v>0</v>
      </c>
      <c r="AP122" s="48"/>
      <c r="AQ122" s="48"/>
      <c r="AR122" s="48"/>
      <c r="AS122" s="48"/>
      <c r="AT122" s="51">
        <f t="shared" si="55"/>
        <v>118</v>
      </c>
      <c r="AU122" s="49" t="str">
        <f t="shared" si="56"/>
        <v/>
      </c>
      <c r="AV122" s="49" t="str">
        <f t="shared" si="57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3:50" ht="15" x14ac:dyDescent="0.25">
      <c r="C123" s="60">
        <v>98</v>
      </c>
      <c r="D123">
        <v>49537.541603446727</v>
      </c>
      <c r="I123" s="40"/>
      <c r="J123" s="41" t="str">
        <f t="shared" si="58"/>
        <v/>
      </c>
      <c r="K123" s="41" t="str">
        <f t="shared" si="59"/>
        <v/>
      </c>
      <c r="L123" s="42" t="str">
        <f t="shared" si="60"/>
        <v/>
      </c>
      <c r="M123" s="41" t="str">
        <f t="shared" si="61"/>
        <v/>
      </c>
      <c r="N123" s="43">
        <f t="shared" si="32"/>
        <v>0</v>
      </c>
      <c r="O123" s="44">
        <f t="shared" si="33"/>
        <v>0</v>
      </c>
      <c r="P123" s="41" t="str">
        <f t="shared" si="34"/>
        <v/>
      </c>
      <c r="Q123" s="41" t="str">
        <f t="shared" si="35"/>
        <v/>
      </c>
      <c r="R123" s="48"/>
      <c r="S123" s="44" t="str">
        <f>IF(I123&lt;&gt;"",_xlfn.XLOOKUP($D$4+I122+1,#REF!,#REF!,"",0) * 1000,"")</f>
        <v/>
      </c>
      <c r="T123" s="52">
        <f t="shared" si="63"/>
        <v>0.04</v>
      </c>
      <c r="U123" s="53" t="str">
        <f t="shared" si="47"/>
        <v/>
      </c>
      <c r="V123" s="53" t="str">
        <f t="shared" si="48"/>
        <v/>
      </c>
      <c r="W123" s="53" t="str">
        <f t="shared" si="49"/>
        <v/>
      </c>
      <c r="X123" s="46" t="str">
        <f t="shared" si="36"/>
        <v/>
      </c>
      <c r="Y123" s="48"/>
      <c r="Z123" s="41" t="str">
        <f t="shared" si="50"/>
        <v/>
      </c>
      <c r="AA123" s="41" t="str">
        <f t="shared" si="51"/>
        <v/>
      </c>
      <c r="AB123" s="41" t="str">
        <f t="shared" si="37"/>
        <v/>
      </c>
      <c r="AC123" s="41" t="str">
        <f t="shared" si="38"/>
        <v/>
      </c>
      <c r="AD123" s="48"/>
      <c r="AE123" s="41" t="str">
        <f t="shared" si="39"/>
        <v/>
      </c>
      <c r="AF123" s="41" t="str">
        <f t="shared" si="40"/>
        <v/>
      </c>
      <c r="AG123" s="41" t="str">
        <f t="shared" si="41"/>
        <v/>
      </c>
      <c r="AH123" s="41" t="str">
        <f t="shared" si="52"/>
        <v/>
      </c>
      <c r="AI123" s="41" t="str">
        <f t="shared" si="53"/>
        <v/>
      </c>
      <c r="AJ123" s="41">
        <f t="shared" si="42"/>
        <v>0</v>
      </c>
      <c r="AK123" s="41" t="str">
        <f t="shared" si="43"/>
        <v/>
      </c>
      <c r="AL123" s="41">
        <f t="shared" si="54"/>
        <v>0</v>
      </c>
      <c r="AM123" s="41">
        <f t="shared" si="44"/>
        <v>0</v>
      </c>
      <c r="AN123" s="41" t="str">
        <f t="shared" si="45"/>
        <v/>
      </c>
      <c r="AO123" s="41">
        <f t="shared" si="62"/>
        <v>0</v>
      </c>
      <c r="AP123" s="48"/>
      <c r="AQ123" s="48"/>
      <c r="AR123" s="48"/>
      <c r="AS123" s="48"/>
      <c r="AT123" s="51">
        <f t="shared" si="55"/>
        <v>119</v>
      </c>
      <c r="AU123" s="49" t="str">
        <f t="shared" si="56"/>
        <v/>
      </c>
      <c r="AV123" s="49" t="str">
        <f t="shared" si="57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3:50" ht="15" x14ac:dyDescent="0.25">
      <c r="C124" s="60">
        <v>99</v>
      </c>
      <c r="D124">
        <v>54982.616002064256</v>
      </c>
      <c r="I124" s="40"/>
      <c r="J124" s="41" t="str">
        <f t="shared" si="58"/>
        <v/>
      </c>
      <c r="K124" s="41" t="str">
        <f t="shared" si="59"/>
        <v/>
      </c>
      <c r="L124" s="42" t="str">
        <f t="shared" si="60"/>
        <v/>
      </c>
      <c r="M124" s="41" t="str">
        <f t="shared" si="61"/>
        <v/>
      </c>
      <c r="N124" s="43">
        <f>AX124</f>
        <v>0</v>
      </c>
      <c r="O124" s="44">
        <f>AW124</f>
        <v>0</v>
      </c>
      <c r="P124" s="41" t="str">
        <f t="shared" si="34"/>
        <v/>
      </c>
      <c r="Q124" s="41" t="str">
        <f t="shared" si="35"/>
        <v/>
      </c>
      <c r="R124" s="48"/>
      <c r="S124" s="44" t="str">
        <f>IF(I124&lt;&gt;"",_xlfn.XLOOKUP($D$4+I123+1,#REF!,#REF!,"",0) * 1000,"")</f>
        <v/>
      </c>
      <c r="T124" s="52">
        <f t="shared" si="63"/>
        <v>0.04</v>
      </c>
      <c r="U124" s="53" t="str">
        <f t="shared" si="47"/>
        <v/>
      </c>
      <c r="V124" s="53" t="str">
        <f t="shared" si="48"/>
        <v/>
      </c>
      <c r="W124" s="53" t="str">
        <f t="shared" si="49"/>
        <v/>
      </c>
      <c r="X124" s="46" t="str">
        <f t="shared" si="36"/>
        <v/>
      </c>
      <c r="Y124" s="48"/>
      <c r="Z124" s="41" t="str">
        <f t="shared" si="50"/>
        <v/>
      </c>
      <c r="AA124" s="41" t="str">
        <f t="shared" si="51"/>
        <v/>
      </c>
      <c r="AB124" s="41" t="str">
        <f t="shared" si="37"/>
        <v/>
      </c>
      <c r="AC124" s="41" t="str">
        <f t="shared" si="38"/>
        <v/>
      </c>
      <c r="AD124" s="48"/>
      <c r="AE124" s="41" t="str">
        <f t="shared" si="39"/>
        <v/>
      </c>
      <c r="AF124" s="41" t="str">
        <f t="shared" si="40"/>
        <v/>
      </c>
      <c r="AG124" s="41" t="str">
        <f t="shared" si="41"/>
        <v/>
      </c>
      <c r="AH124" s="41" t="str">
        <f t="shared" si="52"/>
        <v/>
      </c>
      <c r="AI124" s="41" t="str">
        <f t="shared" si="53"/>
        <v/>
      </c>
      <c r="AJ124" s="41">
        <f t="shared" si="42"/>
        <v>0</v>
      </c>
      <c r="AK124" s="41" t="str">
        <f t="shared" si="43"/>
        <v/>
      </c>
      <c r="AL124" s="41">
        <f t="shared" si="54"/>
        <v>0</v>
      </c>
      <c r="AM124" s="41">
        <f t="shared" si="44"/>
        <v>0</v>
      </c>
      <c r="AN124" s="41" t="str">
        <f t="shared" si="45"/>
        <v/>
      </c>
      <c r="AO124" s="41">
        <f t="shared" si="62"/>
        <v>0</v>
      </c>
      <c r="AP124" s="48"/>
      <c r="AQ124" s="48"/>
      <c r="AR124" s="48"/>
      <c r="AS124" s="48"/>
      <c r="AT124" s="51">
        <f t="shared" si="55"/>
        <v>120</v>
      </c>
      <c r="AU124" s="49" t="str">
        <f t="shared" si="56"/>
        <v/>
      </c>
      <c r="AV124" s="49" t="str">
        <f t="shared" si="57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3:50" x14ac:dyDescent="0.2">
      <c r="C125" s="60">
        <v>100</v>
      </c>
      <c r="D125">
        <v>60856.388474537081</v>
      </c>
    </row>
    <row r="126" spans="3:50" x14ac:dyDescent="0.2">
      <c r="C126" s="60">
        <v>101</v>
      </c>
      <c r="D126">
        <v>67193.399497538281</v>
      </c>
      <c r="K126" s="11"/>
    </row>
    <row r="127" spans="3:50" x14ac:dyDescent="0.2">
      <c r="C127" s="60">
        <v>102</v>
      </c>
      <c r="D127">
        <v>74088.709248608095</v>
      </c>
      <c r="S127" s="58"/>
    </row>
    <row r="128" spans="3:50" x14ac:dyDescent="0.2">
      <c r="C128" s="60">
        <v>103</v>
      </c>
      <c r="D128">
        <v>81526.896986975</v>
      </c>
    </row>
    <row r="129" spans="3:41" ht="15" x14ac:dyDescent="0.25">
      <c r="C129" s="60">
        <v>104</v>
      </c>
      <c r="D129">
        <v>89477.028464334391</v>
      </c>
      <c r="AD129" s="56" t="s">
        <v>56</v>
      </c>
      <c r="AE129" s="57" t="e">
        <f t="shared" ref="AE129:AO129" si="64">SUM(AE4:AE124)</f>
        <v>#REF!</v>
      </c>
      <c r="AF129" s="57" t="e">
        <f t="shared" si="64"/>
        <v>#REF!</v>
      </c>
      <c r="AG129" s="57" t="e">
        <f t="shared" si="64"/>
        <v>#REF!</v>
      </c>
      <c r="AH129" s="57">
        <f t="shared" si="64"/>
        <v>0</v>
      </c>
      <c r="AI129" s="57">
        <f t="shared" si="64"/>
        <v>0</v>
      </c>
      <c r="AJ129" s="57" t="e">
        <f t="shared" si="64"/>
        <v>#REF!</v>
      </c>
      <c r="AK129" s="57" t="e">
        <f t="shared" si="64"/>
        <v>#REF!</v>
      </c>
      <c r="AL129" s="57">
        <f t="shared" si="64"/>
        <v>0</v>
      </c>
      <c r="AM129" s="57" t="e">
        <f t="shared" si="64"/>
        <v>#REF!</v>
      </c>
      <c r="AN129" s="57" t="e">
        <f t="shared" si="64"/>
        <v>#REF!</v>
      </c>
      <c r="AO129" s="57" t="e">
        <f t="shared" si="64"/>
        <v>#REF!</v>
      </c>
    </row>
    <row r="130" spans="3:41" ht="15" x14ac:dyDescent="0.25">
      <c r="C130" s="60">
        <v>105</v>
      </c>
      <c r="D130">
        <v>97907.659256207553</v>
      </c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3:41" ht="15" x14ac:dyDescent="0.25">
      <c r="C131" s="60">
        <v>106</v>
      </c>
      <c r="D131">
        <v>106795.14536073625</v>
      </c>
      <c r="AD131" s="56" t="str">
        <f>"Present Value at "&amp;TEXT(D6,"0.00%")&amp;":"</f>
        <v>Present Value at 5.50%:</v>
      </c>
      <c r="AE131" s="57" t="e">
        <f t="shared" ref="AE131:AO131" si="65">AE4+NPV($D$6,AE5:AE124)</f>
        <v>#REF!</v>
      </c>
      <c r="AF131" s="57" t="e">
        <f t="shared" si="65"/>
        <v>#REF!</v>
      </c>
      <c r="AG131" s="57" t="e">
        <f t="shared" si="65"/>
        <v>#REF!</v>
      </c>
      <c r="AH131" s="57">
        <f t="shared" si="65"/>
        <v>0</v>
      </c>
      <c r="AI131" s="57">
        <f t="shared" si="65"/>
        <v>0</v>
      </c>
      <c r="AJ131" s="57" t="e">
        <f t="shared" si="65"/>
        <v>#REF!</v>
      </c>
      <c r="AK131" s="57" t="e">
        <f t="shared" si="65"/>
        <v>#REF!</v>
      </c>
      <c r="AL131" s="57">
        <f t="shared" si="65"/>
        <v>0</v>
      </c>
      <c r="AM131" s="57" t="e">
        <f t="shared" si="65"/>
        <v>#REF!</v>
      </c>
      <c r="AN131" s="57" t="e">
        <f t="shared" si="65"/>
        <v>#REF!</v>
      </c>
      <c r="AO131" s="57" t="e">
        <f t="shared" si="65"/>
        <v>#REF!</v>
      </c>
    </row>
    <row r="132" spans="3:41" ht="15" x14ac:dyDescent="0.25">
      <c r="C132" s="60">
        <v>107</v>
      </c>
      <c r="D132">
        <v>116097.524804689</v>
      </c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3:41" ht="15" x14ac:dyDescent="0.25">
      <c r="C133" s="60">
        <v>108</v>
      </c>
      <c r="D133">
        <v>125807.49444954919</v>
      </c>
      <c r="AD133" s="56" t="str">
        <f>"Present Value at "&amp;TEXT(D7,"0.00%")&amp;":"</f>
        <v>Present Value at 12.00%:</v>
      </c>
      <c r="AE133" s="57" t="e">
        <f t="shared" ref="AE133:AO133" si="66">AE4+NPV($D$7,AE5:AE124)</f>
        <v>#REF!</v>
      </c>
      <c r="AF133" s="57" t="e">
        <f t="shared" si="66"/>
        <v>#REF!</v>
      </c>
      <c r="AG133" s="57" t="e">
        <f t="shared" si="66"/>
        <v>#REF!</v>
      </c>
      <c r="AH133" s="57">
        <f t="shared" si="66"/>
        <v>0</v>
      </c>
      <c r="AI133" s="57">
        <f t="shared" si="66"/>
        <v>0</v>
      </c>
      <c r="AJ133" s="57" t="e">
        <f t="shared" si="66"/>
        <v>#REF!</v>
      </c>
      <c r="AK133" s="57" t="e">
        <f t="shared" si="66"/>
        <v>#REF!</v>
      </c>
      <c r="AL133" s="57">
        <f t="shared" si="66"/>
        <v>0</v>
      </c>
      <c r="AM133" s="57" t="e">
        <f t="shared" si="66"/>
        <v>#REF!</v>
      </c>
      <c r="AN133" s="57" t="e">
        <f t="shared" si="66"/>
        <v>#REF!</v>
      </c>
      <c r="AO133" s="57" t="e">
        <f t="shared" si="66"/>
        <v>#REF!</v>
      </c>
    </row>
    <row r="134" spans="3:41" x14ac:dyDescent="0.2">
      <c r="C134" s="60">
        <v>109</v>
      </c>
      <c r="D134">
        <v>136261.06020996039</v>
      </c>
    </row>
    <row r="135" spans="3:41" x14ac:dyDescent="0.2">
      <c r="C135" s="60">
        <v>110</v>
      </c>
      <c r="D135">
        <v>147381.75147547972</v>
      </c>
    </row>
    <row r="136" spans="3:41" x14ac:dyDescent="0.2">
      <c r="C136" s="60">
        <v>111</v>
      </c>
      <c r="D136">
        <v>158241.4951707274</v>
      </c>
    </row>
    <row r="137" spans="3:41" x14ac:dyDescent="0.2">
      <c r="C137" s="60">
        <v>112</v>
      </c>
      <c r="D137">
        <v>168589.1452364797</v>
      </c>
    </row>
    <row r="138" spans="3:41" x14ac:dyDescent="0.2">
      <c r="C138" s="60">
        <v>113</v>
      </c>
      <c r="D138">
        <v>178177.91778424219</v>
      </c>
    </row>
    <row r="139" spans="3:41" x14ac:dyDescent="0.2">
      <c r="C139" s="60">
        <v>114</v>
      </c>
      <c r="D139">
        <v>186798.30630880251</v>
      </c>
    </row>
    <row r="140" spans="3:41" x14ac:dyDescent="0.2">
      <c r="C140" s="60">
        <v>115</v>
      </c>
      <c r="D140">
        <v>194286.66307278429</v>
      </c>
    </row>
    <row r="141" spans="3:41" x14ac:dyDescent="0.2">
      <c r="C141" s="60">
        <v>116</v>
      </c>
      <c r="D141">
        <v>200499.83465780088</v>
      </c>
    </row>
    <row r="142" spans="3:41" x14ac:dyDescent="0.2">
      <c r="C142" s="60">
        <v>117</v>
      </c>
      <c r="D142">
        <v>205392.64611513237</v>
      </c>
    </row>
    <row r="143" spans="3:41" x14ac:dyDescent="0.2">
      <c r="C143" s="60">
        <v>118</v>
      </c>
      <c r="D143">
        <v>209950.04625169397</v>
      </c>
    </row>
    <row r="144" spans="3:41" x14ac:dyDescent="0.2">
      <c r="C144" s="60">
        <v>119</v>
      </c>
      <c r="D144">
        <v>226452.02877875173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Y145"/>
  <sheetViews>
    <sheetView workbookViewId="0">
      <pane ySplit="3" topLeftCell="A4" activePane="bottomLeft" state="frozen"/>
      <selection pane="bottomLeft" activeCell="E34" sqref="E34"/>
    </sheetView>
  </sheetViews>
  <sheetFormatPr defaultColWidth="10.7109375" defaultRowHeight="12.75" x14ac:dyDescent="0.2"/>
  <cols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1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 t="e">
        <f>AU$5+NPV($AT1,AU$6:AU$79)</f>
        <v>#VALUE!</v>
      </c>
      <c r="AV1" s="35">
        <f>NPV($AT1,AV$5:AV$79)</f>
        <v>0</v>
      </c>
      <c r="AW1" s="34" t="e">
        <f>0.85*AV1*1000/AU1</f>
        <v>#VALUE!</v>
      </c>
    </row>
    <row r="2" spans="1:51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 t="e">
        <f>AU$5+NPV($AT2,AU$6:AU$79)</f>
        <v>#VALUE!</v>
      </c>
      <c r="AV2" s="35">
        <f>NPV($AT2,AV$5:AV$79)</f>
        <v>0</v>
      </c>
      <c r="AW2" s="34" t="e">
        <f>1.05*AV2*1000/(AU2-1)</f>
        <v>#VALUE!</v>
      </c>
    </row>
    <row r="3" spans="1:51" ht="38.25" x14ac:dyDescent="0.2">
      <c r="G3" t="s">
        <v>16</v>
      </c>
      <c r="H3" s="31">
        <v>226452.02877875473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1" ht="15" x14ac:dyDescent="0.25">
      <c r="A4" s="39" t="s">
        <v>63</v>
      </c>
      <c r="B4" s="15"/>
      <c r="C4" s="15"/>
      <c r="D4" s="15">
        <v>35</v>
      </c>
      <c r="H4" s="1"/>
      <c r="I4" s="40" t="e" cm="1">
        <f t="array" ref="I4">_xlfn.SEQUENCE(MAX(#REF!-'Whole Life Lump Sum'!D4)+1,1,0,1)</f>
        <v>#REF!</v>
      </c>
      <c r="J4" s="41">
        <f>$H$3</f>
        <v>226452.02877875473</v>
      </c>
      <c r="K4" s="41">
        <f>J4*C16</f>
        <v>67935.608633626412</v>
      </c>
      <c r="L4" s="42">
        <f>C20</f>
        <v>200</v>
      </c>
      <c r="M4" s="41">
        <f t="shared" ref="M4:M5" si="0">$E$11</f>
        <v>50000</v>
      </c>
      <c r="N4" s="43">
        <f>AX4</f>
        <v>0</v>
      </c>
      <c r="O4" s="44">
        <f>AW4</f>
        <v>0</v>
      </c>
      <c r="P4" s="41" t="e">
        <f>IF(I4&lt;&gt;"", M4*N4/1000, "")</f>
        <v>#REF!</v>
      </c>
      <c r="Q4" s="41" t="e">
        <f>IF(I4&lt;&gt;"", M4*O4/1000, "")</f>
        <v>#REF!</v>
      </c>
      <c r="R4" s="45"/>
      <c r="S4" s="45"/>
      <c r="T4" s="45"/>
      <c r="U4" s="46">
        <v>1</v>
      </c>
      <c r="V4" s="46"/>
      <c r="W4" s="46"/>
      <c r="X4" s="46" t="e">
        <f>IF(I4&lt;&gt;"", U4-SUM(V4:W4), "")</f>
        <v>#REF!</v>
      </c>
      <c r="Y4" s="47"/>
      <c r="Z4" s="41"/>
      <c r="AA4" s="41"/>
      <c r="AB4" s="41" t="e">
        <f>IF(I4&lt;&gt;"", Q4*X4, "" )</f>
        <v>#REF!</v>
      </c>
      <c r="AC4" s="41" t="e">
        <f>IF(I4&lt;&gt;"", $H$14*M4*X4, "")</f>
        <v>#REF!</v>
      </c>
      <c r="AD4" s="47"/>
      <c r="AE4" s="41" t="e">
        <f>IF(I4&lt;&gt;"", $X4*J4, "")</f>
        <v>#REF!</v>
      </c>
      <c r="AF4" s="41" t="e">
        <f>IF(I4&lt;&gt;"", -$X4*K4, "")</f>
        <v>#REF!</v>
      </c>
      <c r="AG4" s="41" t="e">
        <f>IF(I4&lt;&gt;"", -$X4*L4, "")</f>
        <v>#REF!</v>
      </c>
      <c r="AH4" s="41"/>
      <c r="AI4" s="41"/>
      <c r="AJ4" s="41" t="e">
        <f>SUM(AE4:AI4)</f>
        <v>#REF!</v>
      </c>
      <c r="AK4" s="41" t="e">
        <f>IF(I4&lt;&gt;"", Z4-AB4, "")</f>
        <v>#REF!</v>
      </c>
      <c r="AL4" s="41"/>
      <c r="AM4" s="41" t="e">
        <f>SUM(AJ4:AL4)</f>
        <v>#REF!</v>
      </c>
      <c r="AN4" s="41" t="e">
        <f>IF(I4&lt;&gt;"", AA4-AC4, "")</f>
        <v>#REF!</v>
      </c>
      <c r="AO4" s="41" t="e">
        <f>SUM(AM4:AN4)</f>
        <v>#REF!</v>
      </c>
      <c r="AP4" s="45"/>
      <c r="AQ4" s="41" t="e">
        <f>AM133</f>
        <v>#REF!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0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1" ht="15" x14ac:dyDescent="0.25">
      <c r="H5" s="37"/>
      <c r="I5" s="51"/>
      <c r="J5" s="41"/>
      <c r="K5" s="41"/>
      <c r="L5" s="42"/>
      <c r="M5" s="41">
        <f t="shared" si="0"/>
        <v>50000</v>
      </c>
      <c r="N5" s="43">
        <f t="shared" ref="N5:N68" si="1">AX5</f>
        <v>0</v>
      </c>
      <c r="O5" s="44">
        <f t="shared" ref="O5:O68" si="2">AW5</f>
        <v>0</v>
      </c>
      <c r="P5" s="41" t="str">
        <f t="shared" ref="P5:P68" si="3">IF(I5&lt;&gt;"", M5*N5/1000, "")</f>
        <v/>
      </c>
      <c r="Q5" s="41" t="str">
        <f t="shared" ref="Q5:Q68" si="4">IF(I5&lt;&gt;"", M5*O5/1000, "")</f>
        <v/>
      </c>
      <c r="R5" s="44"/>
      <c r="S5" s="44" t="str">
        <f>IF(I5&lt;&gt;"",_xlfn.XLOOKUP($D$4+I4+1,A26:A145,B26:B145,0) * 1000,"")</f>
        <v/>
      </c>
      <c r="T5" s="52">
        <f>C10</f>
        <v>0</v>
      </c>
      <c r="U5" s="53" t="str">
        <f>IF(I5&lt;&gt;"", X4, "")</f>
        <v/>
      </c>
      <c r="V5" s="53" t="str">
        <f>IF(I5&lt;&gt;"", S5*U5/1000, "")</f>
        <v/>
      </c>
      <c r="W5" s="53" t="str">
        <f>IF(I5&lt;&gt;"", MIN(T5*U5,U5-V5), "")</f>
        <v/>
      </c>
      <c r="X5" s="46" t="str">
        <f t="shared" ref="X5:X68" si="5">IF(I5&lt;&gt;"", U5-SUM(V5:W5), "")</f>
        <v/>
      </c>
      <c r="Y5" s="54"/>
      <c r="Z5" s="41" t="str">
        <f>IF(I5&lt;&gt;"",AB4,"")</f>
        <v/>
      </c>
      <c r="AA5" s="41" t="str">
        <f>IF(I5&lt;&gt;"", AC4, "")</f>
        <v/>
      </c>
      <c r="AB5" s="41" t="str">
        <f t="shared" ref="AB5:AB68" si="6">IF(I5&lt;&gt;"", Q5*X5, "" )</f>
        <v/>
      </c>
      <c r="AC5" s="41" t="str">
        <f t="shared" ref="AC5:AC68" si="7">IF(I5&lt;&gt;"", $H$14*M5*X5, "")</f>
        <v/>
      </c>
      <c r="AD5" s="54"/>
      <c r="AE5" s="41" t="str">
        <f t="shared" ref="AE5:AE68" si="8">IF(I5&lt;&gt;"", $X5*J5, "")</f>
        <v/>
      </c>
      <c r="AF5" s="41"/>
      <c r="AG5" s="41" t="str">
        <f t="shared" ref="AG5:AG68" si="9">IF(I5&lt;&gt;"", -$X5*L5, "")</f>
        <v/>
      </c>
      <c r="AH5" s="41" t="str">
        <f>IF(I5&lt;&gt;"",-M5*V5,"")</f>
        <v/>
      </c>
      <c r="AI5" s="41" t="str">
        <f>IF(I5 &lt;&gt; "", -P5*W5, "")</f>
        <v/>
      </c>
      <c r="AJ5" s="41">
        <f t="shared" ref="AJ5:AJ68" si="10">SUM(AE5:AI5)</f>
        <v>0</v>
      </c>
      <c r="AK5" s="41" t="str">
        <f t="shared" ref="AK5:AK68" si="11">IF(I5&lt;&gt;"", Z5-AB5, "")</f>
        <v/>
      </c>
      <c r="AL5" s="41">
        <f>$D$6*SUM(Z5:AA5,AE5:AF5)</f>
        <v>0</v>
      </c>
      <c r="AM5" s="41">
        <f t="shared" ref="AM5:AM68" si="12">SUM(AJ5:AL5)</f>
        <v>0</v>
      </c>
      <c r="AN5" s="41" t="str">
        <f t="shared" ref="AN5:AN68" si="13">IF(I5&lt;&gt;"", AA5-AC5, "")</f>
        <v/>
      </c>
      <c r="AO5" s="41">
        <f t="shared" ref="AO5:AO68" si="14">SUM(AM5:AN5)</f>
        <v>0</v>
      </c>
      <c r="AP5" s="45" t="s">
        <v>24</v>
      </c>
      <c r="AQ5" s="41"/>
      <c r="AR5" s="48"/>
      <c r="AS5" s="48"/>
      <c r="AT5" s="51">
        <f>AT4+1</f>
        <v>1</v>
      </c>
      <c r="AU5" s="49" t="str">
        <f>IF(I5&lt;&gt;"", AU4-AV4, "")</f>
        <v/>
      </c>
      <c r="AV5" s="49" t="str">
        <f>IF(I5&lt;&gt;"", S5*AU5/1000, "")</f>
        <v/>
      </c>
      <c r="AW5" s="50">
        <f xml:space="preserve"> IF(ISERROR(ROUND((1000*NPV($AT$1,$AV6:$AV$124)-$AW$1*($AU6+NPV($AT$1,$AU7:$AU$124)))/AU6,3)), 0, ROUND((1000*NPV($AT$1,$AV6:$AV$124)-$AW$1*($AU6+NPV($AT$1,$AU7:$AU$124)))/AU6,3))</f>
        <v>0</v>
      </c>
      <c r="AX5" s="50">
        <f>IF(ISERROR(ROUND(MAX(0,1000*NPV($AT$2,$AV6:$AV$124)-$AW$2*($AU6+NPV($AT$2,$AU7:$AU$124)))/AU6,3)), 0, ROUND(MAX(0,1000*NPV($AT$2,$AV6:$AV$124)-$AW$2*($AU6+NPV($AT$2,$AU7:$AU$124)))/AU6,3))</f>
        <v>0</v>
      </c>
    </row>
    <row r="6" spans="1:51" ht="15" x14ac:dyDescent="0.25">
      <c r="A6" s="12" t="s">
        <v>14</v>
      </c>
      <c r="B6" s="12"/>
      <c r="C6" s="12"/>
      <c r="D6" s="16">
        <v>5.5E-2</v>
      </c>
      <c r="E6" s="6"/>
      <c r="F6" s="6"/>
      <c r="G6" s="6"/>
      <c r="H6" s="37"/>
      <c r="I6" s="51"/>
      <c r="J6" s="41"/>
      <c r="K6" s="41" t="str">
        <f>IF(J6&lt;&gt;"",J6*$C$17,"")</f>
        <v/>
      </c>
      <c r="L6" s="42" t="str">
        <f>IF(I6&lt;&gt;"",$C$21,"")</f>
        <v/>
      </c>
      <c r="M6" s="41" t="str">
        <f>IF(I6&lt;&gt;"",$E$11,"")</f>
        <v/>
      </c>
      <c r="N6" s="43">
        <f t="shared" si="1"/>
        <v>0</v>
      </c>
      <c r="O6" s="44">
        <f t="shared" si="2"/>
        <v>0</v>
      </c>
      <c r="P6" s="41" t="str">
        <f t="shared" si="3"/>
        <v/>
      </c>
      <c r="Q6" s="41" t="str">
        <f t="shared" si="4"/>
        <v/>
      </c>
      <c r="R6" s="44"/>
      <c r="S6" s="44" t="str">
        <f t="shared" ref="S6:S69" si="15">IF(I6&lt;&gt;"",_xlfn.XLOOKUP($D$4+I5+1,A27:A146,B27:B146,0) * 1000,"")</f>
        <v/>
      </c>
      <c r="T6" s="52">
        <f>$C$11</f>
        <v>0</v>
      </c>
      <c r="U6" s="53" t="str">
        <f t="shared" ref="U6:U69" si="16">IF(I6&lt;&gt;"", X5, "")</f>
        <v/>
      </c>
      <c r="V6" s="53" t="str">
        <f t="shared" ref="V6:V69" si="17">IF(I6&lt;&gt;"", S6*U6/1000, "")</f>
        <v/>
      </c>
      <c r="W6" s="53" t="str">
        <f t="shared" ref="W6:W69" si="18">IF(I6&lt;&gt;"", MIN(T6*U6,U6-V6), "")</f>
        <v/>
      </c>
      <c r="X6" s="46" t="str">
        <f t="shared" si="5"/>
        <v/>
      </c>
      <c r="Y6" s="54"/>
      <c r="Z6" s="41" t="str">
        <f t="shared" ref="Z6:Z69" si="19">IF(I6&lt;&gt;"",AB5,"")</f>
        <v/>
      </c>
      <c r="AA6" s="41" t="str">
        <f t="shared" ref="AA6:AA69" si="20">IF(I6&lt;&gt;"", AC5, "")</f>
        <v/>
      </c>
      <c r="AB6" s="41" t="str">
        <f t="shared" si="6"/>
        <v/>
      </c>
      <c r="AC6" s="41" t="str">
        <f t="shared" si="7"/>
        <v/>
      </c>
      <c r="AD6" s="54"/>
      <c r="AE6" s="41" t="str">
        <f t="shared" si="8"/>
        <v/>
      </c>
      <c r="AF6" s="41"/>
      <c r="AG6" s="41" t="str">
        <f t="shared" si="9"/>
        <v/>
      </c>
      <c r="AH6" s="41" t="str">
        <f t="shared" ref="AH6:AH69" si="21">IF(I6&lt;&gt;"",-M6*V6,"")</f>
        <v/>
      </c>
      <c r="AI6" s="41" t="str">
        <f t="shared" ref="AI6:AI69" si="22">IF(I6 &lt;&gt; "", -P6*W6, "")</f>
        <v/>
      </c>
      <c r="AJ6" s="41">
        <f t="shared" si="10"/>
        <v>0</v>
      </c>
      <c r="AK6" s="41" t="str">
        <f t="shared" si="11"/>
        <v/>
      </c>
      <c r="AL6" s="41">
        <f t="shared" ref="AL6:AL69" si="23">$D$6*SUM(Z6:AA6,AE6:AF6)</f>
        <v>0</v>
      </c>
      <c r="AM6" s="41">
        <f t="shared" si="12"/>
        <v>0</v>
      </c>
      <c r="AN6" s="41" t="str">
        <f t="shared" si="13"/>
        <v/>
      </c>
      <c r="AO6" s="41">
        <f t="shared" si="14"/>
        <v>0</v>
      </c>
      <c r="AP6" s="45"/>
      <c r="AQ6" s="41" t="e">
        <f>AO133</f>
        <v>#REF!</v>
      </c>
      <c r="AR6" s="48"/>
      <c r="AS6" s="48"/>
      <c r="AT6" s="51">
        <f t="shared" ref="AT6:AT69" si="24">AT5+1</f>
        <v>2</v>
      </c>
      <c r="AU6" s="49" t="str">
        <f t="shared" ref="AU6:AU69" si="25">IF(I6&lt;&gt;"", AU5-AV5, "")</f>
        <v/>
      </c>
      <c r="AV6" s="49" t="str">
        <f t="shared" ref="AV6:AV69" si="26">IF(I6&lt;&gt;"", S6*AU6/1000, "")</f>
        <v/>
      </c>
      <c r="AW6" s="50">
        <f xml:space="preserve"> IF(ISERROR(ROUND((1000*NPV($AT$1,$AV7:$AV$124)-$AW$1*($AU7+NPV($AT$1,$AU8:$AU$124)))/AU7,3)), 0, ROUND((1000*NPV($AT$1,$AV7:$AV$124)-$AW$1*($AU7+NPV($AT$1,$AU8:$AU$124)))/AU7,3))</f>
        <v>0</v>
      </c>
      <c r="AX6" s="50">
        <f>IF(ISERROR(ROUND(MAX(0,1000*NPV($AT$2,$AV7:$AV$124)-$AW$2*($AU7+NPV($AT$2,$AU8:$AU$124)))/AU7,3)), 0, ROUND(MAX(0,1000*NPV($AT$2,$AV7:$AV$124)-$AW$2*($AU7+NPV($AT$2,$AU8:$AU$124)))/AU7,3))</f>
        <v>0</v>
      </c>
    </row>
    <row r="7" spans="1:51" ht="15" x14ac:dyDescent="0.25">
      <c r="A7" s="15" t="s">
        <v>2</v>
      </c>
      <c r="B7" s="15"/>
      <c r="C7" s="18"/>
      <c r="D7" s="9">
        <v>0.12</v>
      </c>
      <c r="E7" s="6"/>
      <c r="F7" s="6"/>
      <c r="G7" s="6"/>
      <c r="H7" s="37"/>
      <c r="I7" s="51"/>
      <c r="J7" s="41"/>
      <c r="K7" s="41" t="str">
        <f t="shared" ref="K7:K70" si="27">IF(J7&lt;&gt;"",J7*$C$17,"")</f>
        <v/>
      </c>
      <c r="L7" s="42" t="str">
        <f t="shared" ref="L7:L70" si="28">IF(I7&lt;&gt;"",$C$21,"")</f>
        <v/>
      </c>
      <c r="M7" s="41" t="str">
        <f t="shared" ref="M7:M70" si="29">IF(I7&lt;&gt;"",$E$11,"")</f>
        <v/>
      </c>
      <c r="N7" s="43">
        <f t="shared" si="1"/>
        <v>0</v>
      </c>
      <c r="O7" s="44">
        <f t="shared" si="2"/>
        <v>0</v>
      </c>
      <c r="P7" s="41" t="str">
        <f t="shared" si="3"/>
        <v/>
      </c>
      <c r="Q7" s="41" t="str">
        <f t="shared" si="4"/>
        <v/>
      </c>
      <c r="R7" s="44"/>
      <c r="S7" s="44" t="str">
        <f>IF(I7&lt;&gt;"",_xlfn.XLOOKUP($D$4+I6+1,A28:A147,B28:B147,0) * 1000,"")</f>
        <v/>
      </c>
      <c r="T7" s="52">
        <f>$C$11</f>
        <v>0</v>
      </c>
      <c r="U7" s="53" t="str">
        <f t="shared" si="16"/>
        <v/>
      </c>
      <c r="V7" s="53" t="str">
        <f t="shared" si="17"/>
        <v/>
      </c>
      <c r="W7" s="53" t="str">
        <f t="shared" si="18"/>
        <v/>
      </c>
      <c r="X7" s="46" t="str">
        <f t="shared" si="5"/>
        <v/>
      </c>
      <c r="Y7" s="54"/>
      <c r="Z7" s="41" t="str">
        <f t="shared" si="19"/>
        <v/>
      </c>
      <c r="AA7" s="41" t="str">
        <f t="shared" si="20"/>
        <v/>
      </c>
      <c r="AB7" s="41" t="str">
        <f t="shared" si="6"/>
        <v/>
      </c>
      <c r="AC7" s="41" t="str">
        <f t="shared" si="7"/>
        <v/>
      </c>
      <c r="AD7" s="54"/>
      <c r="AE7" s="41" t="str">
        <f t="shared" si="8"/>
        <v/>
      </c>
      <c r="AF7" s="41"/>
      <c r="AG7" s="41" t="str">
        <f t="shared" si="9"/>
        <v/>
      </c>
      <c r="AH7" s="41" t="str">
        <f t="shared" si="21"/>
        <v/>
      </c>
      <c r="AI7" s="41" t="str">
        <f t="shared" si="22"/>
        <v/>
      </c>
      <c r="AJ7" s="41">
        <f t="shared" si="10"/>
        <v>0</v>
      </c>
      <c r="AK7" s="41" t="str">
        <f t="shared" si="11"/>
        <v/>
      </c>
      <c r="AL7" s="41">
        <f t="shared" si="23"/>
        <v>0</v>
      </c>
      <c r="AM7" s="41">
        <f t="shared" si="12"/>
        <v>0</v>
      </c>
      <c r="AN7" s="41" t="str">
        <f t="shared" si="13"/>
        <v/>
      </c>
      <c r="AO7" s="41">
        <f>SUM(AM7:AN7)</f>
        <v>0</v>
      </c>
      <c r="AP7" s="45"/>
      <c r="AQ7" s="45"/>
      <c r="AR7" s="48"/>
      <c r="AS7" s="48"/>
      <c r="AT7" s="51">
        <f t="shared" si="24"/>
        <v>3</v>
      </c>
      <c r="AU7" s="49" t="str">
        <f t="shared" si="25"/>
        <v/>
      </c>
      <c r="AV7" s="49" t="str">
        <f t="shared" si="26"/>
        <v/>
      </c>
      <c r="AW7" s="50">
        <f xml:space="preserve"> IF(ISERROR(ROUND((1000*NPV($AT$1,$AV8:$AV$124)-$AW$1*($AU8+NPV($AT$1,$AU9:$AU$124)))/AU8,3)), 0, ROUND((1000*NPV($AT$1,$AV8:$AV$124)-$AW$1*($AU8+NPV($AT$1,$AU9:$AU$124)))/AU8,3))</f>
        <v>0</v>
      </c>
      <c r="AX7" s="50">
        <f>IF(ISERROR(ROUND(MAX(0,1000*NPV($AT$2,$AV8:$AV$124)-$AW$2*($AU8+NPV($AT$2,$AU9:$AU$124)))/AU8,3)), 0, ROUND(MAX(0,1000*NPV($AT$2,$AV8:$AV$124)-$AW$2*($AU8+NPV($AT$2,$AU9:$AU$124)))/AU8,3))</f>
        <v>0</v>
      </c>
    </row>
    <row r="8" spans="1:51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/>
      <c r="J8" s="41"/>
      <c r="K8" s="41" t="str">
        <f t="shared" si="27"/>
        <v/>
      </c>
      <c r="L8" s="42" t="str">
        <f t="shared" si="28"/>
        <v/>
      </c>
      <c r="M8" s="41" t="str">
        <f t="shared" si="29"/>
        <v/>
      </c>
      <c r="N8" s="43">
        <f t="shared" si="1"/>
        <v>0</v>
      </c>
      <c r="O8" s="44">
        <f t="shared" si="2"/>
        <v>0</v>
      </c>
      <c r="P8" s="41" t="str">
        <f t="shared" si="3"/>
        <v/>
      </c>
      <c r="Q8" s="41" t="str">
        <f t="shared" si="4"/>
        <v/>
      </c>
      <c r="R8" s="44"/>
      <c r="S8" s="44" t="str">
        <f t="shared" si="15"/>
        <v/>
      </c>
      <c r="T8" s="52">
        <f>$C$11</f>
        <v>0</v>
      </c>
      <c r="U8" s="53" t="str">
        <f t="shared" si="16"/>
        <v/>
      </c>
      <c r="V8" s="53" t="str">
        <f t="shared" si="17"/>
        <v/>
      </c>
      <c r="W8" s="53" t="str">
        <f t="shared" si="18"/>
        <v/>
      </c>
      <c r="X8" s="46" t="str">
        <f t="shared" si="5"/>
        <v/>
      </c>
      <c r="Y8" s="54"/>
      <c r="Z8" s="41" t="str">
        <f t="shared" si="19"/>
        <v/>
      </c>
      <c r="AA8" s="41" t="str">
        <f t="shared" si="20"/>
        <v/>
      </c>
      <c r="AB8" s="41" t="str">
        <f t="shared" si="6"/>
        <v/>
      </c>
      <c r="AC8" s="41" t="str">
        <f t="shared" si="7"/>
        <v/>
      </c>
      <c r="AD8" s="54"/>
      <c r="AE8" s="41" t="str">
        <f t="shared" si="8"/>
        <v/>
      </c>
      <c r="AF8" s="41"/>
      <c r="AG8" s="41" t="str">
        <f t="shared" si="9"/>
        <v/>
      </c>
      <c r="AH8" s="41" t="str">
        <f t="shared" si="21"/>
        <v/>
      </c>
      <c r="AI8" s="41" t="str">
        <f t="shared" si="22"/>
        <v/>
      </c>
      <c r="AJ8" s="41">
        <f t="shared" si="10"/>
        <v>0</v>
      </c>
      <c r="AK8" s="41" t="str">
        <f t="shared" si="11"/>
        <v/>
      </c>
      <c r="AL8" s="41">
        <f t="shared" si="23"/>
        <v>0</v>
      </c>
      <c r="AM8" s="41">
        <f t="shared" si="12"/>
        <v>0</v>
      </c>
      <c r="AN8" s="41" t="str">
        <f t="shared" si="13"/>
        <v/>
      </c>
      <c r="AO8" s="41">
        <f t="shared" si="14"/>
        <v>0</v>
      </c>
      <c r="AP8" s="45"/>
      <c r="AQ8" s="45"/>
      <c r="AR8" s="48"/>
      <c r="AS8" s="48"/>
      <c r="AT8" s="51">
        <f t="shared" si="24"/>
        <v>4</v>
      </c>
      <c r="AU8" s="49" t="str">
        <f t="shared" si="25"/>
        <v/>
      </c>
      <c r="AV8" s="49" t="str">
        <f t="shared" si="26"/>
        <v/>
      </c>
      <c r="AW8" s="50">
        <f xml:space="preserve"> IF(ISERROR(ROUND((1000*NPV($AT$1,$AV9:$AV$124)-$AW$1*($AU9+NPV($AT$1,$AU10:$AU$124)))/AU9,3)), 0, ROUND((1000*NPV($AT$1,$AV9:$AV$124)-$AW$1*($AU9+NPV($AT$1,$AU10:$AU$124)))/AU9,3))</f>
        <v>0</v>
      </c>
      <c r="AX8" s="50">
        <f>IF(ISERROR(ROUND(MAX(0,1000*NPV($AT$2,$AV9:$AV$124)-$AW$2*($AU9+NPV($AT$2,$AU10:$AU$124)))/AU9,3)), 0, ROUND(MAX(0,1000*NPV($AT$2,$AV9:$AV$124)-$AW$2*($AU9+NPV($AT$2,$AU10:$AU$124)))/AU9,3))</f>
        <v>0</v>
      </c>
      <c r="AY8" s="59"/>
    </row>
    <row r="9" spans="1:51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/>
      <c r="J9" s="41"/>
      <c r="K9" s="41" t="str">
        <f t="shared" si="27"/>
        <v/>
      </c>
      <c r="L9" s="42" t="str">
        <f t="shared" si="28"/>
        <v/>
      </c>
      <c r="M9" s="41" t="str">
        <f t="shared" si="29"/>
        <v/>
      </c>
      <c r="N9" s="43">
        <f t="shared" si="1"/>
        <v>0</v>
      </c>
      <c r="O9" s="44">
        <f t="shared" si="2"/>
        <v>0</v>
      </c>
      <c r="P9" s="41" t="str">
        <f t="shared" si="3"/>
        <v/>
      </c>
      <c r="Q9" s="41" t="str">
        <f t="shared" si="4"/>
        <v/>
      </c>
      <c r="R9" s="44"/>
      <c r="S9" s="44" t="str">
        <f t="shared" si="15"/>
        <v/>
      </c>
      <c r="T9" s="52">
        <f>$C$11</f>
        <v>0</v>
      </c>
      <c r="U9" s="53" t="str">
        <f t="shared" si="16"/>
        <v/>
      </c>
      <c r="V9" s="53" t="str">
        <f t="shared" si="17"/>
        <v/>
      </c>
      <c r="W9" s="53" t="str">
        <f t="shared" si="18"/>
        <v/>
      </c>
      <c r="X9" s="46" t="str">
        <f t="shared" si="5"/>
        <v/>
      </c>
      <c r="Y9" s="54"/>
      <c r="Z9" s="41" t="str">
        <f t="shared" si="19"/>
        <v/>
      </c>
      <c r="AA9" s="41" t="str">
        <f t="shared" si="20"/>
        <v/>
      </c>
      <c r="AB9" s="41" t="str">
        <f t="shared" si="6"/>
        <v/>
      </c>
      <c r="AC9" s="41" t="str">
        <f t="shared" si="7"/>
        <v/>
      </c>
      <c r="AD9" s="54"/>
      <c r="AE9" s="41" t="str">
        <f t="shared" si="8"/>
        <v/>
      </c>
      <c r="AF9" s="41"/>
      <c r="AG9" s="41" t="str">
        <f t="shared" si="9"/>
        <v/>
      </c>
      <c r="AH9" s="41" t="str">
        <f t="shared" si="21"/>
        <v/>
      </c>
      <c r="AI9" s="41" t="str">
        <f t="shared" si="22"/>
        <v/>
      </c>
      <c r="AJ9" s="41">
        <f t="shared" si="10"/>
        <v>0</v>
      </c>
      <c r="AK9" s="41" t="str">
        <f t="shared" si="11"/>
        <v/>
      </c>
      <c r="AL9" s="41">
        <f t="shared" si="23"/>
        <v>0</v>
      </c>
      <c r="AM9" s="41">
        <f t="shared" si="12"/>
        <v>0</v>
      </c>
      <c r="AN9" s="41" t="str">
        <f t="shared" si="13"/>
        <v/>
      </c>
      <c r="AO9" s="41">
        <f t="shared" si="14"/>
        <v>0</v>
      </c>
      <c r="AP9" s="45"/>
      <c r="AQ9" s="45"/>
      <c r="AR9" s="48"/>
      <c r="AS9" s="48"/>
      <c r="AT9" s="51">
        <f t="shared" si="24"/>
        <v>5</v>
      </c>
      <c r="AU9" s="49" t="str">
        <f t="shared" si="25"/>
        <v/>
      </c>
      <c r="AV9" s="49" t="str">
        <f t="shared" si="26"/>
        <v/>
      </c>
      <c r="AW9" s="50">
        <f xml:space="preserve"> IF(ISERROR(ROUND((1000*NPV($AT$1,$AV10:$AV$124)-$AW$1*($AU10+NPV($AT$1,$AU11:$AU$124)))/AU10,3)), 0, ROUND((1000*NPV($AT$1,$AV10:$AV$124)-$AW$1*($AU10+NPV($AT$1,$AU11:$AU$124)))/AU10,3))</f>
        <v>0</v>
      </c>
      <c r="AX9" s="50">
        <f>IF(ISERROR(ROUND(MAX(0,1000*NPV($AT$2,$AV10:$AV$124)-$AW$2*($AU10+NPV($AT$2,$AU11:$AU$124)))/AU10,3)), 0, ROUND(MAX(0,1000*NPV($AT$2,$AV10:$AV$124)-$AW$2*($AU10+NPV($AT$2,$AU11:$AU$124)))/AU10,3))</f>
        <v>0</v>
      </c>
    </row>
    <row r="10" spans="1:51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/>
      <c r="J10" s="41"/>
      <c r="K10" s="41" t="str">
        <f t="shared" si="27"/>
        <v/>
      </c>
      <c r="L10" s="42" t="str">
        <f t="shared" si="28"/>
        <v/>
      </c>
      <c r="M10" s="41" t="str">
        <f t="shared" si="29"/>
        <v/>
      </c>
      <c r="N10" s="43">
        <f t="shared" si="1"/>
        <v>0</v>
      </c>
      <c r="O10" s="44">
        <f t="shared" si="2"/>
        <v>0</v>
      </c>
      <c r="P10" s="41" t="str">
        <f t="shared" si="3"/>
        <v/>
      </c>
      <c r="Q10" s="41" t="str">
        <f t="shared" si="4"/>
        <v/>
      </c>
      <c r="R10" s="44"/>
      <c r="S10" s="44" t="str">
        <f t="shared" si="15"/>
        <v/>
      </c>
      <c r="T10" s="52">
        <f>$C$12</f>
        <v>0</v>
      </c>
      <c r="U10" s="53" t="str">
        <f t="shared" si="16"/>
        <v/>
      </c>
      <c r="V10" s="53" t="str">
        <f t="shared" si="17"/>
        <v/>
      </c>
      <c r="W10" s="53" t="str">
        <f t="shared" si="18"/>
        <v/>
      </c>
      <c r="X10" s="46" t="str">
        <f t="shared" si="5"/>
        <v/>
      </c>
      <c r="Y10" s="54"/>
      <c r="Z10" s="41" t="str">
        <f t="shared" si="19"/>
        <v/>
      </c>
      <c r="AA10" s="41" t="str">
        <f t="shared" si="20"/>
        <v/>
      </c>
      <c r="AB10" s="41" t="str">
        <f t="shared" si="6"/>
        <v/>
      </c>
      <c r="AC10" s="41" t="str">
        <f t="shared" si="7"/>
        <v/>
      </c>
      <c r="AD10" s="54"/>
      <c r="AE10" s="41" t="str">
        <f t="shared" si="8"/>
        <v/>
      </c>
      <c r="AF10" s="41"/>
      <c r="AG10" s="41" t="str">
        <f t="shared" si="9"/>
        <v/>
      </c>
      <c r="AH10" s="41" t="str">
        <f t="shared" si="21"/>
        <v/>
      </c>
      <c r="AI10" s="41" t="str">
        <f t="shared" si="22"/>
        <v/>
      </c>
      <c r="AJ10" s="41">
        <f t="shared" si="10"/>
        <v>0</v>
      </c>
      <c r="AK10" s="41" t="str">
        <f t="shared" si="11"/>
        <v/>
      </c>
      <c r="AL10" s="41">
        <f t="shared" si="23"/>
        <v>0</v>
      </c>
      <c r="AM10" s="41">
        <f t="shared" si="12"/>
        <v>0</v>
      </c>
      <c r="AN10" s="41" t="str">
        <f t="shared" si="13"/>
        <v/>
      </c>
      <c r="AO10" s="41">
        <f t="shared" si="14"/>
        <v>0</v>
      </c>
      <c r="AP10" s="45"/>
      <c r="AQ10" s="45"/>
      <c r="AR10" s="48"/>
      <c r="AS10" s="48"/>
      <c r="AT10" s="51">
        <f t="shared" si="24"/>
        <v>6</v>
      </c>
      <c r="AU10" s="49" t="str">
        <f t="shared" si="25"/>
        <v/>
      </c>
      <c r="AV10" s="49" t="str">
        <f t="shared" si="26"/>
        <v/>
      </c>
      <c r="AW10" s="50">
        <f xml:space="preserve"> IF(ISERROR(ROUND((1000*NPV($AT$1,$AV11:$AV$124)-$AW$1*($AU11+NPV($AT$1,$AU12:$AU$124)))/AU11,3)), 0, ROUND((1000*NPV($AT$1,$AV11:$AV$124)-$AW$1*($AU11+NPV($AT$1,$AU12:$AU$124)))/AU11,3))</f>
        <v>0</v>
      </c>
      <c r="AX10" s="50">
        <f>IF(ISERROR(ROUND(MAX(0,1000*NPV($AT$2,$AV11:$AV$124)-$AW$2*($AU11+NPV($AT$2,$AU12:$AU$124)))/AU11,3)), 0, ROUND(MAX(0,1000*NPV($AT$2,$AV11:$AV$124)-$AW$2*($AU11+NPV($AT$2,$AU12:$AU$124)))/AU11,3))</f>
        <v>0</v>
      </c>
    </row>
    <row r="11" spans="1:51" ht="15" x14ac:dyDescent="0.25">
      <c r="A11" s="12"/>
      <c r="B11" s="14" t="s">
        <v>6</v>
      </c>
      <c r="C11" s="17">
        <v>0</v>
      </c>
      <c r="D11" s="1"/>
      <c r="E11" s="22">
        <v>50000</v>
      </c>
      <c r="F11" s="19"/>
      <c r="G11" s="1"/>
      <c r="H11" s="1"/>
      <c r="I11" s="51"/>
      <c r="J11" s="41"/>
      <c r="K11" s="41" t="str">
        <f t="shared" si="27"/>
        <v/>
      </c>
      <c r="L11" s="42" t="str">
        <f t="shared" si="28"/>
        <v/>
      </c>
      <c r="M11" s="41" t="str">
        <f t="shared" si="29"/>
        <v/>
      </c>
      <c r="N11" s="43">
        <f t="shared" si="1"/>
        <v>0</v>
      </c>
      <c r="O11" s="44">
        <f t="shared" si="2"/>
        <v>0</v>
      </c>
      <c r="P11" s="41" t="str">
        <f t="shared" si="3"/>
        <v/>
      </c>
      <c r="Q11" s="41" t="str">
        <f t="shared" si="4"/>
        <v/>
      </c>
      <c r="R11" s="44"/>
      <c r="S11" s="44" t="str">
        <f t="shared" si="15"/>
        <v/>
      </c>
      <c r="T11" s="52">
        <f>$C$12</f>
        <v>0</v>
      </c>
      <c r="U11" s="53" t="str">
        <f t="shared" si="16"/>
        <v/>
      </c>
      <c r="V11" s="53" t="str">
        <f t="shared" si="17"/>
        <v/>
      </c>
      <c r="W11" s="53" t="str">
        <f t="shared" si="18"/>
        <v/>
      </c>
      <c r="X11" s="46" t="str">
        <f t="shared" si="5"/>
        <v/>
      </c>
      <c r="Y11" s="54"/>
      <c r="Z11" s="41" t="str">
        <f t="shared" si="19"/>
        <v/>
      </c>
      <c r="AA11" s="41" t="str">
        <f t="shared" si="20"/>
        <v/>
      </c>
      <c r="AB11" s="41" t="str">
        <f t="shared" si="6"/>
        <v/>
      </c>
      <c r="AC11" s="41" t="str">
        <f t="shared" si="7"/>
        <v/>
      </c>
      <c r="AD11" s="54"/>
      <c r="AE11" s="41" t="str">
        <f t="shared" si="8"/>
        <v/>
      </c>
      <c r="AF11" s="41"/>
      <c r="AG11" s="41" t="str">
        <f t="shared" si="9"/>
        <v/>
      </c>
      <c r="AH11" s="41" t="str">
        <f t="shared" si="21"/>
        <v/>
      </c>
      <c r="AI11" s="41" t="str">
        <f t="shared" si="22"/>
        <v/>
      </c>
      <c r="AJ11" s="41">
        <f t="shared" si="10"/>
        <v>0</v>
      </c>
      <c r="AK11" s="41" t="str">
        <f t="shared" si="11"/>
        <v/>
      </c>
      <c r="AL11" s="41">
        <f t="shared" si="23"/>
        <v>0</v>
      </c>
      <c r="AM11" s="41">
        <f t="shared" si="12"/>
        <v>0</v>
      </c>
      <c r="AN11" s="41" t="str">
        <f t="shared" si="13"/>
        <v/>
      </c>
      <c r="AO11" s="41">
        <f t="shared" si="14"/>
        <v>0</v>
      </c>
      <c r="AP11" s="45"/>
      <c r="AQ11" s="45"/>
      <c r="AR11" s="48"/>
      <c r="AS11" s="48"/>
      <c r="AT11" s="51">
        <f t="shared" si="24"/>
        <v>7</v>
      </c>
      <c r="AU11" s="49" t="str">
        <f t="shared" si="25"/>
        <v/>
      </c>
      <c r="AV11" s="49" t="str">
        <f t="shared" si="26"/>
        <v/>
      </c>
      <c r="AW11" s="50">
        <f xml:space="preserve"> IF(ISERROR(ROUND((1000*NPV($AT$1,$AV12:$AV$124)-$AW$1*($AU12+NPV($AT$1,$AU13:$AU$124)))/AU12,3)), 0, ROUND((1000*NPV($AT$1,$AV12:$AV$124)-$AW$1*($AU12+NPV($AT$1,$AU13:$AU$124)))/AU12,3))</f>
        <v>0</v>
      </c>
      <c r="AX11" s="50">
        <f>IF(ISERROR(ROUND(MAX(0,1000*NPV($AT$2,$AV12:$AV$124)-$AW$2*($AU12+NPV($AT$2,$AU13:$AU$124)))/AU12,3)), 0, ROUND(MAX(0,1000*NPV($AT$2,$AV12:$AV$124)-$AW$2*($AU12+NPV($AT$2,$AU13:$AU$124)))/AU12,3))</f>
        <v>0</v>
      </c>
    </row>
    <row r="12" spans="1:51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/>
      <c r="J12" s="41"/>
      <c r="K12" s="41" t="str">
        <f t="shared" si="27"/>
        <v/>
      </c>
      <c r="L12" s="42" t="str">
        <f t="shared" si="28"/>
        <v/>
      </c>
      <c r="M12" s="41" t="str">
        <f t="shared" si="29"/>
        <v/>
      </c>
      <c r="N12" s="43">
        <f>AX12</f>
        <v>0</v>
      </c>
      <c r="O12" s="44">
        <f t="shared" si="2"/>
        <v>0</v>
      </c>
      <c r="P12" s="41" t="str">
        <f t="shared" si="3"/>
        <v/>
      </c>
      <c r="Q12" s="41" t="str">
        <f t="shared" si="4"/>
        <v/>
      </c>
      <c r="R12" s="44"/>
      <c r="S12" s="44" t="str">
        <f t="shared" si="15"/>
        <v/>
      </c>
      <c r="T12" s="52">
        <f>$C$12</f>
        <v>0</v>
      </c>
      <c r="U12" s="53" t="str">
        <f t="shared" si="16"/>
        <v/>
      </c>
      <c r="V12" s="53" t="str">
        <f t="shared" si="17"/>
        <v/>
      </c>
      <c r="W12" s="53" t="str">
        <f t="shared" si="18"/>
        <v/>
      </c>
      <c r="X12" s="46" t="str">
        <f t="shared" si="5"/>
        <v/>
      </c>
      <c r="Y12" s="54"/>
      <c r="Z12" s="41" t="str">
        <f t="shared" si="19"/>
        <v/>
      </c>
      <c r="AA12" s="41" t="str">
        <f t="shared" si="20"/>
        <v/>
      </c>
      <c r="AB12" s="41" t="str">
        <f t="shared" si="6"/>
        <v/>
      </c>
      <c r="AC12" s="41" t="str">
        <f t="shared" si="7"/>
        <v/>
      </c>
      <c r="AD12" s="54"/>
      <c r="AE12" s="41" t="str">
        <f t="shared" si="8"/>
        <v/>
      </c>
      <c r="AF12" s="41"/>
      <c r="AG12" s="41" t="str">
        <f t="shared" si="9"/>
        <v/>
      </c>
      <c r="AH12" s="41" t="str">
        <f t="shared" si="21"/>
        <v/>
      </c>
      <c r="AI12" s="41" t="str">
        <f t="shared" si="22"/>
        <v/>
      </c>
      <c r="AJ12" s="41">
        <f t="shared" si="10"/>
        <v>0</v>
      </c>
      <c r="AK12" s="41" t="str">
        <f t="shared" si="11"/>
        <v/>
      </c>
      <c r="AL12" s="41">
        <f t="shared" si="23"/>
        <v>0</v>
      </c>
      <c r="AM12" s="41">
        <f t="shared" si="12"/>
        <v>0</v>
      </c>
      <c r="AN12" s="41" t="str">
        <f t="shared" si="13"/>
        <v/>
      </c>
      <c r="AO12" s="41">
        <f t="shared" si="14"/>
        <v>0</v>
      </c>
      <c r="AP12" s="45"/>
      <c r="AQ12" s="45"/>
      <c r="AR12" s="48"/>
      <c r="AS12" s="48"/>
      <c r="AT12" s="51">
        <f t="shared" si="24"/>
        <v>8</v>
      </c>
      <c r="AU12" s="49" t="str">
        <f t="shared" si="25"/>
        <v/>
      </c>
      <c r="AV12" s="49" t="str">
        <f t="shared" si="26"/>
        <v/>
      </c>
      <c r="AW12" s="50">
        <f xml:space="preserve"> IF(ISERROR(ROUND((1000*NPV($AT$1,$AV13:$AV$124)-$AW$1*($AU13+NPV($AT$1,$AU14:$AU$124)))/AU13,3)), 0, ROUND((1000*NPV($AT$1,$AV13:$AV$124)-$AW$1*($AU13+NPV($AT$1,$AU14:$AU$124)))/AU13,3))</f>
        <v>0</v>
      </c>
      <c r="AX12" s="50">
        <f>IF(ISERROR(ROUND(MAX(0,1000*NPV($AT$2,$AV13:$AV$124)-$AW$2*($AU13+NPV($AT$2,$AU14:$AU$124)))/AU13,3)), 0, ROUND(MAX(0,1000*NPV($AT$2,$AV13:$AV$124)-$AW$2*($AU13+NPV($AT$2,$AU14:$AU$124)))/AU13,3))</f>
        <v>0</v>
      </c>
    </row>
    <row r="13" spans="1:51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/>
      <c r="J13" s="41"/>
      <c r="K13" s="41" t="str">
        <f t="shared" si="27"/>
        <v/>
      </c>
      <c r="L13" s="42" t="str">
        <f t="shared" si="28"/>
        <v/>
      </c>
      <c r="M13" s="41" t="str">
        <f t="shared" si="29"/>
        <v/>
      </c>
      <c r="N13" s="43">
        <f t="shared" si="1"/>
        <v>0</v>
      </c>
      <c r="O13" s="44">
        <f t="shared" si="2"/>
        <v>0</v>
      </c>
      <c r="P13" s="41" t="str">
        <f t="shared" si="3"/>
        <v/>
      </c>
      <c r="Q13" s="41" t="str">
        <f t="shared" si="4"/>
        <v/>
      </c>
      <c r="R13" s="44"/>
      <c r="S13" s="44" t="str">
        <f t="shared" si="15"/>
        <v/>
      </c>
      <c r="T13" s="52">
        <f>$C$12</f>
        <v>0</v>
      </c>
      <c r="U13" s="53" t="str">
        <f t="shared" si="16"/>
        <v/>
      </c>
      <c r="V13" s="53" t="str">
        <f t="shared" si="17"/>
        <v/>
      </c>
      <c r="W13" s="53" t="str">
        <f t="shared" si="18"/>
        <v/>
      </c>
      <c r="X13" s="46" t="str">
        <f t="shared" si="5"/>
        <v/>
      </c>
      <c r="Y13" s="54"/>
      <c r="Z13" s="41" t="str">
        <f t="shared" si="19"/>
        <v/>
      </c>
      <c r="AA13" s="41" t="str">
        <f t="shared" si="20"/>
        <v/>
      </c>
      <c r="AB13" s="41" t="str">
        <f t="shared" si="6"/>
        <v/>
      </c>
      <c r="AC13" s="41" t="str">
        <f t="shared" si="7"/>
        <v/>
      </c>
      <c r="AD13" s="54"/>
      <c r="AE13" s="41" t="str">
        <f t="shared" si="8"/>
        <v/>
      </c>
      <c r="AF13" s="41"/>
      <c r="AG13" s="41" t="str">
        <f t="shared" si="9"/>
        <v/>
      </c>
      <c r="AH13" s="41" t="str">
        <f t="shared" si="21"/>
        <v/>
      </c>
      <c r="AI13" s="41" t="str">
        <f t="shared" si="22"/>
        <v/>
      </c>
      <c r="AJ13" s="41">
        <f t="shared" si="10"/>
        <v>0</v>
      </c>
      <c r="AK13" s="41" t="str">
        <f t="shared" si="11"/>
        <v/>
      </c>
      <c r="AL13" s="41">
        <f t="shared" si="23"/>
        <v>0</v>
      </c>
      <c r="AM13" s="41">
        <f t="shared" si="12"/>
        <v>0</v>
      </c>
      <c r="AN13" s="41" t="str">
        <f t="shared" si="13"/>
        <v/>
      </c>
      <c r="AO13" s="41">
        <f t="shared" si="14"/>
        <v>0</v>
      </c>
      <c r="AP13" s="45"/>
      <c r="AQ13" s="45"/>
      <c r="AR13" s="48"/>
      <c r="AS13" s="48"/>
      <c r="AT13" s="51">
        <f t="shared" si="24"/>
        <v>9</v>
      </c>
      <c r="AU13" s="49" t="str">
        <f t="shared" si="25"/>
        <v/>
      </c>
      <c r="AV13" s="49" t="str">
        <f t="shared" si="26"/>
        <v/>
      </c>
      <c r="AW13" s="50">
        <f xml:space="preserve"> IF(ISERROR(ROUND((1000*NPV($AT$1,$AV14:$AV$124)-$AW$1*($AU14+NPV($AT$1,$AU15:$AU$124)))/AU14,3)), 0, ROUND((1000*NPV($AT$1,$AV14:$AV$124)-$AW$1*($AU14+NPV($AT$1,$AU15:$AU$124)))/AU14,3))</f>
        <v>0</v>
      </c>
      <c r="AX13" s="50">
        <f>IF(ISERROR(ROUND(MAX(0,1000*NPV($AT$2,$AV14:$AV$124)-$AW$2*($AU14+NPV($AT$2,$AU15:$AU$124)))/AU14,3)), 0, ROUND(MAX(0,1000*NPV($AT$2,$AV14:$AV$124)-$AW$2*($AU14+NPV($AT$2,$AU15:$AU$124)))/AU14,3))</f>
        <v>0</v>
      </c>
    </row>
    <row r="14" spans="1:51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/>
      <c r="J14" s="41"/>
      <c r="K14" s="41" t="str">
        <f t="shared" si="27"/>
        <v/>
      </c>
      <c r="L14" s="42" t="str">
        <f t="shared" si="28"/>
        <v/>
      </c>
      <c r="M14" s="41" t="str">
        <f t="shared" si="29"/>
        <v/>
      </c>
      <c r="N14" s="43">
        <f t="shared" si="1"/>
        <v>0</v>
      </c>
      <c r="O14" s="44">
        <f t="shared" si="2"/>
        <v>0</v>
      </c>
      <c r="P14" s="41" t="str">
        <f t="shared" si="3"/>
        <v/>
      </c>
      <c r="Q14" s="41" t="str">
        <f t="shared" si="4"/>
        <v/>
      </c>
      <c r="R14" s="44"/>
      <c r="S14" s="44" t="str">
        <f t="shared" si="15"/>
        <v/>
      </c>
      <c r="T14" s="52">
        <f>$C$12</f>
        <v>0</v>
      </c>
      <c r="U14" s="53" t="str">
        <f t="shared" si="16"/>
        <v/>
      </c>
      <c r="V14" s="53" t="str">
        <f t="shared" si="17"/>
        <v/>
      </c>
      <c r="W14" s="53" t="str">
        <f t="shared" si="18"/>
        <v/>
      </c>
      <c r="X14" s="46" t="str">
        <f t="shared" si="5"/>
        <v/>
      </c>
      <c r="Y14" s="54"/>
      <c r="Z14" s="41" t="str">
        <f t="shared" si="19"/>
        <v/>
      </c>
      <c r="AA14" s="41" t="str">
        <f t="shared" si="20"/>
        <v/>
      </c>
      <c r="AB14" s="41" t="str">
        <f t="shared" si="6"/>
        <v/>
      </c>
      <c r="AC14" s="41" t="str">
        <f t="shared" si="7"/>
        <v/>
      </c>
      <c r="AD14" s="54"/>
      <c r="AE14" s="41" t="str">
        <f t="shared" si="8"/>
        <v/>
      </c>
      <c r="AF14" s="41"/>
      <c r="AG14" s="41" t="str">
        <f t="shared" si="9"/>
        <v/>
      </c>
      <c r="AH14" s="41" t="str">
        <f t="shared" si="21"/>
        <v/>
      </c>
      <c r="AI14" s="41" t="str">
        <f t="shared" si="22"/>
        <v/>
      </c>
      <c r="AJ14" s="41">
        <f t="shared" si="10"/>
        <v>0</v>
      </c>
      <c r="AK14" s="41" t="str">
        <f t="shared" si="11"/>
        <v/>
      </c>
      <c r="AL14" s="41">
        <f t="shared" si="23"/>
        <v>0</v>
      </c>
      <c r="AM14" s="41">
        <f t="shared" si="12"/>
        <v>0</v>
      </c>
      <c r="AN14" s="41" t="str">
        <f t="shared" si="13"/>
        <v/>
      </c>
      <c r="AO14" s="41">
        <f t="shared" si="14"/>
        <v>0</v>
      </c>
      <c r="AP14" s="45"/>
      <c r="AQ14" s="45"/>
      <c r="AR14" s="48"/>
      <c r="AS14" s="48"/>
      <c r="AT14" s="51">
        <f t="shared" si="24"/>
        <v>10</v>
      </c>
      <c r="AU14" s="49" t="str">
        <f t="shared" si="25"/>
        <v/>
      </c>
      <c r="AV14" s="49" t="str">
        <f t="shared" si="26"/>
        <v/>
      </c>
      <c r="AW14" s="50">
        <f xml:space="preserve"> IF(ISERROR(ROUND((1000*NPV($AT$1,$AV15:$AV$124)-$AW$1*($AU15+NPV($AT$1,$AU16:$AU$124)))/AU15,3)), 0, ROUND((1000*NPV($AT$1,$AV15:$AV$124)-$AW$1*($AU15+NPV($AT$1,$AU16:$AU$124)))/AU15,3))</f>
        <v>0</v>
      </c>
      <c r="AX14" s="50">
        <f>IF(ISERROR(ROUND(MAX(0,1000*NPV($AT$2,$AV15:$AV$124)-$AW$2*($AU15+NPV($AT$2,$AU16:$AU$124)))/AU15,3)), 0, ROUND(MAX(0,1000*NPV($AT$2,$AV15:$AV$124)-$AW$2*($AU15+NPV($AT$2,$AU16:$AU$124)))/AU15,3))</f>
        <v>0</v>
      </c>
    </row>
    <row r="15" spans="1:51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/>
      <c r="J15" s="41"/>
      <c r="K15" s="41" t="str">
        <f t="shared" si="27"/>
        <v/>
      </c>
      <c r="L15" s="42" t="str">
        <f t="shared" si="28"/>
        <v/>
      </c>
      <c r="M15" s="41" t="str">
        <f t="shared" si="29"/>
        <v/>
      </c>
      <c r="N15" s="43">
        <f t="shared" si="1"/>
        <v>0</v>
      </c>
      <c r="O15" s="44">
        <f t="shared" si="2"/>
        <v>0</v>
      </c>
      <c r="P15" s="41" t="str">
        <f t="shared" si="3"/>
        <v/>
      </c>
      <c r="Q15" s="41" t="str">
        <f t="shared" si="4"/>
        <v/>
      </c>
      <c r="R15" s="44"/>
      <c r="S15" s="44" t="str">
        <f t="shared" si="15"/>
        <v/>
      </c>
      <c r="T15" s="52">
        <f>$C$13</f>
        <v>0</v>
      </c>
      <c r="U15" s="53" t="str">
        <f t="shared" si="16"/>
        <v/>
      </c>
      <c r="V15" s="53" t="str">
        <f t="shared" si="17"/>
        <v/>
      </c>
      <c r="W15" s="53" t="str">
        <f t="shared" si="18"/>
        <v/>
      </c>
      <c r="X15" s="46" t="str">
        <f t="shared" si="5"/>
        <v/>
      </c>
      <c r="Y15" s="54"/>
      <c r="Z15" s="41" t="str">
        <f t="shared" si="19"/>
        <v/>
      </c>
      <c r="AA15" s="41" t="str">
        <f t="shared" si="20"/>
        <v/>
      </c>
      <c r="AB15" s="41" t="str">
        <f t="shared" si="6"/>
        <v/>
      </c>
      <c r="AC15" s="41" t="str">
        <f t="shared" si="7"/>
        <v/>
      </c>
      <c r="AD15" s="54"/>
      <c r="AE15" s="41" t="str">
        <f t="shared" si="8"/>
        <v/>
      </c>
      <c r="AF15" s="41"/>
      <c r="AG15" s="41" t="str">
        <f t="shared" si="9"/>
        <v/>
      </c>
      <c r="AH15" s="41" t="str">
        <f t="shared" si="21"/>
        <v/>
      </c>
      <c r="AI15" s="41" t="str">
        <f t="shared" si="22"/>
        <v/>
      </c>
      <c r="AJ15" s="41">
        <f t="shared" si="10"/>
        <v>0</v>
      </c>
      <c r="AK15" s="41" t="str">
        <f t="shared" si="11"/>
        <v/>
      </c>
      <c r="AL15" s="41">
        <f t="shared" si="23"/>
        <v>0</v>
      </c>
      <c r="AM15" s="41">
        <f t="shared" si="12"/>
        <v>0</v>
      </c>
      <c r="AN15" s="41" t="str">
        <f t="shared" si="13"/>
        <v/>
      </c>
      <c r="AO15" s="41">
        <f t="shared" si="14"/>
        <v>0</v>
      </c>
      <c r="AP15" s="45"/>
      <c r="AQ15" s="45"/>
      <c r="AR15" s="48"/>
      <c r="AS15" s="48"/>
      <c r="AT15" s="51">
        <f t="shared" si="24"/>
        <v>11</v>
      </c>
      <c r="AU15" s="49" t="str">
        <f t="shared" si="25"/>
        <v/>
      </c>
      <c r="AV15" s="49" t="str">
        <f t="shared" si="26"/>
        <v/>
      </c>
      <c r="AW15" s="50">
        <f xml:space="preserve"> IF(ISERROR(ROUND((1000*NPV($AT$1,$AV16:$AV$124)-$AW$1*($AU16+NPV($AT$1,$AU17:$AU$124)))/AU16,3)), 0, ROUND((1000*NPV($AT$1,$AV16:$AV$124)-$AW$1*($AU16+NPV($AT$1,$AU17:$AU$124)))/AU16,3))</f>
        <v>0</v>
      </c>
      <c r="AX15" s="50">
        <f>IF(ISERROR(ROUND(MAX(0,1000*NPV($AT$2,$AV16:$AV$124)-$AW$2*($AU16+NPV($AT$2,$AU17:$AU$124)))/AU16,3)), 0, ROUND(MAX(0,1000*NPV($AT$2,$AV16:$AV$124)-$AW$2*($AU16+NPV($AT$2,$AU17:$AU$124)))/AU16,3))</f>
        <v>0</v>
      </c>
    </row>
    <row r="16" spans="1:51" ht="15" x14ac:dyDescent="0.25">
      <c r="A16" s="15"/>
      <c r="B16" s="19">
        <v>1</v>
      </c>
      <c r="C16" s="18">
        <v>0.3</v>
      </c>
      <c r="D16" s="1"/>
      <c r="E16" s="1" t="s">
        <v>72</v>
      </c>
      <c r="F16" s="1">
        <v>0.1</v>
      </c>
      <c r="G16" s="5"/>
      <c r="H16" s="1"/>
      <c r="I16" s="51"/>
      <c r="J16" s="41"/>
      <c r="K16" s="41" t="str">
        <f t="shared" si="27"/>
        <v/>
      </c>
      <c r="L16" s="42" t="str">
        <f t="shared" si="28"/>
        <v/>
      </c>
      <c r="M16" s="41" t="str">
        <f t="shared" si="29"/>
        <v/>
      </c>
      <c r="N16" s="43">
        <f t="shared" si="1"/>
        <v>0</v>
      </c>
      <c r="O16" s="44">
        <f t="shared" si="2"/>
        <v>0</v>
      </c>
      <c r="P16" s="41" t="str">
        <f t="shared" si="3"/>
        <v/>
      </c>
      <c r="Q16" s="41" t="str">
        <f t="shared" si="4"/>
        <v/>
      </c>
      <c r="R16" s="44"/>
      <c r="S16" s="44" t="str">
        <f t="shared" si="15"/>
        <v/>
      </c>
      <c r="T16" s="52">
        <f t="shared" ref="T16:T80" si="30">$C$13</f>
        <v>0</v>
      </c>
      <c r="U16" s="53" t="str">
        <f t="shared" si="16"/>
        <v/>
      </c>
      <c r="V16" s="53" t="str">
        <f t="shared" si="17"/>
        <v/>
      </c>
      <c r="W16" s="53" t="str">
        <f t="shared" si="18"/>
        <v/>
      </c>
      <c r="X16" s="46" t="str">
        <f t="shared" si="5"/>
        <v/>
      </c>
      <c r="Y16" s="54"/>
      <c r="Z16" s="41" t="str">
        <f t="shared" si="19"/>
        <v/>
      </c>
      <c r="AA16" s="41" t="str">
        <f t="shared" si="20"/>
        <v/>
      </c>
      <c r="AB16" s="41" t="str">
        <f t="shared" si="6"/>
        <v/>
      </c>
      <c r="AC16" s="41" t="str">
        <f t="shared" si="7"/>
        <v/>
      </c>
      <c r="AD16" s="54"/>
      <c r="AE16" s="41" t="str">
        <f t="shared" si="8"/>
        <v/>
      </c>
      <c r="AF16" s="41"/>
      <c r="AG16" s="41" t="str">
        <f t="shared" si="9"/>
        <v/>
      </c>
      <c r="AH16" s="41" t="str">
        <f t="shared" si="21"/>
        <v/>
      </c>
      <c r="AI16" s="41" t="str">
        <f t="shared" si="22"/>
        <v/>
      </c>
      <c r="AJ16" s="41">
        <f t="shared" si="10"/>
        <v>0</v>
      </c>
      <c r="AK16" s="41" t="str">
        <f t="shared" si="11"/>
        <v/>
      </c>
      <c r="AL16" s="41">
        <f t="shared" si="23"/>
        <v>0</v>
      </c>
      <c r="AM16" s="41">
        <f t="shared" si="12"/>
        <v>0</v>
      </c>
      <c r="AN16" s="41" t="str">
        <f t="shared" si="13"/>
        <v/>
      </c>
      <c r="AO16" s="41">
        <f t="shared" si="14"/>
        <v>0</v>
      </c>
      <c r="AP16" s="45"/>
      <c r="AQ16" s="45"/>
      <c r="AR16" s="48"/>
      <c r="AS16" s="48"/>
      <c r="AT16" s="51">
        <f t="shared" si="24"/>
        <v>12</v>
      </c>
      <c r="AU16" s="49" t="str">
        <f t="shared" si="25"/>
        <v/>
      </c>
      <c r="AV16" s="49" t="str">
        <f t="shared" si="26"/>
        <v/>
      </c>
      <c r="AW16" s="50">
        <f xml:space="preserve"> IF(ISERROR(ROUND((1000*NPV($AT$1,$AV17:$AV$124)-$AW$1*($AU17+NPV($AT$1,$AU18:$AU$124)))/AU17,3)), 0, ROUND((1000*NPV($AT$1,$AV17:$AV$124)-$AW$1*($AU17+NPV($AT$1,$AU18:$AU$124)))/AU17,3))</f>
        <v>0</v>
      </c>
      <c r="AX16" s="50">
        <f>IF(ISERROR(ROUND(MAX(0,1000*NPV($AT$2,$AV17:$AV$124)-$AW$2*($AU17+NPV($AT$2,$AU18:$AU$124)))/AU17,3)), 0, ROUND(MAX(0,1000*NPV($AT$2,$AV17:$AV$124)-$AW$2*($AU17+NPV($AT$2,$AU18:$AU$124)))/AU17,3))</f>
        <v>0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/>
      <c r="J17" s="41"/>
      <c r="K17" s="41" t="str">
        <f t="shared" si="27"/>
        <v/>
      </c>
      <c r="L17" s="42" t="str">
        <f t="shared" si="28"/>
        <v/>
      </c>
      <c r="M17" s="41" t="str">
        <f t="shared" si="29"/>
        <v/>
      </c>
      <c r="N17" s="43">
        <f t="shared" si="1"/>
        <v>0</v>
      </c>
      <c r="O17" s="44">
        <f t="shared" si="2"/>
        <v>0</v>
      </c>
      <c r="P17" s="41" t="str">
        <f t="shared" si="3"/>
        <v/>
      </c>
      <c r="Q17" s="41" t="str">
        <f t="shared" si="4"/>
        <v/>
      </c>
      <c r="R17" s="44"/>
      <c r="S17" s="44" t="str">
        <f t="shared" si="15"/>
        <v/>
      </c>
      <c r="T17" s="52">
        <f t="shared" si="30"/>
        <v>0</v>
      </c>
      <c r="U17" s="53" t="str">
        <f t="shared" si="16"/>
        <v/>
      </c>
      <c r="V17" s="53" t="str">
        <f t="shared" si="17"/>
        <v/>
      </c>
      <c r="W17" s="53" t="str">
        <f t="shared" si="18"/>
        <v/>
      </c>
      <c r="X17" s="46" t="str">
        <f t="shared" si="5"/>
        <v/>
      </c>
      <c r="Y17" s="54"/>
      <c r="Z17" s="41" t="str">
        <f t="shared" si="19"/>
        <v/>
      </c>
      <c r="AA17" s="41" t="str">
        <f t="shared" si="20"/>
        <v/>
      </c>
      <c r="AB17" s="41" t="str">
        <f t="shared" si="6"/>
        <v/>
      </c>
      <c r="AC17" s="41" t="str">
        <f t="shared" si="7"/>
        <v/>
      </c>
      <c r="AD17" s="54"/>
      <c r="AE17" s="41" t="str">
        <f t="shared" si="8"/>
        <v/>
      </c>
      <c r="AF17" s="41"/>
      <c r="AG17" s="41" t="str">
        <f t="shared" si="9"/>
        <v/>
      </c>
      <c r="AH17" s="41" t="str">
        <f t="shared" si="21"/>
        <v/>
      </c>
      <c r="AI17" s="41" t="str">
        <f t="shared" si="22"/>
        <v/>
      </c>
      <c r="AJ17" s="41">
        <f t="shared" si="10"/>
        <v>0</v>
      </c>
      <c r="AK17" s="41" t="str">
        <f t="shared" si="11"/>
        <v/>
      </c>
      <c r="AL17" s="41">
        <f t="shared" si="23"/>
        <v>0</v>
      </c>
      <c r="AM17" s="41">
        <f t="shared" si="12"/>
        <v>0</v>
      </c>
      <c r="AN17" s="41" t="str">
        <f t="shared" si="13"/>
        <v/>
      </c>
      <c r="AO17" s="41">
        <f t="shared" si="14"/>
        <v>0</v>
      </c>
      <c r="AP17" s="45"/>
      <c r="AQ17" s="45"/>
      <c r="AR17" s="48"/>
      <c r="AS17" s="48"/>
      <c r="AT17" s="51">
        <f t="shared" si="24"/>
        <v>13</v>
      </c>
      <c r="AU17" s="49" t="str">
        <f t="shared" si="25"/>
        <v/>
      </c>
      <c r="AV17" s="49" t="str">
        <f t="shared" si="26"/>
        <v/>
      </c>
      <c r="AW17" s="50">
        <f xml:space="preserve"> IF(ISERROR(ROUND((1000*NPV($AT$1,$AV18:$AV$124)-$AW$1*($AU18+NPV($AT$1,$AU19:$AU$124)))/AU18,3)), 0, ROUND((1000*NPV($AT$1,$AV18:$AV$124)-$AW$1*($AU18+NPV($AT$1,$AU19:$AU$124)))/AU18,3))</f>
        <v>0</v>
      </c>
      <c r="AX17" s="50">
        <f>IF(ISERROR(ROUND(MAX(0,1000*NPV($AT$2,$AV18:$AV$124)-$AW$2*($AU18+NPV($AT$2,$AU19:$AU$124)))/AU18,3)), 0, ROUND(MAX(0,1000*NPV($AT$2,$AV18:$AV$124)-$AW$2*($AU18+NPV($AT$2,$AU19:$AU$124)))/AU18,3))</f>
        <v>0</v>
      </c>
    </row>
    <row r="18" spans="1:50" ht="15" x14ac:dyDescent="0.25">
      <c r="A18" s="12" t="s">
        <v>10</v>
      </c>
      <c r="B18" s="14"/>
      <c r="C18" s="3"/>
      <c r="D18" s="1"/>
      <c r="E18" s="1"/>
      <c r="F18" s="1"/>
      <c r="G18" s="1"/>
      <c r="H18" s="1"/>
      <c r="I18" s="51"/>
      <c r="J18" s="41"/>
      <c r="K18" s="41" t="str">
        <f t="shared" si="27"/>
        <v/>
      </c>
      <c r="L18" s="42" t="str">
        <f t="shared" si="28"/>
        <v/>
      </c>
      <c r="M18" s="41" t="str">
        <f t="shared" si="29"/>
        <v/>
      </c>
      <c r="N18" s="43">
        <f t="shared" si="1"/>
        <v>0</v>
      </c>
      <c r="O18" s="44">
        <f t="shared" si="2"/>
        <v>0</v>
      </c>
      <c r="P18" s="41" t="str">
        <f t="shared" si="3"/>
        <v/>
      </c>
      <c r="Q18" s="41" t="str">
        <f t="shared" si="4"/>
        <v/>
      </c>
      <c r="R18" s="44"/>
      <c r="S18" s="44" t="str">
        <f t="shared" si="15"/>
        <v/>
      </c>
      <c r="T18" s="52">
        <f t="shared" si="30"/>
        <v>0</v>
      </c>
      <c r="U18" s="53" t="str">
        <f t="shared" si="16"/>
        <v/>
      </c>
      <c r="V18" s="53" t="str">
        <f t="shared" si="17"/>
        <v/>
      </c>
      <c r="W18" s="53" t="str">
        <f t="shared" si="18"/>
        <v/>
      </c>
      <c r="X18" s="46" t="str">
        <f t="shared" si="5"/>
        <v/>
      </c>
      <c r="Y18" s="54"/>
      <c r="Z18" s="41" t="str">
        <f t="shared" si="19"/>
        <v/>
      </c>
      <c r="AA18" s="41" t="str">
        <f t="shared" si="20"/>
        <v/>
      </c>
      <c r="AB18" s="41" t="str">
        <f t="shared" si="6"/>
        <v/>
      </c>
      <c r="AC18" s="41" t="str">
        <f t="shared" si="7"/>
        <v/>
      </c>
      <c r="AD18" s="54"/>
      <c r="AE18" s="41" t="str">
        <f t="shared" si="8"/>
        <v/>
      </c>
      <c r="AF18" s="41"/>
      <c r="AG18" s="41" t="str">
        <f t="shared" si="9"/>
        <v/>
      </c>
      <c r="AH18" s="41" t="str">
        <f t="shared" si="21"/>
        <v/>
      </c>
      <c r="AI18" s="41" t="str">
        <f t="shared" si="22"/>
        <v/>
      </c>
      <c r="AJ18" s="41">
        <f t="shared" si="10"/>
        <v>0</v>
      </c>
      <c r="AK18" s="41" t="str">
        <f t="shared" si="11"/>
        <v/>
      </c>
      <c r="AL18" s="41">
        <f t="shared" si="23"/>
        <v>0</v>
      </c>
      <c r="AM18" s="41">
        <f t="shared" si="12"/>
        <v>0</v>
      </c>
      <c r="AN18" s="41" t="str">
        <f t="shared" si="13"/>
        <v/>
      </c>
      <c r="AO18" s="41">
        <f t="shared" si="14"/>
        <v>0</v>
      </c>
      <c r="AP18" s="45"/>
      <c r="AQ18" s="45"/>
      <c r="AR18" s="48"/>
      <c r="AS18" s="48"/>
      <c r="AT18" s="51">
        <f t="shared" si="24"/>
        <v>14</v>
      </c>
      <c r="AU18" s="49" t="str">
        <f t="shared" si="25"/>
        <v/>
      </c>
      <c r="AV18" s="49" t="str">
        <f t="shared" si="26"/>
        <v/>
      </c>
      <c r="AW18" s="50">
        <f xml:space="preserve"> IF(ISERROR(ROUND((1000*NPV($AT$1,$AV19:$AV$124)-$AW$1*($AU19+NPV($AT$1,$AU20:$AU$124)))/AU19,3)), 0, ROUND((1000*NPV($AT$1,$AV19:$AV$124)-$AW$1*($AU19+NPV($AT$1,$AU20:$AU$124)))/AU19,3))</f>
        <v>0</v>
      </c>
      <c r="AX18" s="50">
        <f>IF(ISERROR(ROUND(MAX(0,1000*NPV($AT$2,$AV19:$AV$124)-$AW$2*($AU19+NPV($AT$2,$AU20:$AU$124)))/AU19,3)), 0, ROUND(MAX(0,1000*NPV($AT$2,$AV19:$AV$124)-$AW$2*($AU19+NPV($AT$2,$AU20:$AU$124)))/AU19,3))</f>
        <v>0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/>
      <c r="J19" s="41"/>
      <c r="K19" s="41" t="str">
        <f t="shared" si="27"/>
        <v/>
      </c>
      <c r="L19" s="42" t="str">
        <f t="shared" si="28"/>
        <v/>
      </c>
      <c r="M19" s="41" t="str">
        <f t="shared" si="29"/>
        <v/>
      </c>
      <c r="N19" s="43">
        <f t="shared" si="1"/>
        <v>0</v>
      </c>
      <c r="O19" s="44">
        <f t="shared" si="2"/>
        <v>0</v>
      </c>
      <c r="P19" s="41" t="str">
        <f t="shared" si="3"/>
        <v/>
      </c>
      <c r="Q19" s="41" t="str">
        <f t="shared" si="4"/>
        <v/>
      </c>
      <c r="R19" s="44"/>
      <c r="S19" s="44" t="str">
        <f t="shared" si="15"/>
        <v/>
      </c>
      <c r="T19" s="52">
        <f t="shared" si="30"/>
        <v>0</v>
      </c>
      <c r="U19" s="53" t="str">
        <f t="shared" si="16"/>
        <v/>
      </c>
      <c r="V19" s="53" t="str">
        <f t="shared" si="17"/>
        <v/>
      </c>
      <c r="W19" s="53" t="str">
        <f t="shared" si="18"/>
        <v/>
      </c>
      <c r="X19" s="46" t="str">
        <f t="shared" si="5"/>
        <v/>
      </c>
      <c r="Y19" s="54"/>
      <c r="Z19" s="41" t="str">
        <f t="shared" si="19"/>
        <v/>
      </c>
      <c r="AA19" s="41" t="str">
        <f t="shared" si="20"/>
        <v/>
      </c>
      <c r="AB19" s="41" t="str">
        <f t="shared" si="6"/>
        <v/>
      </c>
      <c r="AC19" s="41" t="str">
        <f t="shared" si="7"/>
        <v/>
      </c>
      <c r="AD19" s="54"/>
      <c r="AE19" s="41" t="str">
        <f t="shared" si="8"/>
        <v/>
      </c>
      <c r="AF19" s="41"/>
      <c r="AG19" s="41" t="str">
        <f t="shared" si="9"/>
        <v/>
      </c>
      <c r="AH19" s="41" t="str">
        <f t="shared" si="21"/>
        <v/>
      </c>
      <c r="AI19" s="41" t="str">
        <f t="shared" si="22"/>
        <v/>
      </c>
      <c r="AJ19" s="41">
        <f t="shared" si="10"/>
        <v>0</v>
      </c>
      <c r="AK19" s="41" t="str">
        <f t="shared" si="11"/>
        <v/>
      </c>
      <c r="AL19" s="41">
        <f t="shared" si="23"/>
        <v>0</v>
      </c>
      <c r="AM19" s="41">
        <f t="shared" si="12"/>
        <v>0</v>
      </c>
      <c r="AN19" s="41" t="str">
        <f t="shared" si="13"/>
        <v/>
      </c>
      <c r="AO19" s="41">
        <f t="shared" si="14"/>
        <v>0</v>
      </c>
      <c r="AP19" s="45"/>
      <c r="AQ19" s="45"/>
      <c r="AR19" s="48"/>
      <c r="AS19" s="48"/>
      <c r="AT19" s="51">
        <f t="shared" si="24"/>
        <v>15</v>
      </c>
      <c r="AU19" s="49" t="str">
        <f t="shared" si="25"/>
        <v/>
      </c>
      <c r="AV19" s="49" t="str">
        <f t="shared" si="26"/>
        <v/>
      </c>
      <c r="AW19" s="50">
        <f xml:space="preserve"> IF(ISERROR(ROUND((1000*NPV($AT$1,$AV20:$AV$124)-$AW$1*($AU20+NPV($AT$1,$AU21:$AU$124)))/AU20,3)), 0, ROUND((1000*NPV($AT$1,$AV20:$AV$124)-$AW$1*($AU20+NPV($AT$1,$AU21:$AU$124)))/AU20,3))</f>
        <v>0</v>
      </c>
      <c r="AX19" s="50">
        <f>IF(ISERROR(ROUND(MAX(0,1000*NPV($AT$2,$AV20:$AV$124)-$AW$2*($AU20+NPV($AT$2,$AU21:$AU$124)))/AU20,3)), 0, ROUND(MAX(0,1000*NPV($AT$2,$AV20:$AV$124)-$AW$2*($AU20+NPV($AT$2,$AU21:$AU$124)))/AU20,3))</f>
        <v>0</v>
      </c>
    </row>
    <row r="20" spans="1:50" ht="15" x14ac:dyDescent="0.25">
      <c r="A20" s="12"/>
      <c r="B20" s="13">
        <v>1</v>
      </c>
      <c r="C20" s="10">
        <v>200</v>
      </c>
      <c r="D20" s="1"/>
      <c r="E20" s="1"/>
      <c r="F20" s="1"/>
      <c r="G20" s="1"/>
      <c r="H20" s="1"/>
      <c r="I20" s="51"/>
      <c r="J20" s="41"/>
      <c r="K20" s="41" t="str">
        <f t="shared" si="27"/>
        <v/>
      </c>
      <c r="L20" s="42" t="str">
        <f t="shared" si="28"/>
        <v/>
      </c>
      <c r="M20" s="41" t="str">
        <f t="shared" si="29"/>
        <v/>
      </c>
      <c r="N20" s="43">
        <f t="shared" si="1"/>
        <v>0</v>
      </c>
      <c r="O20" s="44">
        <f t="shared" si="2"/>
        <v>0</v>
      </c>
      <c r="P20" s="41" t="str">
        <f t="shared" si="3"/>
        <v/>
      </c>
      <c r="Q20" s="41" t="str">
        <f t="shared" si="4"/>
        <v/>
      </c>
      <c r="R20" s="44"/>
      <c r="S20" s="44" t="str">
        <f t="shared" si="15"/>
        <v/>
      </c>
      <c r="T20" s="52">
        <f t="shared" si="30"/>
        <v>0</v>
      </c>
      <c r="U20" s="53" t="str">
        <f t="shared" si="16"/>
        <v/>
      </c>
      <c r="V20" s="53" t="str">
        <f t="shared" si="17"/>
        <v/>
      </c>
      <c r="W20" s="53" t="str">
        <f t="shared" si="18"/>
        <v/>
      </c>
      <c r="X20" s="46" t="str">
        <f t="shared" si="5"/>
        <v/>
      </c>
      <c r="Y20" s="54"/>
      <c r="Z20" s="41" t="str">
        <f t="shared" si="19"/>
        <v/>
      </c>
      <c r="AA20" s="41" t="str">
        <f t="shared" si="20"/>
        <v/>
      </c>
      <c r="AB20" s="41" t="str">
        <f t="shared" si="6"/>
        <v/>
      </c>
      <c r="AC20" s="41" t="str">
        <f t="shared" si="7"/>
        <v/>
      </c>
      <c r="AD20" s="54"/>
      <c r="AE20" s="41" t="str">
        <f t="shared" si="8"/>
        <v/>
      </c>
      <c r="AF20" s="41"/>
      <c r="AG20" s="41" t="str">
        <f t="shared" si="9"/>
        <v/>
      </c>
      <c r="AH20" s="41" t="str">
        <f t="shared" si="21"/>
        <v/>
      </c>
      <c r="AI20" s="41" t="str">
        <f t="shared" si="22"/>
        <v/>
      </c>
      <c r="AJ20" s="41">
        <f t="shared" si="10"/>
        <v>0</v>
      </c>
      <c r="AK20" s="41" t="str">
        <f t="shared" si="11"/>
        <v/>
      </c>
      <c r="AL20" s="41">
        <f t="shared" si="23"/>
        <v>0</v>
      </c>
      <c r="AM20" s="41">
        <f t="shared" si="12"/>
        <v>0</v>
      </c>
      <c r="AN20" s="41" t="str">
        <f t="shared" si="13"/>
        <v/>
      </c>
      <c r="AO20" s="41">
        <f t="shared" si="14"/>
        <v>0</v>
      </c>
      <c r="AP20" s="45"/>
      <c r="AQ20" s="45"/>
      <c r="AR20" s="48"/>
      <c r="AS20" s="48"/>
      <c r="AT20" s="51">
        <f t="shared" si="24"/>
        <v>16</v>
      </c>
      <c r="AU20" s="49" t="str">
        <f t="shared" si="25"/>
        <v/>
      </c>
      <c r="AV20" s="49" t="str">
        <f t="shared" si="26"/>
        <v/>
      </c>
      <c r="AW20" s="50">
        <f xml:space="preserve"> IF(ISERROR(ROUND((1000*NPV($AT$1,$AV21:$AV$124)-$AW$1*($AU21+NPV($AT$1,$AU22:$AU$124)))/AU21,3)), 0, ROUND((1000*NPV($AT$1,$AV21:$AV$124)-$AW$1*($AU21+NPV($AT$1,$AU22:$AU$124)))/AU21,3))</f>
        <v>0</v>
      </c>
      <c r="AX20" s="50">
        <f>IF(ISERROR(ROUND(MAX(0,1000*NPV($AT$2,$AV21:$AV$124)-$AW$2*($AU21+NPV($AT$2,$AU22:$AU$124)))/AU21,3)), 0, ROUND(MAX(0,1000*NPV($AT$2,$AV21:$AV$124)-$AW$2*($AU21+NPV($AT$2,$AU22:$AU$124)))/AU21,3))</f>
        <v>0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/>
      <c r="J21" s="41"/>
      <c r="K21" s="41" t="str">
        <f t="shared" si="27"/>
        <v/>
      </c>
      <c r="L21" s="42" t="str">
        <f t="shared" si="28"/>
        <v/>
      </c>
      <c r="M21" s="41" t="str">
        <f t="shared" si="29"/>
        <v/>
      </c>
      <c r="N21" s="43">
        <f t="shared" si="1"/>
        <v>0</v>
      </c>
      <c r="O21" s="44">
        <f t="shared" si="2"/>
        <v>0</v>
      </c>
      <c r="P21" s="41" t="str">
        <f t="shared" si="3"/>
        <v/>
      </c>
      <c r="Q21" s="41" t="str">
        <f t="shared" si="4"/>
        <v/>
      </c>
      <c r="R21" s="44"/>
      <c r="S21" s="44" t="str">
        <f t="shared" si="15"/>
        <v/>
      </c>
      <c r="T21" s="52">
        <f t="shared" si="30"/>
        <v>0</v>
      </c>
      <c r="U21" s="53" t="str">
        <f t="shared" si="16"/>
        <v/>
      </c>
      <c r="V21" s="53" t="str">
        <f t="shared" si="17"/>
        <v/>
      </c>
      <c r="W21" s="53" t="str">
        <f t="shared" si="18"/>
        <v/>
      </c>
      <c r="X21" s="46" t="str">
        <f t="shared" si="5"/>
        <v/>
      </c>
      <c r="Y21" s="54"/>
      <c r="Z21" s="41" t="str">
        <f t="shared" si="19"/>
        <v/>
      </c>
      <c r="AA21" s="41" t="str">
        <f t="shared" si="20"/>
        <v/>
      </c>
      <c r="AB21" s="41" t="str">
        <f t="shared" si="6"/>
        <v/>
      </c>
      <c r="AC21" s="41" t="str">
        <f t="shared" si="7"/>
        <v/>
      </c>
      <c r="AD21" s="54"/>
      <c r="AE21" s="41" t="str">
        <f t="shared" si="8"/>
        <v/>
      </c>
      <c r="AF21" s="41"/>
      <c r="AG21" s="41" t="str">
        <f t="shared" si="9"/>
        <v/>
      </c>
      <c r="AH21" s="41" t="str">
        <f t="shared" si="21"/>
        <v/>
      </c>
      <c r="AI21" s="41" t="str">
        <f t="shared" si="22"/>
        <v/>
      </c>
      <c r="AJ21" s="41">
        <f t="shared" si="10"/>
        <v>0</v>
      </c>
      <c r="AK21" s="41" t="str">
        <f t="shared" si="11"/>
        <v/>
      </c>
      <c r="AL21" s="41">
        <f t="shared" si="23"/>
        <v>0</v>
      </c>
      <c r="AM21" s="41">
        <f t="shared" si="12"/>
        <v>0</v>
      </c>
      <c r="AN21" s="41" t="str">
        <f t="shared" si="13"/>
        <v/>
      </c>
      <c r="AO21" s="41">
        <f t="shared" si="14"/>
        <v>0</v>
      </c>
      <c r="AP21" s="45"/>
      <c r="AQ21" s="45"/>
      <c r="AR21" s="48"/>
      <c r="AS21" s="48"/>
      <c r="AT21" s="51">
        <f t="shared" si="24"/>
        <v>17</v>
      </c>
      <c r="AU21" s="49" t="str">
        <f t="shared" si="25"/>
        <v/>
      </c>
      <c r="AV21" s="49" t="str">
        <f t="shared" si="26"/>
        <v/>
      </c>
      <c r="AW21" s="50">
        <f xml:space="preserve"> IF(ISERROR(ROUND((1000*NPV($AT$1,$AV22:$AV$124)-$AW$1*($AU22+NPV($AT$1,$AU23:$AU$124)))/AU22,3)), 0, ROUND((1000*NPV($AT$1,$AV22:$AV$124)-$AW$1*($AU22+NPV($AT$1,$AU23:$AU$124)))/AU22,3))</f>
        <v>0</v>
      </c>
      <c r="AX21" s="50">
        <f>IF(ISERROR(ROUND(MAX(0,1000*NPV($AT$2,$AV22:$AV$124)-$AW$2*($AU22+NPV($AT$2,$AU23:$AU$124)))/AU22,3)), 0, ROUND(MAX(0,1000*NPV($AT$2,$AV22:$AV$124)-$AW$2*($AU22+NPV($AT$2,$AU23:$AU$124)))/AU22,3))</f>
        <v>0</v>
      </c>
    </row>
    <row r="22" spans="1:50" ht="15" x14ac:dyDescent="0.25">
      <c r="B22" s="1"/>
      <c r="C22" s="1"/>
      <c r="D22" s="1"/>
      <c r="F22" s="1"/>
      <c r="G22" s="1"/>
      <c r="H22" s="1"/>
      <c r="I22" s="51"/>
      <c r="J22" s="41"/>
      <c r="K22" s="41" t="str">
        <f t="shared" si="27"/>
        <v/>
      </c>
      <c r="L22" s="42" t="str">
        <f t="shared" si="28"/>
        <v/>
      </c>
      <c r="M22" s="41" t="str">
        <f t="shared" si="29"/>
        <v/>
      </c>
      <c r="N22" s="43">
        <f t="shared" si="1"/>
        <v>0</v>
      </c>
      <c r="O22" s="44">
        <f t="shared" si="2"/>
        <v>0</v>
      </c>
      <c r="P22" s="41" t="str">
        <f t="shared" si="3"/>
        <v/>
      </c>
      <c r="Q22" s="41" t="str">
        <f t="shared" si="4"/>
        <v/>
      </c>
      <c r="R22" s="44"/>
      <c r="S22" s="44" t="str">
        <f t="shared" si="15"/>
        <v/>
      </c>
      <c r="T22" s="52">
        <f t="shared" si="30"/>
        <v>0</v>
      </c>
      <c r="U22" s="53" t="str">
        <f t="shared" si="16"/>
        <v/>
      </c>
      <c r="V22" s="53" t="str">
        <f t="shared" si="17"/>
        <v/>
      </c>
      <c r="W22" s="53" t="str">
        <f t="shared" si="18"/>
        <v/>
      </c>
      <c r="X22" s="46" t="str">
        <f t="shared" si="5"/>
        <v/>
      </c>
      <c r="Y22" s="54"/>
      <c r="Z22" s="41" t="str">
        <f t="shared" si="19"/>
        <v/>
      </c>
      <c r="AA22" s="41" t="str">
        <f t="shared" si="20"/>
        <v/>
      </c>
      <c r="AB22" s="41" t="str">
        <f t="shared" si="6"/>
        <v/>
      </c>
      <c r="AC22" s="41" t="str">
        <f t="shared" si="7"/>
        <v/>
      </c>
      <c r="AD22" s="54"/>
      <c r="AE22" s="41" t="str">
        <f t="shared" si="8"/>
        <v/>
      </c>
      <c r="AF22" s="41"/>
      <c r="AG22" s="41" t="str">
        <f t="shared" si="9"/>
        <v/>
      </c>
      <c r="AH22" s="41" t="str">
        <f t="shared" si="21"/>
        <v/>
      </c>
      <c r="AI22" s="41" t="str">
        <f t="shared" si="22"/>
        <v/>
      </c>
      <c r="AJ22" s="41">
        <f t="shared" si="10"/>
        <v>0</v>
      </c>
      <c r="AK22" s="41" t="str">
        <f t="shared" si="11"/>
        <v/>
      </c>
      <c r="AL22" s="41">
        <f t="shared" si="23"/>
        <v>0</v>
      </c>
      <c r="AM22" s="41">
        <f t="shared" si="12"/>
        <v>0</v>
      </c>
      <c r="AN22" s="41" t="str">
        <f t="shared" si="13"/>
        <v/>
      </c>
      <c r="AO22" s="41">
        <f t="shared" si="14"/>
        <v>0</v>
      </c>
      <c r="AP22" s="45"/>
      <c r="AQ22" s="45"/>
      <c r="AR22" s="48"/>
      <c r="AS22" s="48"/>
      <c r="AT22" s="51">
        <f t="shared" si="24"/>
        <v>18</v>
      </c>
      <c r="AU22" s="49" t="str">
        <f t="shared" si="25"/>
        <v/>
      </c>
      <c r="AV22" s="49" t="str">
        <f t="shared" si="26"/>
        <v/>
      </c>
      <c r="AW22" s="50">
        <f xml:space="preserve"> IF(ISERROR(ROUND((1000*NPV($AT$1,$AV23:$AV$124)-$AW$1*($AU23+NPV($AT$1,$AU24:$AU$124)))/AU23,3)), 0, ROUND((1000*NPV($AT$1,$AV23:$AV$124)-$AW$1*($AU23+NPV($AT$1,$AU24:$AU$124)))/AU23,3))</f>
        <v>0</v>
      </c>
      <c r="AX22" s="50">
        <f>IF(ISERROR(ROUND(MAX(0,1000*NPV($AT$2,$AV23:$AV$124)-$AW$2*($AU23+NPV($AT$2,$AU24:$AU$124)))/AU23,3)), 0, ROUND(MAX(0,1000*NPV($AT$2,$AV23:$AV$124)-$AW$2*($AU23+NPV($AT$2,$AU24:$AU$124)))/AU23,3))</f>
        <v>0</v>
      </c>
    </row>
    <row r="23" spans="1:50" ht="15" x14ac:dyDescent="0.25">
      <c r="B23" s="1"/>
      <c r="C23" s="1"/>
      <c r="D23" s="1"/>
      <c r="F23" s="1"/>
      <c r="G23" s="1"/>
      <c r="H23" s="1"/>
      <c r="I23" s="51"/>
      <c r="J23" s="41"/>
      <c r="K23" s="41" t="str">
        <f t="shared" si="27"/>
        <v/>
      </c>
      <c r="L23" s="42" t="str">
        <f t="shared" si="28"/>
        <v/>
      </c>
      <c r="M23" s="41" t="str">
        <f t="shared" si="29"/>
        <v/>
      </c>
      <c r="N23" s="43">
        <f t="shared" si="1"/>
        <v>0</v>
      </c>
      <c r="O23" s="44">
        <f t="shared" si="2"/>
        <v>0</v>
      </c>
      <c r="P23" s="41" t="str">
        <f t="shared" si="3"/>
        <v/>
      </c>
      <c r="Q23" s="41" t="str">
        <f t="shared" si="4"/>
        <v/>
      </c>
      <c r="R23" s="44"/>
      <c r="S23" s="44" t="str">
        <f t="shared" si="15"/>
        <v/>
      </c>
      <c r="T23" s="52">
        <f t="shared" si="30"/>
        <v>0</v>
      </c>
      <c r="U23" s="53" t="str">
        <f t="shared" si="16"/>
        <v/>
      </c>
      <c r="V23" s="53" t="str">
        <f t="shared" si="17"/>
        <v/>
      </c>
      <c r="W23" s="53" t="str">
        <f t="shared" si="18"/>
        <v/>
      </c>
      <c r="X23" s="46" t="str">
        <f t="shared" si="5"/>
        <v/>
      </c>
      <c r="Y23" s="54"/>
      <c r="Z23" s="41" t="str">
        <f t="shared" si="19"/>
        <v/>
      </c>
      <c r="AA23" s="41" t="str">
        <f t="shared" si="20"/>
        <v/>
      </c>
      <c r="AB23" s="41" t="str">
        <f t="shared" si="6"/>
        <v/>
      </c>
      <c r="AC23" s="41" t="str">
        <f t="shared" si="7"/>
        <v/>
      </c>
      <c r="AD23" s="54"/>
      <c r="AE23" s="41" t="str">
        <f t="shared" si="8"/>
        <v/>
      </c>
      <c r="AF23" s="41"/>
      <c r="AG23" s="41" t="str">
        <f t="shared" si="9"/>
        <v/>
      </c>
      <c r="AH23" s="41" t="str">
        <f t="shared" si="21"/>
        <v/>
      </c>
      <c r="AI23" s="41" t="str">
        <f t="shared" si="22"/>
        <v/>
      </c>
      <c r="AJ23" s="41">
        <f t="shared" si="10"/>
        <v>0</v>
      </c>
      <c r="AK23" s="41" t="str">
        <f t="shared" si="11"/>
        <v/>
      </c>
      <c r="AL23" s="41">
        <f t="shared" si="23"/>
        <v>0</v>
      </c>
      <c r="AM23" s="41">
        <f t="shared" si="12"/>
        <v>0</v>
      </c>
      <c r="AN23" s="41" t="str">
        <f t="shared" si="13"/>
        <v/>
      </c>
      <c r="AO23" s="41">
        <f t="shared" si="14"/>
        <v>0</v>
      </c>
      <c r="AP23" s="45"/>
      <c r="AQ23" s="45"/>
      <c r="AR23" s="48"/>
      <c r="AS23" s="48"/>
      <c r="AT23" s="51">
        <f t="shared" si="24"/>
        <v>19</v>
      </c>
      <c r="AU23" s="49" t="str">
        <f t="shared" si="25"/>
        <v/>
      </c>
      <c r="AV23" s="49" t="str">
        <f t="shared" si="26"/>
        <v/>
      </c>
      <c r="AW23" s="50">
        <f xml:space="preserve"> IF(ISERROR(ROUND((1000*NPV($AT$1,$AV24:$AV$124)-$AW$1*($AU24+NPV($AT$1,$AU25:$AU$124)))/AU24,3)), 0, ROUND((1000*NPV($AT$1,$AV24:$AV$124)-$AW$1*($AU24+NPV($AT$1,$AU25:$AU$124)))/AU24,3))</f>
        <v>0</v>
      </c>
      <c r="AX23" s="50">
        <f>IF(ISERROR(ROUND(MAX(0,1000*NPV($AT$2,$AV24:$AV$124)-$AW$2*($AU24+NPV($AT$2,$AU25:$AU$124)))/AU24,3)), 0, ROUND(MAX(0,1000*NPV($AT$2,$AV24:$AV$124)-$AW$2*($AU24+NPV($AT$2,$AU25:$AU$124)))/AU24,3))</f>
        <v>0</v>
      </c>
    </row>
    <row r="24" spans="1:50" ht="15" x14ac:dyDescent="0.25">
      <c r="A24" t="s">
        <v>64</v>
      </c>
      <c r="B24" s="1"/>
      <c r="C24" s="1"/>
      <c r="D24" s="1"/>
      <c r="F24" s="1"/>
      <c r="G24" s="1"/>
      <c r="H24" s="1"/>
      <c r="I24" s="51"/>
      <c r="J24" s="41"/>
      <c r="K24" s="41" t="str">
        <f t="shared" si="27"/>
        <v/>
      </c>
      <c r="L24" s="42" t="str">
        <f t="shared" si="28"/>
        <v/>
      </c>
      <c r="M24" s="41" t="str">
        <f t="shared" si="29"/>
        <v/>
      </c>
      <c r="N24" s="43">
        <f t="shared" si="1"/>
        <v>0</v>
      </c>
      <c r="O24" s="44">
        <f t="shared" si="2"/>
        <v>0</v>
      </c>
      <c r="P24" s="41" t="str">
        <f t="shared" si="3"/>
        <v/>
      </c>
      <c r="Q24" s="41" t="str">
        <f t="shared" si="4"/>
        <v/>
      </c>
      <c r="R24" s="44"/>
      <c r="S24" s="44" t="str">
        <f t="shared" si="15"/>
        <v/>
      </c>
      <c r="T24" s="52">
        <f t="shared" si="30"/>
        <v>0</v>
      </c>
      <c r="U24" s="53" t="str">
        <f t="shared" si="16"/>
        <v/>
      </c>
      <c r="V24" s="53" t="str">
        <f t="shared" si="17"/>
        <v/>
      </c>
      <c r="W24" s="53" t="str">
        <f t="shared" si="18"/>
        <v/>
      </c>
      <c r="X24" s="46" t="str">
        <f t="shared" si="5"/>
        <v/>
      </c>
      <c r="Y24" s="54"/>
      <c r="Z24" s="41" t="str">
        <f t="shared" si="19"/>
        <v/>
      </c>
      <c r="AA24" s="41" t="str">
        <f t="shared" si="20"/>
        <v/>
      </c>
      <c r="AB24" s="41" t="str">
        <f t="shared" si="6"/>
        <v/>
      </c>
      <c r="AC24" s="41" t="str">
        <f t="shared" si="7"/>
        <v/>
      </c>
      <c r="AD24" s="54"/>
      <c r="AE24" s="41" t="str">
        <f t="shared" si="8"/>
        <v/>
      </c>
      <c r="AF24" s="41"/>
      <c r="AG24" s="41" t="str">
        <f t="shared" si="9"/>
        <v/>
      </c>
      <c r="AH24" s="41" t="str">
        <f t="shared" si="21"/>
        <v/>
      </c>
      <c r="AI24" s="41" t="str">
        <f t="shared" si="22"/>
        <v/>
      </c>
      <c r="AJ24" s="41">
        <f t="shared" si="10"/>
        <v>0</v>
      </c>
      <c r="AK24" s="41" t="str">
        <f t="shared" si="11"/>
        <v/>
      </c>
      <c r="AL24" s="41">
        <f t="shared" si="23"/>
        <v>0</v>
      </c>
      <c r="AM24" s="41">
        <f t="shared" si="12"/>
        <v>0</v>
      </c>
      <c r="AN24" s="41" t="str">
        <f t="shared" si="13"/>
        <v/>
      </c>
      <c r="AO24" s="41">
        <f t="shared" si="14"/>
        <v>0</v>
      </c>
      <c r="AP24" s="45"/>
      <c r="AQ24" s="45"/>
      <c r="AR24" s="48"/>
      <c r="AS24" s="48"/>
      <c r="AT24" s="51">
        <f t="shared" si="24"/>
        <v>20</v>
      </c>
      <c r="AU24" s="49" t="str">
        <f t="shared" si="25"/>
        <v/>
      </c>
      <c r="AV24" s="49" t="str">
        <f t="shared" si="26"/>
        <v/>
      </c>
      <c r="AW24" s="50">
        <f xml:space="preserve"> IF(ISERROR(ROUND((1000*NPV($AT$1,$AV25:$AV$124)-$AW$1*($AU25+NPV($AT$1,$AU26:$AU$124)))/AU25,3)), 0, ROUND((1000*NPV($AT$1,$AV25:$AV$124)-$AW$1*($AU25+NPV($AT$1,$AU26:$AU$124)))/AU25,3))</f>
        <v>0</v>
      </c>
      <c r="AX24" s="50">
        <f>IF(ISERROR(ROUND(MAX(0,1000*NPV($AT$2,$AV25:$AV$124)-$AW$2*($AU25+NPV($AT$2,$AU26:$AU$124)))/AU25,3)), 0, ROUND(MAX(0,1000*NPV($AT$2,$AV25:$AV$124)-$AW$2*($AU25+NPV($AT$2,$AU26:$AU$124)))/AU25,3))</f>
        <v>0</v>
      </c>
    </row>
    <row r="25" spans="1:50" ht="15" x14ac:dyDescent="0.25">
      <c r="A25" t="s">
        <v>65</v>
      </c>
      <c r="B25" t="s">
        <v>66</v>
      </c>
      <c r="C25" s="60">
        <v>0</v>
      </c>
      <c r="D25" s="5">
        <v>7927.4143576048327</v>
      </c>
      <c r="F25" s="1"/>
      <c r="G25" s="8"/>
      <c r="H25" s="4"/>
      <c r="I25" s="51"/>
      <c r="J25" s="41"/>
      <c r="K25" s="41" t="str">
        <f t="shared" si="27"/>
        <v/>
      </c>
      <c r="L25" s="42" t="str">
        <f t="shared" si="28"/>
        <v/>
      </c>
      <c r="M25" s="41" t="str">
        <f t="shared" si="29"/>
        <v/>
      </c>
      <c r="N25" s="43">
        <f t="shared" si="1"/>
        <v>0</v>
      </c>
      <c r="O25" s="44">
        <f t="shared" si="2"/>
        <v>0</v>
      </c>
      <c r="P25" s="41" t="str">
        <f t="shared" si="3"/>
        <v/>
      </c>
      <c r="Q25" s="41" t="str">
        <f t="shared" si="4"/>
        <v/>
      </c>
      <c r="R25" s="44"/>
      <c r="S25" s="44" t="str">
        <f t="shared" si="15"/>
        <v/>
      </c>
      <c r="T25" s="52">
        <f t="shared" si="30"/>
        <v>0</v>
      </c>
      <c r="U25" s="53" t="str">
        <f t="shared" si="16"/>
        <v/>
      </c>
      <c r="V25" s="53" t="str">
        <f t="shared" si="17"/>
        <v/>
      </c>
      <c r="W25" s="53" t="str">
        <f t="shared" si="18"/>
        <v/>
      </c>
      <c r="X25" s="46" t="str">
        <f t="shared" si="5"/>
        <v/>
      </c>
      <c r="Y25" s="54"/>
      <c r="Z25" s="41" t="str">
        <f t="shared" si="19"/>
        <v/>
      </c>
      <c r="AA25" s="41" t="str">
        <f t="shared" si="20"/>
        <v/>
      </c>
      <c r="AB25" s="41" t="str">
        <f t="shared" si="6"/>
        <v/>
      </c>
      <c r="AC25" s="41" t="str">
        <f t="shared" si="7"/>
        <v/>
      </c>
      <c r="AD25" s="54"/>
      <c r="AE25" s="41" t="str">
        <f t="shared" si="8"/>
        <v/>
      </c>
      <c r="AF25" s="41"/>
      <c r="AG25" s="41" t="str">
        <f t="shared" si="9"/>
        <v/>
      </c>
      <c r="AH25" s="41" t="str">
        <f t="shared" si="21"/>
        <v/>
      </c>
      <c r="AI25" s="41" t="str">
        <f t="shared" si="22"/>
        <v/>
      </c>
      <c r="AJ25" s="41">
        <f t="shared" si="10"/>
        <v>0</v>
      </c>
      <c r="AK25" s="41" t="str">
        <f t="shared" si="11"/>
        <v/>
      </c>
      <c r="AL25" s="41">
        <f t="shared" si="23"/>
        <v>0</v>
      </c>
      <c r="AM25" s="41">
        <f t="shared" si="12"/>
        <v>0</v>
      </c>
      <c r="AN25" s="41" t="str">
        <f t="shared" si="13"/>
        <v/>
      </c>
      <c r="AO25" s="41">
        <f t="shared" si="14"/>
        <v>0</v>
      </c>
      <c r="AP25" s="45"/>
      <c r="AQ25" s="55"/>
      <c r="AR25" s="48"/>
      <c r="AS25" s="48"/>
      <c r="AT25" s="51">
        <f>AT24+1</f>
        <v>21</v>
      </c>
      <c r="AU25" s="49" t="str">
        <f t="shared" si="25"/>
        <v/>
      </c>
      <c r="AV25" s="49" t="str">
        <f t="shared" si="26"/>
        <v/>
      </c>
      <c r="AW25" s="50">
        <f xml:space="preserve"> IF(ISERROR(ROUND((1000*NPV($AT$1,$AV26:$AV$124)-$AW$1*($AU26+NPV($AT$1,$AU27:$AU$124)))/AU26,3)), 0, ROUND((1000*NPV($AT$1,$AV26:$AV$124)-$AW$1*($AU26+NPV($AT$1,$AU27:$AU$124)))/AU26,3))</f>
        <v>0</v>
      </c>
      <c r="AX25" s="50">
        <f>IF(ISERROR(ROUND(MAX(0,1000*NPV($AT$2,$AV26:$AV$124)-$AW$2*($AU26+NPV($AT$2,$AU27:$AU$124)))/AU26,3)), 0, ROUND(MAX(0,1000*NPV($AT$2,$AV26:$AV$124)-$AW$2*($AU26+NPV($AT$2,$AU27:$AU$124)))/AU26,3))</f>
        <v>0</v>
      </c>
    </row>
    <row r="26" spans="1:50" ht="15" x14ac:dyDescent="0.25">
      <c r="A26">
        <v>1</v>
      </c>
      <c r="B26">
        <v>3.54677093672173E-3</v>
      </c>
      <c r="C26" s="60">
        <v>1</v>
      </c>
      <c r="D26" s="5">
        <v>7770.5148105023818</v>
      </c>
      <c r="E26" s="5"/>
      <c r="F26" s="2"/>
      <c r="G26" s="8"/>
      <c r="H26" s="4"/>
      <c r="I26" s="51"/>
      <c r="J26" s="41"/>
      <c r="K26" s="41" t="str">
        <f t="shared" si="27"/>
        <v/>
      </c>
      <c r="L26" s="42" t="str">
        <f t="shared" si="28"/>
        <v/>
      </c>
      <c r="M26" s="41" t="str">
        <f t="shared" si="29"/>
        <v/>
      </c>
      <c r="N26" s="43">
        <f t="shared" si="1"/>
        <v>0</v>
      </c>
      <c r="O26" s="44">
        <f t="shared" si="2"/>
        <v>0</v>
      </c>
      <c r="P26" s="41" t="str">
        <f t="shared" si="3"/>
        <v/>
      </c>
      <c r="Q26" s="41" t="str">
        <f t="shared" si="4"/>
        <v/>
      </c>
      <c r="R26" s="44"/>
      <c r="S26" s="44" t="str">
        <f t="shared" si="15"/>
        <v/>
      </c>
      <c r="T26" s="52">
        <f t="shared" si="30"/>
        <v>0</v>
      </c>
      <c r="U26" s="53" t="str">
        <f t="shared" si="16"/>
        <v/>
      </c>
      <c r="V26" s="53" t="str">
        <f t="shared" si="17"/>
        <v/>
      </c>
      <c r="W26" s="53" t="str">
        <f t="shared" si="18"/>
        <v/>
      </c>
      <c r="X26" s="46" t="str">
        <f t="shared" si="5"/>
        <v/>
      </c>
      <c r="Y26" s="54"/>
      <c r="Z26" s="41" t="str">
        <f t="shared" si="19"/>
        <v/>
      </c>
      <c r="AA26" s="41" t="str">
        <f t="shared" si="20"/>
        <v/>
      </c>
      <c r="AB26" s="41" t="str">
        <f t="shared" si="6"/>
        <v/>
      </c>
      <c r="AC26" s="41" t="str">
        <f t="shared" si="7"/>
        <v/>
      </c>
      <c r="AD26" s="54"/>
      <c r="AE26" s="41" t="str">
        <f t="shared" si="8"/>
        <v/>
      </c>
      <c r="AF26" s="41"/>
      <c r="AG26" s="41" t="str">
        <f t="shared" si="9"/>
        <v/>
      </c>
      <c r="AH26" s="41" t="str">
        <f t="shared" si="21"/>
        <v/>
      </c>
      <c r="AI26" s="41" t="str">
        <f t="shared" si="22"/>
        <v/>
      </c>
      <c r="AJ26" s="41">
        <f t="shared" si="10"/>
        <v>0</v>
      </c>
      <c r="AK26" s="41" t="str">
        <f t="shared" si="11"/>
        <v/>
      </c>
      <c r="AL26" s="41">
        <f t="shared" si="23"/>
        <v>0</v>
      </c>
      <c r="AM26" s="41">
        <f t="shared" si="12"/>
        <v>0</v>
      </c>
      <c r="AN26" s="41" t="str">
        <f t="shared" si="13"/>
        <v/>
      </c>
      <c r="AO26" s="41">
        <f t="shared" si="14"/>
        <v>0</v>
      </c>
      <c r="AP26" s="45"/>
      <c r="AQ26" s="55"/>
      <c r="AR26" s="48"/>
      <c r="AS26" s="48"/>
      <c r="AT26" s="51">
        <f t="shared" si="24"/>
        <v>22</v>
      </c>
      <c r="AU26" s="49" t="str">
        <f t="shared" si="25"/>
        <v/>
      </c>
      <c r="AV26" s="49" t="str">
        <f t="shared" si="26"/>
        <v/>
      </c>
      <c r="AW26" s="50">
        <f xml:space="preserve"> IF(ISERROR(ROUND((1000*NPV($AT$1,$AV27:$AV$124)-$AW$1*($AU27+NPV($AT$1,$AU28:$AU$124)))/AU27,3)), 0, ROUND((1000*NPV($AT$1,$AV27:$AV$124)-$AW$1*($AU27+NPV($AT$1,$AU28:$AU$124)))/AU27,3))</f>
        <v>0</v>
      </c>
      <c r="AX26" s="50">
        <f>IF(ISERROR(ROUND(MAX(0,1000*NPV($AT$2,$AV27:$AV$124)-$AW$2*($AU27+NPV($AT$2,$AU28:$AU$124)))/AU27,3)), 0, ROUND(MAX(0,1000*NPV($AT$2,$AV27:$AV$124)-$AW$2*($AU27+NPV($AT$2,$AU28:$AU$124)))/AU27,3))</f>
        <v>0</v>
      </c>
    </row>
    <row r="27" spans="1:50" ht="15" x14ac:dyDescent="0.25">
      <c r="A27">
        <v>2</v>
      </c>
      <c r="B27">
        <v>3.37297013214739E-4</v>
      </c>
      <c r="C27" s="60">
        <v>2</v>
      </c>
      <c r="D27" s="31">
        <v>7837.7197916334017</v>
      </c>
      <c r="E27" s="5"/>
      <c r="F27" s="2"/>
      <c r="G27" s="8"/>
      <c r="H27" s="4"/>
      <c r="I27" s="51"/>
      <c r="J27" s="41"/>
      <c r="K27" s="41" t="str">
        <f t="shared" si="27"/>
        <v/>
      </c>
      <c r="L27" s="42" t="str">
        <f t="shared" si="28"/>
        <v/>
      </c>
      <c r="M27" s="41" t="str">
        <f t="shared" si="29"/>
        <v/>
      </c>
      <c r="N27" s="43">
        <f t="shared" si="1"/>
        <v>0</v>
      </c>
      <c r="O27" s="44">
        <f t="shared" si="2"/>
        <v>0</v>
      </c>
      <c r="P27" s="41" t="str">
        <f t="shared" si="3"/>
        <v/>
      </c>
      <c r="Q27" s="41" t="str">
        <f t="shared" si="4"/>
        <v/>
      </c>
      <c r="R27" s="44"/>
      <c r="S27" s="44" t="str">
        <f t="shared" si="15"/>
        <v/>
      </c>
      <c r="T27" s="52">
        <f t="shared" si="30"/>
        <v>0</v>
      </c>
      <c r="U27" s="53" t="str">
        <f t="shared" si="16"/>
        <v/>
      </c>
      <c r="V27" s="53" t="str">
        <f t="shared" si="17"/>
        <v/>
      </c>
      <c r="W27" s="53" t="str">
        <f t="shared" si="18"/>
        <v/>
      </c>
      <c r="X27" s="46" t="str">
        <f t="shared" si="5"/>
        <v/>
      </c>
      <c r="Y27" s="54"/>
      <c r="Z27" s="41" t="str">
        <f t="shared" si="19"/>
        <v/>
      </c>
      <c r="AA27" s="41" t="str">
        <f t="shared" si="20"/>
        <v/>
      </c>
      <c r="AB27" s="41" t="str">
        <f t="shared" si="6"/>
        <v/>
      </c>
      <c r="AC27" s="41" t="str">
        <f t="shared" si="7"/>
        <v/>
      </c>
      <c r="AD27" s="54"/>
      <c r="AE27" s="41" t="str">
        <f t="shared" si="8"/>
        <v/>
      </c>
      <c r="AF27" s="41"/>
      <c r="AG27" s="41" t="str">
        <f t="shared" si="9"/>
        <v/>
      </c>
      <c r="AH27" s="41" t="str">
        <f t="shared" si="21"/>
        <v/>
      </c>
      <c r="AI27" s="41" t="str">
        <f t="shared" si="22"/>
        <v/>
      </c>
      <c r="AJ27" s="41">
        <f t="shared" si="10"/>
        <v>0</v>
      </c>
      <c r="AK27" s="41" t="str">
        <f t="shared" si="11"/>
        <v/>
      </c>
      <c r="AL27" s="41">
        <f t="shared" si="23"/>
        <v>0</v>
      </c>
      <c r="AM27" s="41">
        <f t="shared" si="12"/>
        <v>0</v>
      </c>
      <c r="AN27" s="41" t="str">
        <f t="shared" si="13"/>
        <v/>
      </c>
      <c r="AO27" s="41">
        <f t="shared" si="14"/>
        <v>0</v>
      </c>
      <c r="AP27" s="45"/>
      <c r="AQ27" s="55"/>
      <c r="AR27" s="48"/>
      <c r="AS27" s="48"/>
      <c r="AT27" s="51">
        <f t="shared" si="24"/>
        <v>23</v>
      </c>
      <c r="AU27" s="49" t="str">
        <f t="shared" si="25"/>
        <v/>
      </c>
      <c r="AV27" s="49" t="str">
        <f t="shared" si="26"/>
        <v/>
      </c>
      <c r="AW27" s="50">
        <f xml:space="preserve"> IF(ISERROR(ROUND((1000*NPV($AT$1,$AV28:$AV$124)-$AW$1*($AU28+NPV($AT$1,$AU29:$AU$124)))/AU28,3)), 0, ROUND((1000*NPV($AT$1,$AV28:$AV$124)-$AW$1*($AU28+NPV($AT$1,$AU29:$AU$124)))/AU28,3))</f>
        <v>0</v>
      </c>
      <c r="AX27" s="50">
        <f>IF(ISERROR(ROUND(MAX(0,1000*NPV($AT$2,$AV28:$AV$124)-$AW$2*($AU28+NPV($AT$2,$AU29:$AU$124)))/AU28,3)), 0, ROUND(MAX(0,1000*NPV($AT$2,$AV28:$AV$124)-$AW$2*($AU28+NPV($AT$2,$AU29:$AU$124)))/AU28,3))</f>
        <v>0</v>
      </c>
    </row>
    <row r="28" spans="1:50" ht="15" x14ac:dyDescent="0.25">
      <c r="A28">
        <v>3</v>
      </c>
      <c r="B28">
        <v>2.4023107547649299E-4</v>
      </c>
      <c r="C28" s="60">
        <v>3</v>
      </c>
      <c r="D28" s="5">
        <v>7904.126376245993</v>
      </c>
      <c r="E28" s="5"/>
      <c r="F28" s="2"/>
      <c r="G28" s="8"/>
      <c r="H28" s="4"/>
      <c r="I28" s="51"/>
      <c r="J28" s="41"/>
      <c r="K28" s="41" t="str">
        <f t="shared" si="27"/>
        <v/>
      </c>
      <c r="L28" s="42" t="str">
        <f t="shared" si="28"/>
        <v/>
      </c>
      <c r="M28" s="41" t="str">
        <f t="shared" si="29"/>
        <v/>
      </c>
      <c r="N28" s="43">
        <f t="shared" si="1"/>
        <v>0</v>
      </c>
      <c r="O28" s="44">
        <f t="shared" si="2"/>
        <v>0</v>
      </c>
      <c r="P28" s="41" t="str">
        <f t="shared" si="3"/>
        <v/>
      </c>
      <c r="Q28" s="41" t="str">
        <f t="shared" si="4"/>
        <v/>
      </c>
      <c r="R28" s="44"/>
      <c r="S28" s="44" t="str">
        <f t="shared" si="15"/>
        <v/>
      </c>
      <c r="T28" s="52">
        <f t="shared" si="30"/>
        <v>0</v>
      </c>
      <c r="U28" s="53" t="str">
        <f t="shared" si="16"/>
        <v/>
      </c>
      <c r="V28" s="53" t="str">
        <f t="shared" si="17"/>
        <v/>
      </c>
      <c r="W28" s="53" t="str">
        <f t="shared" si="18"/>
        <v/>
      </c>
      <c r="X28" s="46" t="str">
        <f t="shared" si="5"/>
        <v/>
      </c>
      <c r="Y28" s="54"/>
      <c r="Z28" s="41" t="str">
        <f t="shared" si="19"/>
        <v/>
      </c>
      <c r="AA28" s="41" t="str">
        <f t="shared" si="20"/>
        <v/>
      </c>
      <c r="AB28" s="41" t="str">
        <f t="shared" si="6"/>
        <v/>
      </c>
      <c r="AC28" s="41" t="str">
        <f t="shared" si="7"/>
        <v/>
      </c>
      <c r="AD28" s="54"/>
      <c r="AE28" s="41" t="str">
        <f t="shared" si="8"/>
        <v/>
      </c>
      <c r="AF28" s="41"/>
      <c r="AG28" s="41" t="str">
        <f t="shared" si="9"/>
        <v/>
      </c>
      <c r="AH28" s="41" t="str">
        <f t="shared" si="21"/>
        <v/>
      </c>
      <c r="AI28" s="41" t="str">
        <f t="shared" si="22"/>
        <v/>
      </c>
      <c r="AJ28" s="41">
        <f t="shared" si="10"/>
        <v>0</v>
      </c>
      <c r="AK28" s="41" t="str">
        <f t="shared" si="11"/>
        <v/>
      </c>
      <c r="AL28" s="41">
        <f t="shared" si="23"/>
        <v>0</v>
      </c>
      <c r="AM28" s="41">
        <f t="shared" si="12"/>
        <v>0</v>
      </c>
      <c r="AN28" s="41" t="str">
        <f t="shared" si="13"/>
        <v/>
      </c>
      <c r="AO28" s="41">
        <f t="shared" si="14"/>
        <v>0</v>
      </c>
      <c r="AP28" s="45"/>
      <c r="AQ28" s="55"/>
      <c r="AR28" s="48"/>
      <c r="AS28" s="48"/>
      <c r="AT28" s="51">
        <f t="shared" si="24"/>
        <v>24</v>
      </c>
      <c r="AU28" s="49" t="str">
        <f t="shared" si="25"/>
        <v/>
      </c>
      <c r="AV28" s="49" t="str">
        <f t="shared" si="26"/>
        <v/>
      </c>
      <c r="AW28" s="50">
        <f xml:space="preserve"> IF(ISERROR(ROUND((1000*NPV($AT$1,$AV29:$AV$124)-$AW$1*($AU29+NPV($AT$1,$AU30:$AU$124)))/AU29,3)), 0, ROUND((1000*NPV($AT$1,$AV29:$AV$124)-$AW$1*($AU29+NPV($AT$1,$AU30:$AU$124)))/AU29,3))</f>
        <v>0</v>
      </c>
      <c r="AX28" s="50">
        <f>IF(ISERROR(ROUND(MAX(0,1000*NPV($AT$2,$AV29:$AV$124)-$AW$2*($AU29+NPV($AT$2,$AU30:$AU$124)))/AU29,3)), 0, ROUND(MAX(0,1000*NPV($AT$2,$AV29:$AV$124)-$AW$2*($AU29+NPV($AT$2,$AU30:$AU$124)))/AU29,3))</f>
        <v>0</v>
      </c>
    </row>
    <row r="29" spans="1:50" ht="15" x14ac:dyDescent="0.25">
      <c r="A29">
        <v>4</v>
      </c>
      <c r="B29">
        <v>1.80437139263024E-4</v>
      </c>
      <c r="C29" s="60">
        <v>4</v>
      </c>
      <c r="D29" s="5">
        <v>7967.1850736396873</v>
      </c>
      <c r="E29" s="5"/>
      <c r="F29" s="2"/>
      <c r="G29" s="8"/>
      <c r="H29" s="4"/>
      <c r="I29" s="51"/>
      <c r="J29" s="41"/>
      <c r="K29" s="41" t="str">
        <f t="shared" si="27"/>
        <v/>
      </c>
      <c r="L29" s="42" t="str">
        <f t="shared" si="28"/>
        <v/>
      </c>
      <c r="M29" s="41" t="str">
        <f t="shared" si="29"/>
        <v/>
      </c>
      <c r="N29" s="43">
        <f t="shared" si="1"/>
        <v>0</v>
      </c>
      <c r="O29" s="44">
        <f t="shared" si="2"/>
        <v>0</v>
      </c>
      <c r="P29" s="41" t="str">
        <f t="shared" si="3"/>
        <v/>
      </c>
      <c r="Q29" s="41" t="str">
        <f t="shared" si="4"/>
        <v/>
      </c>
      <c r="R29" s="44"/>
      <c r="S29" s="44" t="str">
        <f t="shared" si="15"/>
        <v/>
      </c>
      <c r="T29" s="52">
        <f t="shared" si="30"/>
        <v>0</v>
      </c>
      <c r="U29" s="53" t="str">
        <f t="shared" si="16"/>
        <v/>
      </c>
      <c r="V29" s="53" t="str">
        <f t="shared" si="17"/>
        <v/>
      </c>
      <c r="W29" s="53" t="str">
        <f t="shared" si="18"/>
        <v/>
      </c>
      <c r="X29" s="46" t="str">
        <f t="shared" si="5"/>
        <v/>
      </c>
      <c r="Y29" s="54"/>
      <c r="Z29" s="41" t="str">
        <f t="shared" si="19"/>
        <v/>
      </c>
      <c r="AA29" s="41" t="str">
        <f t="shared" si="20"/>
        <v/>
      </c>
      <c r="AB29" s="41" t="str">
        <f t="shared" si="6"/>
        <v/>
      </c>
      <c r="AC29" s="41" t="str">
        <f t="shared" si="7"/>
        <v/>
      </c>
      <c r="AD29" s="54"/>
      <c r="AE29" s="41" t="str">
        <f t="shared" si="8"/>
        <v/>
      </c>
      <c r="AF29" s="41"/>
      <c r="AG29" s="41" t="str">
        <f t="shared" si="9"/>
        <v/>
      </c>
      <c r="AH29" s="41" t="str">
        <f t="shared" si="21"/>
        <v/>
      </c>
      <c r="AI29" s="41" t="str">
        <f t="shared" si="22"/>
        <v/>
      </c>
      <c r="AJ29" s="41">
        <f t="shared" si="10"/>
        <v>0</v>
      </c>
      <c r="AK29" s="41" t="str">
        <f t="shared" si="11"/>
        <v/>
      </c>
      <c r="AL29" s="41">
        <f t="shared" si="23"/>
        <v>0</v>
      </c>
      <c r="AM29" s="41">
        <f t="shared" si="12"/>
        <v>0</v>
      </c>
      <c r="AN29" s="41" t="str">
        <f t="shared" si="13"/>
        <v/>
      </c>
      <c r="AO29" s="41">
        <f t="shared" si="14"/>
        <v>0</v>
      </c>
      <c r="AP29" s="45"/>
      <c r="AQ29" s="55"/>
      <c r="AR29" s="48"/>
      <c r="AS29" s="48"/>
      <c r="AT29" s="51">
        <f t="shared" si="24"/>
        <v>25</v>
      </c>
      <c r="AU29" s="49" t="str">
        <f t="shared" si="25"/>
        <v/>
      </c>
      <c r="AV29" s="49" t="str">
        <f t="shared" si="26"/>
        <v/>
      </c>
      <c r="AW29" s="50">
        <f xml:space="preserve"> IF(ISERROR(ROUND((1000*NPV($AT$1,$AV30:$AV$124)-$AW$1*($AU30+NPV($AT$1,$AU31:$AU$124)))/AU30,3)), 0, ROUND((1000*NPV($AT$1,$AV30:$AV$124)-$AW$1*($AU30+NPV($AT$1,$AU31:$AU$124)))/AU30,3))</f>
        <v>0</v>
      </c>
      <c r="AX29" s="50">
        <f>IF(ISERROR(ROUND(MAX(0,1000*NPV($AT$2,$AV30:$AV$124)-$AW$2*($AU30+NPV($AT$2,$AU31:$AU$124)))/AU30,3)), 0, ROUND(MAX(0,1000*NPV($AT$2,$AV30:$AV$124)-$AW$2*($AU30+NPV($AT$2,$AU31:$AU$124)))/AU30,3))</f>
        <v>0</v>
      </c>
    </row>
    <row r="30" spans="1:50" ht="15" x14ac:dyDescent="0.25">
      <c r="A30">
        <v>5</v>
      </c>
      <c r="B30">
        <v>1.57663891994917E-4</v>
      </c>
      <c r="C30" s="60">
        <v>5</v>
      </c>
      <c r="D30" s="5">
        <v>8024.9382412722698</v>
      </c>
      <c r="E30" s="5"/>
      <c r="F30" s="2"/>
      <c r="G30" s="8"/>
      <c r="H30" s="4"/>
      <c r="I30" s="51"/>
      <c r="J30" s="41"/>
      <c r="K30" s="41" t="str">
        <f t="shared" si="27"/>
        <v/>
      </c>
      <c r="L30" s="42" t="str">
        <f t="shared" si="28"/>
        <v/>
      </c>
      <c r="M30" s="41" t="str">
        <f t="shared" si="29"/>
        <v/>
      </c>
      <c r="N30" s="43">
        <f t="shared" si="1"/>
        <v>0</v>
      </c>
      <c r="O30" s="44">
        <f t="shared" si="2"/>
        <v>0</v>
      </c>
      <c r="P30" s="41" t="str">
        <f t="shared" si="3"/>
        <v/>
      </c>
      <c r="Q30" s="41" t="str">
        <f t="shared" si="4"/>
        <v/>
      </c>
      <c r="R30" s="44"/>
      <c r="S30" s="44" t="str">
        <f t="shared" si="15"/>
        <v/>
      </c>
      <c r="T30" s="52">
        <f t="shared" si="30"/>
        <v>0</v>
      </c>
      <c r="U30" s="53" t="str">
        <f t="shared" si="16"/>
        <v/>
      </c>
      <c r="V30" s="53" t="str">
        <f t="shared" si="17"/>
        <v/>
      </c>
      <c r="W30" s="53" t="str">
        <f t="shared" si="18"/>
        <v/>
      </c>
      <c r="X30" s="46" t="str">
        <f t="shared" si="5"/>
        <v/>
      </c>
      <c r="Y30" s="54"/>
      <c r="Z30" s="41" t="str">
        <f t="shared" si="19"/>
        <v/>
      </c>
      <c r="AA30" s="41" t="str">
        <f t="shared" si="20"/>
        <v/>
      </c>
      <c r="AB30" s="41" t="str">
        <f t="shared" si="6"/>
        <v/>
      </c>
      <c r="AC30" s="41" t="str">
        <f t="shared" si="7"/>
        <v/>
      </c>
      <c r="AD30" s="54"/>
      <c r="AE30" s="41" t="str">
        <f t="shared" si="8"/>
        <v/>
      </c>
      <c r="AF30" s="41"/>
      <c r="AG30" s="41" t="str">
        <f t="shared" si="9"/>
        <v/>
      </c>
      <c r="AH30" s="41" t="str">
        <f t="shared" si="21"/>
        <v/>
      </c>
      <c r="AI30" s="41" t="str">
        <f t="shared" si="22"/>
        <v/>
      </c>
      <c r="AJ30" s="41">
        <f t="shared" si="10"/>
        <v>0</v>
      </c>
      <c r="AK30" s="41" t="str">
        <f t="shared" si="11"/>
        <v/>
      </c>
      <c r="AL30" s="41">
        <f t="shared" si="23"/>
        <v>0</v>
      </c>
      <c r="AM30" s="41">
        <f t="shared" si="12"/>
        <v>0</v>
      </c>
      <c r="AN30" s="41" t="str">
        <f t="shared" si="13"/>
        <v/>
      </c>
      <c r="AO30" s="41">
        <f t="shared" si="14"/>
        <v>0</v>
      </c>
      <c r="AP30" s="45"/>
      <c r="AQ30" s="55"/>
      <c r="AR30" s="48"/>
      <c r="AS30" s="48"/>
      <c r="AT30" s="51">
        <f t="shared" si="24"/>
        <v>26</v>
      </c>
      <c r="AU30" s="49" t="str">
        <f t="shared" si="25"/>
        <v/>
      </c>
      <c r="AV30" s="49" t="str">
        <f t="shared" si="26"/>
        <v/>
      </c>
      <c r="AW30" s="50">
        <f xml:space="preserve"> IF(ISERROR(ROUND((1000*NPV($AT$1,$AV31:$AV$124)-$AW$1*($AU31+NPV($AT$1,$AU32:$AU$124)))/AU31,3)), 0, ROUND((1000*NPV($AT$1,$AV31:$AV$124)-$AW$1*($AU31+NPV($AT$1,$AU32:$AU$124)))/AU31,3))</f>
        <v>0</v>
      </c>
      <c r="AX30" s="50">
        <f>IF(ISERROR(ROUND(MAX(0,1000*NPV($AT$2,$AV31:$AV$124)-$AW$2*($AU31+NPV($AT$2,$AU32:$AU$124)))/AU31,3)), 0, ROUND(MAX(0,1000*NPV($AT$2,$AV31:$AV$124)-$AW$2*($AU31+NPV($AT$2,$AU32:$AU$124)))/AU31,3))</f>
        <v>0</v>
      </c>
    </row>
    <row r="31" spans="1:50" ht="15" x14ac:dyDescent="0.25">
      <c r="A31">
        <v>6</v>
      </c>
      <c r="B31">
        <v>1.4743796975857701E-4</v>
      </c>
      <c r="C31" s="60">
        <v>6</v>
      </c>
      <c r="D31" s="5">
        <v>8077.2672789069102</v>
      </c>
      <c r="E31" s="5"/>
      <c r="F31" s="2"/>
      <c r="G31" s="8"/>
      <c r="H31" s="4"/>
      <c r="I31" s="51"/>
      <c r="J31" s="41"/>
      <c r="K31" s="41" t="str">
        <f t="shared" si="27"/>
        <v/>
      </c>
      <c r="L31" s="42" t="str">
        <f t="shared" si="28"/>
        <v/>
      </c>
      <c r="M31" s="41" t="str">
        <f t="shared" si="29"/>
        <v/>
      </c>
      <c r="N31" s="43">
        <f t="shared" si="1"/>
        <v>0</v>
      </c>
      <c r="O31" s="44">
        <f t="shared" si="2"/>
        <v>0</v>
      </c>
      <c r="P31" s="41" t="str">
        <f t="shared" si="3"/>
        <v/>
      </c>
      <c r="Q31" s="41" t="str">
        <f t="shared" si="4"/>
        <v/>
      </c>
      <c r="R31" s="44"/>
      <c r="S31" s="44" t="str">
        <f t="shared" si="15"/>
        <v/>
      </c>
      <c r="T31" s="52">
        <f t="shared" si="30"/>
        <v>0</v>
      </c>
      <c r="U31" s="53" t="str">
        <f t="shared" si="16"/>
        <v/>
      </c>
      <c r="V31" s="53" t="str">
        <f t="shared" si="17"/>
        <v/>
      </c>
      <c r="W31" s="53" t="str">
        <f t="shared" si="18"/>
        <v/>
      </c>
      <c r="X31" s="46" t="str">
        <f t="shared" si="5"/>
        <v/>
      </c>
      <c r="Y31" s="54"/>
      <c r="Z31" s="41" t="str">
        <f t="shared" si="19"/>
        <v/>
      </c>
      <c r="AA31" s="41" t="str">
        <f t="shared" si="20"/>
        <v/>
      </c>
      <c r="AB31" s="41" t="str">
        <f t="shared" si="6"/>
        <v/>
      </c>
      <c r="AC31" s="41" t="str">
        <f t="shared" si="7"/>
        <v/>
      </c>
      <c r="AD31" s="54"/>
      <c r="AE31" s="41" t="str">
        <f t="shared" si="8"/>
        <v/>
      </c>
      <c r="AF31" s="41"/>
      <c r="AG31" s="41" t="str">
        <f t="shared" si="9"/>
        <v/>
      </c>
      <c r="AH31" s="41" t="str">
        <f t="shared" si="21"/>
        <v/>
      </c>
      <c r="AI31" s="41" t="str">
        <f t="shared" si="22"/>
        <v/>
      </c>
      <c r="AJ31" s="41">
        <f t="shared" si="10"/>
        <v>0</v>
      </c>
      <c r="AK31" s="41" t="str">
        <f t="shared" si="11"/>
        <v/>
      </c>
      <c r="AL31" s="41">
        <f t="shared" si="23"/>
        <v>0</v>
      </c>
      <c r="AM31" s="41">
        <f t="shared" si="12"/>
        <v>0</v>
      </c>
      <c r="AN31" s="41" t="str">
        <f t="shared" si="13"/>
        <v/>
      </c>
      <c r="AO31" s="41">
        <f t="shared" si="14"/>
        <v>0</v>
      </c>
      <c r="AP31" s="45"/>
      <c r="AQ31" s="55"/>
      <c r="AR31" s="48"/>
      <c r="AS31" s="48"/>
      <c r="AT31" s="51">
        <f t="shared" si="24"/>
        <v>27</v>
      </c>
      <c r="AU31" s="49" t="str">
        <f t="shared" si="25"/>
        <v/>
      </c>
      <c r="AV31" s="49" t="str">
        <f t="shared" si="26"/>
        <v/>
      </c>
      <c r="AW31" s="50">
        <f xml:space="preserve"> IF(ISERROR(ROUND((1000*NPV($AT$1,$AV32:$AV$124)-$AW$1*($AU32+NPV($AT$1,$AU33:$AU$124)))/AU32,3)), 0, ROUND((1000*NPV($AT$1,$AV32:$AV$124)-$AW$1*($AU32+NPV($AT$1,$AU33:$AU$124)))/AU32,3))</f>
        <v>0</v>
      </c>
      <c r="AX31" s="50">
        <f>IF(ISERROR(ROUND(MAX(0,1000*NPV($AT$2,$AV32:$AV$124)-$AW$2*($AU32+NPV($AT$2,$AU33:$AU$124)))/AU32,3)), 0, ROUND(MAX(0,1000*NPV($AT$2,$AV32:$AV$124)-$AW$2*($AU32+NPV($AT$2,$AU33:$AU$124)))/AU32,3))</f>
        <v>0</v>
      </c>
    </row>
    <row r="32" spans="1:50" ht="15" x14ac:dyDescent="0.25">
      <c r="A32">
        <v>7</v>
      </c>
      <c r="B32">
        <v>1.3814060864040701E-4</v>
      </c>
      <c r="C32" s="60">
        <v>7</v>
      </c>
      <c r="D32" s="5">
        <v>8124.743540950808</v>
      </c>
      <c r="E32" s="5"/>
      <c r="F32" s="2"/>
      <c r="G32" s="8"/>
      <c r="H32" s="4"/>
      <c r="I32" s="51"/>
      <c r="J32" s="41"/>
      <c r="K32" s="41" t="str">
        <f t="shared" si="27"/>
        <v/>
      </c>
      <c r="L32" s="42" t="str">
        <f t="shared" si="28"/>
        <v/>
      </c>
      <c r="M32" s="41" t="str">
        <f t="shared" si="29"/>
        <v/>
      </c>
      <c r="N32" s="43">
        <f t="shared" si="1"/>
        <v>0</v>
      </c>
      <c r="O32" s="44">
        <f t="shared" si="2"/>
        <v>0</v>
      </c>
      <c r="P32" s="41" t="str">
        <f t="shared" si="3"/>
        <v/>
      </c>
      <c r="Q32" s="41" t="str">
        <f t="shared" si="4"/>
        <v/>
      </c>
      <c r="R32" s="44"/>
      <c r="S32" s="44" t="str">
        <f t="shared" si="15"/>
        <v/>
      </c>
      <c r="T32" s="52">
        <f t="shared" si="30"/>
        <v>0</v>
      </c>
      <c r="U32" s="53" t="str">
        <f t="shared" si="16"/>
        <v/>
      </c>
      <c r="V32" s="53" t="str">
        <f t="shared" si="17"/>
        <v/>
      </c>
      <c r="W32" s="53" t="str">
        <f t="shared" si="18"/>
        <v/>
      </c>
      <c r="X32" s="46" t="str">
        <f t="shared" si="5"/>
        <v/>
      </c>
      <c r="Y32" s="54"/>
      <c r="Z32" s="41" t="str">
        <f t="shared" si="19"/>
        <v/>
      </c>
      <c r="AA32" s="41" t="str">
        <f t="shared" si="20"/>
        <v/>
      </c>
      <c r="AB32" s="41" t="str">
        <f t="shared" si="6"/>
        <v/>
      </c>
      <c r="AC32" s="41" t="str">
        <f t="shared" si="7"/>
        <v/>
      </c>
      <c r="AD32" s="54"/>
      <c r="AE32" s="41" t="str">
        <f t="shared" si="8"/>
        <v/>
      </c>
      <c r="AF32" s="41"/>
      <c r="AG32" s="41" t="str">
        <f t="shared" si="9"/>
        <v/>
      </c>
      <c r="AH32" s="41" t="str">
        <f t="shared" si="21"/>
        <v/>
      </c>
      <c r="AI32" s="41" t="str">
        <f t="shared" si="22"/>
        <v/>
      </c>
      <c r="AJ32" s="41">
        <f t="shared" si="10"/>
        <v>0</v>
      </c>
      <c r="AK32" s="41" t="str">
        <f t="shared" si="11"/>
        <v/>
      </c>
      <c r="AL32" s="41">
        <f t="shared" si="23"/>
        <v>0</v>
      </c>
      <c r="AM32" s="41">
        <f t="shared" si="12"/>
        <v>0</v>
      </c>
      <c r="AN32" s="41" t="str">
        <f t="shared" si="13"/>
        <v/>
      </c>
      <c r="AO32" s="41">
        <f t="shared" si="14"/>
        <v>0</v>
      </c>
      <c r="AP32" s="45"/>
      <c r="AQ32" s="55"/>
      <c r="AR32" s="48"/>
      <c r="AS32" s="48"/>
      <c r="AT32" s="51">
        <f t="shared" si="24"/>
        <v>28</v>
      </c>
      <c r="AU32" s="49" t="str">
        <f t="shared" si="25"/>
        <v/>
      </c>
      <c r="AV32" s="49" t="str">
        <f t="shared" si="26"/>
        <v/>
      </c>
      <c r="AW32" s="50">
        <f xml:space="preserve"> IF(ISERROR(ROUND((1000*NPV($AT$1,$AV33:$AV$124)-$AW$1*($AU33+NPV($AT$1,$AU34:$AU$124)))/AU33,3)), 0, ROUND((1000*NPV($AT$1,$AV33:$AV$124)-$AW$1*($AU33+NPV($AT$1,$AU34:$AU$124)))/AU33,3))</f>
        <v>0</v>
      </c>
      <c r="AX32" s="50">
        <f>IF(ISERROR(ROUND(MAX(0,1000*NPV($AT$2,$AV33:$AV$124)-$AW$2*($AU33+NPV($AT$2,$AU34:$AU$124)))/AU33,3)), 0, ROUND(MAX(0,1000*NPV($AT$2,$AV33:$AV$124)-$AW$2*($AU33+NPV($AT$2,$AU34:$AU$124)))/AU33,3))</f>
        <v>0</v>
      </c>
    </row>
    <row r="33" spans="1:50" ht="15" x14ac:dyDescent="0.25">
      <c r="A33">
        <v>8</v>
      </c>
      <c r="B33">
        <v>1.28604889199492E-4</v>
      </c>
      <c r="C33" s="60">
        <v>8</v>
      </c>
      <c r="D33" s="5">
        <v>8168.462270609929</v>
      </c>
      <c r="E33" s="5"/>
      <c r="F33" s="2"/>
      <c r="G33" s="8"/>
      <c r="H33" s="4"/>
      <c r="I33" s="51"/>
      <c r="J33" s="41"/>
      <c r="K33" s="41" t="str">
        <f t="shared" si="27"/>
        <v/>
      </c>
      <c r="L33" s="42" t="str">
        <f t="shared" si="28"/>
        <v/>
      </c>
      <c r="M33" s="41" t="str">
        <f t="shared" si="29"/>
        <v/>
      </c>
      <c r="N33" s="43">
        <f t="shared" si="1"/>
        <v>0</v>
      </c>
      <c r="O33" s="44">
        <f t="shared" si="2"/>
        <v>0</v>
      </c>
      <c r="P33" s="41" t="str">
        <f t="shared" si="3"/>
        <v/>
      </c>
      <c r="Q33" s="41" t="str">
        <f t="shared" si="4"/>
        <v/>
      </c>
      <c r="R33" s="44"/>
      <c r="S33" s="44" t="str">
        <f t="shared" si="15"/>
        <v/>
      </c>
      <c r="T33" s="52">
        <f t="shared" si="30"/>
        <v>0</v>
      </c>
      <c r="U33" s="53" t="str">
        <f t="shared" si="16"/>
        <v/>
      </c>
      <c r="V33" s="53" t="str">
        <f t="shared" si="17"/>
        <v/>
      </c>
      <c r="W33" s="53" t="str">
        <f t="shared" si="18"/>
        <v/>
      </c>
      <c r="X33" s="46" t="str">
        <f t="shared" si="5"/>
        <v/>
      </c>
      <c r="Y33" s="54"/>
      <c r="Z33" s="41" t="str">
        <f t="shared" si="19"/>
        <v/>
      </c>
      <c r="AA33" s="41" t="str">
        <f t="shared" si="20"/>
        <v/>
      </c>
      <c r="AB33" s="41" t="str">
        <f t="shared" si="6"/>
        <v/>
      </c>
      <c r="AC33" s="41" t="str">
        <f t="shared" si="7"/>
        <v/>
      </c>
      <c r="AD33" s="54"/>
      <c r="AE33" s="41" t="str">
        <f t="shared" si="8"/>
        <v/>
      </c>
      <c r="AF33" s="41"/>
      <c r="AG33" s="41" t="str">
        <f t="shared" si="9"/>
        <v/>
      </c>
      <c r="AH33" s="41" t="str">
        <f t="shared" si="21"/>
        <v/>
      </c>
      <c r="AI33" s="41" t="str">
        <f t="shared" si="22"/>
        <v/>
      </c>
      <c r="AJ33" s="41">
        <f t="shared" si="10"/>
        <v>0</v>
      </c>
      <c r="AK33" s="41" t="str">
        <f t="shared" si="11"/>
        <v/>
      </c>
      <c r="AL33" s="41">
        <f t="shared" si="23"/>
        <v>0</v>
      </c>
      <c r="AM33" s="41">
        <f t="shared" si="12"/>
        <v>0</v>
      </c>
      <c r="AN33" s="41" t="str">
        <f t="shared" si="13"/>
        <v/>
      </c>
      <c r="AO33" s="41">
        <f t="shared" si="14"/>
        <v>0</v>
      </c>
      <c r="AP33" s="45"/>
      <c r="AQ33" s="55"/>
      <c r="AR33" s="48"/>
      <c r="AS33" s="48"/>
      <c r="AT33" s="51">
        <f t="shared" si="24"/>
        <v>29</v>
      </c>
      <c r="AU33" s="49" t="str">
        <f t="shared" si="25"/>
        <v/>
      </c>
      <c r="AV33" s="49" t="str">
        <f t="shared" si="26"/>
        <v/>
      </c>
      <c r="AW33" s="50">
        <f xml:space="preserve"> IF(ISERROR(ROUND((1000*NPV($AT$1,$AV34:$AV$124)-$AW$1*($AU34+NPV($AT$1,$AU35:$AU$124)))/AU34,3)), 0, ROUND((1000*NPV($AT$1,$AV34:$AV$124)-$AW$1*($AU34+NPV($AT$1,$AU35:$AU$124)))/AU34,3))</f>
        <v>0</v>
      </c>
      <c r="AX33" s="50">
        <f>IF(ISERROR(ROUND(MAX(0,1000*NPV($AT$2,$AV34:$AV$124)-$AW$2*($AU34+NPV($AT$2,$AU35:$AU$124)))/AU34,3)), 0, ROUND(MAX(0,1000*NPV($AT$2,$AV34:$AV$124)-$AW$2*($AU34+NPV($AT$2,$AU35:$AU$124)))/AU34,3))</f>
        <v>0</v>
      </c>
    </row>
    <row r="34" spans="1:50" ht="15" x14ac:dyDescent="0.25">
      <c r="A34">
        <v>9</v>
      </c>
      <c r="B34">
        <v>1.2627726836086399E-4</v>
      </c>
      <c r="C34" s="60">
        <v>9</v>
      </c>
      <c r="D34" s="5">
        <v>8209.3363024999271</v>
      </c>
      <c r="E34" s="5"/>
      <c r="F34" s="2"/>
      <c r="G34" s="8"/>
      <c r="H34" s="4"/>
      <c r="I34" s="51"/>
      <c r="J34" s="41"/>
      <c r="K34" s="41" t="str">
        <f t="shared" si="27"/>
        <v/>
      </c>
      <c r="L34" s="42" t="str">
        <f t="shared" si="28"/>
        <v/>
      </c>
      <c r="M34" s="41" t="str">
        <f t="shared" si="29"/>
        <v/>
      </c>
      <c r="N34" s="43">
        <f t="shared" si="1"/>
        <v>0</v>
      </c>
      <c r="O34" s="44">
        <f t="shared" si="2"/>
        <v>0</v>
      </c>
      <c r="P34" s="41" t="str">
        <f t="shared" si="3"/>
        <v/>
      </c>
      <c r="Q34" s="41" t="str">
        <f t="shared" si="4"/>
        <v/>
      </c>
      <c r="R34" s="44"/>
      <c r="S34" s="44" t="str">
        <f t="shared" si="15"/>
        <v/>
      </c>
      <c r="T34" s="52">
        <f t="shared" si="30"/>
        <v>0</v>
      </c>
      <c r="U34" s="53" t="str">
        <f t="shared" si="16"/>
        <v/>
      </c>
      <c r="V34" s="53" t="str">
        <f t="shared" si="17"/>
        <v/>
      </c>
      <c r="W34" s="53" t="str">
        <f t="shared" si="18"/>
        <v/>
      </c>
      <c r="X34" s="46" t="str">
        <f t="shared" si="5"/>
        <v/>
      </c>
      <c r="Y34" s="54"/>
      <c r="Z34" s="41" t="str">
        <f t="shared" si="19"/>
        <v/>
      </c>
      <c r="AA34" s="41" t="str">
        <f t="shared" si="20"/>
        <v/>
      </c>
      <c r="AB34" s="41" t="str">
        <f t="shared" si="6"/>
        <v/>
      </c>
      <c r="AC34" s="41" t="str">
        <f t="shared" si="7"/>
        <v/>
      </c>
      <c r="AD34" s="54"/>
      <c r="AE34" s="41" t="str">
        <f t="shared" si="8"/>
        <v/>
      </c>
      <c r="AF34" s="41"/>
      <c r="AG34" s="41" t="str">
        <f t="shared" si="9"/>
        <v/>
      </c>
      <c r="AH34" s="41" t="str">
        <f t="shared" si="21"/>
        <v/>
      </c>
      <c r="AI34" s="41" t="str">
        <f t="shared" si="22"/>
        <v/>
      </c>
      <c r="AJ34" s="41">
        <f t="shared" si="10"/>
        <v>0</v>
      </c>
      <c r="AK34" s="41" t="str">
        <f t="shared" si="11"/>
        <v/>
      </c>
      <c r="AL34" s="41">
        <f t="shared" si="23"/>
        <v>0</v>
      </c>
      <c r="AM34" s="41">
        <f t="shared" si="12"/>
        <v>0</v>
      </c>
      <c r="AN34" s="41" t="str">
        <f t="shared" si="13"/>
        <v/>
      </c>
      <c r="AO34" s="41">
        <f t="shared" si="14"/>
        <v>0</v>
      </c>
      <c r="AP34" s="45"/>
      <c r="AQ34" s="55"/>
      <c r="AR34" s="48"/>
      <c r="AS34" s="48"/>
      <c r="AT34" s="51">
        <f t="shared" si="24"/>
        <v>30</v>
      </c>
      <c r="AU34" s="49" t="str">
        <f t="shared" si="25"/>
        <v/>
      </c>
      <c r="AV34" s="49" t="str">
        <f t="shared" si="26"/>
        <v/>
      </c>
      <c r="AW34" s="50">
        <f xml:space="preserve"> IF(ISERROR(ROUND((1000*NPV($AT$1,$AV35:$AV$124)-$AW$1*($AU35+NPV($AT$1,$AU36:$AU$124)))/AU35,3)), 0, ROUND((1000*NPV($AT$1,$AV35:$AV$124)-$AW$1*($AU35+NPV($AT$1,$AU36:$AU$124)))/AU35,3))</f>
        <v>0</v>
      </c>
      <c r="AX34" s="50">
        <f>IF(ISERROR(ROUND(MAX(0,1000*NPV($AT$2,$AV35:$AV$124)-$AW$2*($AU35+NPV($AT$2,$AU36:$AU$124)))/AU35,3)), 0, ROUND(MAX(0,1000*NPV($AT$2,$AV35:$AV$124)-$AW$2*($AU35+NPV($AT$2,$AU36:$AU$124)))/AU35,3))</f>
        <v>0</v>
      </c>
    </row>
    <row r="35" spans="1:50" ht="15" x14ac:dyDescent="0.25">
      <c r="A35">
        <v>10</v>
      </c>
      <c r="B35">
        <v>1.25003605844981E-4</v>
      </c>
      <c r="C35" s="60">
        <v>10</v>
      </c>
      <c r="D35" s="5">
        <v>8250.2031872733005</v>
      </c>
      <c r="E35" s="5"/>
      <c r="F35" s="2"/>
      <c r="G35" s="8"/>
      <c r="H35" s="4"/>
      <c r="I35" s="51"/>
      <c r="J35" s="41"/>
      <c r="K35" s="41" t="str">
        <f t="shared" si="27"/>
        <v/>
      </c>
      <c r="L35" s="42" t="str">
        <f t="shared" si="28"/>
        <v/>
      </c>
      <c r="M35" s="41" t="str">
        <f t="shared" si="29"/>
        <v/>
      </c>
      <c r="N35" s="43">
        <f t="shared" si="1"/>
        <v>0</v>
      </c>
      <c r="O35" s="44">
        <f t="shared" si="2"/>
        <v>0</v>
      </c>
      <c r="P35" s="41" t="str">
        <f t="shared" si="3"/>
        <v/>
      </c>
      <c r="Q35" s="41" t="str">
        <f t="shared" si="4"/>
        <v/>
      </c>
      <c r="R35" s="44"/>
      <c r="S35" s="44" t="str">
        <f t="shared" si="15"/>
        <v/>
      </c>
      <c r="T35" s="52">
        <f t="shared" si="30"/>
        <v>0</v>
      </c>
      <c r="U35" s="53" t="str">
        <f t="shared" si="16"/>
        <v/>
      </c>
      <c r="V35" s="53" t="str">
        <f t="shared" si="17"/>
        <v/>
      </c>
      <c r="W35" s="53" t="str">
        <f t="shared" si="18"/>
        <v/>
      </c>
      <c r="X35" s="46" t="str">
        <f t="shared" si="5"/>
        <v/>
      </c>
      <c r="Y35" s="54"/>
      <c r="Z35" s="41" t="str">
        <f t="shared" si="19"/>
        <v/>
      </c>
      <c r="AA35" s="41" t="str">
        <f t="shared" si="20"/>
        <v/>
      </c>
      <c r="AB35" s="41" t="str">
        <f t="shared" si="6"/>
        <v/>
      </c>
      <c r="AC35" s="41" t="str">
        <f t="shared" si="7"/>
        <v/>
      </c>
      <c r="AD35" s="54"/>
      <c r="AE35" s="41" t="str">
        <f t="shared" si="8"/>
        <v/>
      </c>
      <c r="AF35" s="41"/>
      <c r="AG35" s="41" t="str">
        <f t="shared" si="9"/>
        <v/>
      </c>
      <c r="AH35" s="41" t="str">
        <f t="shared" si="21"/>
        <v/>
      </c>
      <c r="AI35" s="41" t="str">
        <f t="shared" si="22"/>
        <v/>
      </c>
      <c r="AJ35" s="41">
        <f t="shared" si="10"/>
        <v>0</v>
      </c>
      <c r="AK35" s="41" t="str">
        <f t="shared" si="11"/>
        <v/>
      </c>
      <c r="AL35" s="41">
        <f t="shared" si="23"/>
        <v>0</v>
      </c>
      <c r="AM35" s="41">
        <f t="shared" si="12"/>
        <v>0</v>
      </c>
      <c r="AN35" s="41" t="str">
        <f t="shared" si="13"/>
        <v/>
      </c>
      <c r="AO35" s="41">
        <f t="shared" si="14"/>
        <v>0</v>
      </c>
      <c r="AP35" s="45"/>
      <c r="AQ35" s="55"/>
      <c r="AR35" s="48"/>
      <c r="AS35" s="48"/>
      <c r="AT35" s="51">
        <f t="shared" si="24"/>
        <v>31</v>
      </c>
      <c r="AU35" s="49" t="str">
        <f t="shared" si="25"/>
        <v/>
      </c>
      <c r="AV35" s="49" t="str">
        <f t="shared" si="26"/>
        <v/>
      </c>
      <c r="AW35" s="50">
        <f xml:space="preserve"> IF(ISERROR(ROUND((1000*NPV($AT$1,$AV36:$AV$124)-$AW$1*($AU36+NPV($AT$1,$AU37:$AU$124)))/AU36,3)), 0, ROUND((1000*NPV($AT$1,$AV36:$AV$124)-$AW$1*($AU36+NPV($AT$1,$AU37:$AU$124)))/AU36,3))</f>
        <v>0</v>
      </c>
      <c r="AX35" s="50">
        <f>IF(ISERROR(ROUND(MAX(0,1000*NPV($AT$2,$AV36:$AV$124)-$AW$2*($AU36+NPV($AT$2,$AU37:$AU$124)))/AU36,3)), 0, ROUND(MAX(0,1000*NPV($AT$2,$AV36:$AV$124)-$AW$2*($AU36+NPV($AT$2,$AU37:$AU$124)))/AU36,3))</f>
        <v>0</v>
      </c>
    </row>
    <row r="36" spans="1:50" ht="15" x14ac:dyDescent="0.25">
      <c r="A36">
        <v>11</v>
      </c>
      <c r="B36">
        <v>1.36966785006353E-4</v>
      </c>
      <c r="C36" s="60">
        <v>11</v>
      </c>
      <c r="D36" s="5">
        <v>8293.9541943373824</v>
      </c>
      <c r="E36" s="5"/>
      <c r="F36" s="2"/>
      <c r="G36" s="8"/>
      <c r="H36" s="4"/>
      <c r="I36" s="51"/>
      <c r="J36" s="41"/>
      <c r="K36" s="41" t="str">
        <f t="shared" si="27"/>
        <v/>
      </c>
      <c r="L36" s="42" t="str">
        <f t="shared" si="28"/>
        <v/>
      </c>
      <c r="M36" s="41" t="str">
        <f t="shared" si="29"/>
        <v/>
      </c>
      <c r="N36" s="43">
        <f t="shared" si="1"/>
        <v>0</v>
      </c>
      <c r="O36" s="44">
        <f t="shared" si="2"/>
        <v>0</v>
      </c>
      <c r="P36" s="41" t="str">
        <f t="shared" si="3"/>
        <v/>
      </c>
      <c r="Q36" s="41" t="str">
        <f t="shared" si="4"/>
        <v/>
      </c>
      <c r="R36" s="44"/>
      <c r="S36" s="44" t="str">
        <f t="shared" si="15"/>
        <v/>
      </c>
      <c r="T36" s="52">
        <f t="shared" si="30"/>
        <v>0</v>
      </c>
      <c r="U36" s="53" t="str">
        <f t="shared" si="16"/>
        <v/>
      </c>
      <c r="V36" s="53" t="str">
        <f t="shared" si="17"/>
        <v/>
      </c>
      <c r="W36" s="53" t="str">
        <f t="shared" si="18"/>
        <v/>
      </c>
      <c r="X36" s="46" t="str">
        <f t="shared" si="5"/>
        <v/>
      </c>
      <c r="Y36" s="54"/>
      <c r="Z36" s="41" t="str">
        <f t="shared" si="19"/>
        <v/>
      </c>
      <c r="AA36" s="41" t="str">
        <f t="shared" si="20"/>
        <v/>
      </c>
      <c r="AB36" s="41" t="str">
        <f t="shared" si="6"/>
        <v/>
      </c>
      <c r="AC36" s="41" t="str">
        <f t="shared" si="7"/>
        <v/>
      </c>
      <c r="AD36" s="54"/>
      <c r="AE36" s="41" t="str">
        <f t="shared" si="8"/>
        <v/>
      </c>
      <c r="AF36" s="41"/>
      <c r="AG36" s="41" t="str">
        <f t="shared" si="9"/>
        <v/>
      </c>
      <c r="AH36" s="41" t="str">
        <f t="shared" si="21"/>
        <v/>
      </c>
      <c r="AI36" s="41" t="str">
        <f t="shared" si="22"/>
        <v/>
      </c>
      <c r="AJ36" s="41">
        <f t="shared" si="10"/>
        <v>0</v>
      </c>
      <c r="AK36" s="41" t="str">
        <f t="shared" si="11"/>
        <v/>
      </c>
      <c r="AL36" s="41">
        <f t="shared" si="23"/>
        <v>0</v>
      </c>
      <c r="AM36" s="41">
        <f t="shared" si="12"/>
        <v>0</v>
      </c>
      <c r="AN36" s="41" t="str">
        <f t="shared" si="13"/>
        <v/>
      </c>
      <c r="AO36" s="41">
        <f t="shared" si="14"/>
        <v>0</v>
      </c>
      <c r="AP36" s="45"/>
      <c r="AQ36" s="55"/>
      <c r="AR36" s="48"/>
      <c r="AS36" s="48"/>
      <c r="AT36" s="51">
        <f t="shared" si="24"/>
        <v>32</v>
      </c>
      <c r="AU36" s="49" t="str">
        <f t="shared" si="25"/>
        <v/>
      </c>
      <c r="AV36" s="49" t="str">
        <f t="shared" si="26"/>
        <v/>
      </c>
      <c r="AW36" s="50">
        <f xml:space="preserve"> IF(ISERROR(ROUND((1000*NPV($AT$1,$AV37:$AV$124)-$AW$1*($AU37+NPV($AT$1,$AU38:$AU$124)))/AU37,3)), 0, ROUND((1000*NPV($AT$1,$AV37:$AV$124)-$AW$1*($AU37+NPV($AT$1,$AU38:$AU$124)))/AU37,3))</f>
        <v>0</v>
      </c>
      <c r="AX36" s="50">
        <f>IF(ISERROR(ROUND(MAX(0,1000*NPV($AT$2,$AV37:$AV$124)-$AW$2*($AU37+NPV($AT$2,$AU38:$AU$124)))/AU37,3)), 0, ROUND(MAX(0,1000*NPV($AT$2,$AV37:$AV$124)-$AW$2*($AU37+NPV($AT$2,$AU38:$AU$124)))/AU37,3))</f>
        <v>0</v>
      </c>
    </row>
    <row r="37" spans="1:50" ht="15" x14ac:dyDescent="0.25">
      <c r="A37">
        <v>12</v>
      </c>
      <c r="B37">
        <v>1.4521640584498101E-4</v>
      </c>
      <c r="C37" s="60">
        <v>12</v>
      </c>
      <c r="D37" s="5">
        <v>8344.0485973339601</v>
      </c>
      <c r="E37" s="5"/>
      <c r="F37" s="2"/>
      <c r="G37" s="8"/>
      <c r="H37" s="4"/>
      <c r="I37" s="51"/>
      <c r="J37" s="41"/>
      <c r="K37" s="41" t="str">
        <f t="shared" si="27"/>
        <v/>
      </c>
      <c r="L37" s="42" t="str">
        <f t="shared" si="28"/>
        <v/>
      </c>
      <c r="M37" s="41" t="str">
        <f t="shared" si="29"/>
        <v/>
      </c>
      <c r="N37" s="43">
        <f t="shared" si="1"/>
        <v>0</v>
      </c>
      <c r="O37" s="44">
        <f t="shared" si="2"/>
        <v>0</v>
      </c>
      <c r="P37" s="41" t="str">
        <f t="shared" si="3"/>
        <v/>
      </c>
      <c r="Q37" s="41" t="str">
        <f t="shared" si="4"/>
        <v/>
      </c>
      <c r="R37" s="44"/>
      <c r="S37" s="44" t="str">
        <f t="shared" si="15"/>
        <v/>
      </c>
      <c r="T37" s="52">
        <f t="shared" si="30"/>
        <v>0</v>
      </c>
      <c r="U37" s="53" t="str">
        <f t="shared" si="16"/>
        <v/>
      </c>
      <c r="V37" s="53" t="str">
        <f t="shared" si="17"/>
        <v/>
      </c>
      <c r="W37" s="53" t="str">
        <f t="shared" si="18"/>
        <v/>
      </c>
      <c r="X37" s="46" t="str">
        <f t="shared" si="5"/>
        <v/>
      </c>
      <c r="Y37" s="54"/>
      <c r="Z37" s="41" t="str">
        <f t="shared" si="19"/>
        <v/>
      </c>
      <c r="AA37" s="41" t="str">
        <f t="shared" si="20"/>
        <v/>
      </c>
      <c r="AB37" s="41" t="str">
        <f t="shared" si="6"/>
        <v/>
      </c>
      <c r="AC37" s="41" t="str">
        <f t="shared" si="7"/>
        <v/>
      </c>
      <c r="AD37" s="54"/>
      <c r="AE37" s="41" t="str">
        <f t="shared" si="8"/>
        <v/>
      </c>
      <c r="AF37" s="41"/>
      <c r="AG37" s="41" t="str">
        <f t="shared" si="9"/>
        <v/>
      </c>
      <c r="AH37" s="41" t="str">
        <f t="shared" si="21"/>
        <v/>
      </c>
      <c r="AI37" s="41" t="str">
        <f t="shared" si="22"/>
        <v/>
      </c>
      <c r="AJ37" s="41">
        <f t="shared" si="10"/>
        <v>0</v>
      </c>
      <c r="AK37" s="41" t="str">
        <f t="shared" si="11"/>
        <v/>
      </c>
      <c r="AL37" s="41">
        <f t="shared" si="23"/>
        <v>0</v>
      </c>
      <c r="AM37" s="41">
        <f t="shared" si="12"/>
        <v>0</v>
      </c>
      <c r="AN37" s="41" t="str">
        <f t="shared" si="13"/>
        <v/>
      </c>
      <c r="AO37" s="41">
        <f t="shared" si="14"/>
        <v>0</v>
      </c>
      <c r="AP37" s="45"/>
      <c r="AQ37" s="55"/>
      <c r="AR37" s="48"/>
      <c r="AS37" s="48"/>
      <c r="AT37" s="51">
        <f t="shared" si="24"/>
        <v>33</v>
      </c>
      <c r="AU37" s="49" t="str">
        <f t="shared" si="25"/>
        <v/>
      </c>
      <c r="AV37" s="49" t="str">
        <f t="shared" si="26"/>
        <v/>
      </c>
      <c r="AW37" s="50">
        <f xml:space="preserve"> IF(ISERROR(ROUND((1000*NPV($AT$1,$AV38:$AV$124)-$AW$1*($AU38+NPV($AT$1,$AU39:$AU$124)))/AU38,3)), 0, ROUND((1000*NPV($AT$1,$AV38:$AV$124)-$AW$1*($AU38+NPV($AT$1,$AU39:$AU$124)))/AU38,3))</f>
        <v>0</v>
      </c>
      <c r="AX37" s="50">
        <f>IF(ISERROR(ROUND(MAX(0,1000*NPV($AT$2,$AV38:$AV$124)-$AW$2*($AU38+NPV($AT$2,$AU39:$AU$124)))/AU38,3)), 0, ROUND(MAX(0,1000*NPV($AT$2,$AV38:$AV$124)-$AW$2*($AU38+NPV($AT$2,$AU39:$AU$124)))/AU38,3))</f>
        <v>0</v>
      </c>
    </row>
    <row r="38" spans="1:50" ht="15" x14ac:dyDescent="0.25">
      <c r="A38">
        <v>13</v>
      </c>
      <c r="B38">
        <v>1.6118866836086401E-4</v>
      </c>
      <c r="C38" s="60">
        <v>13</v>
      </c>
      <c r="D38" s="5">
        <v>8403.3292104181128</v>
      </c>
      <c r="E38" s="5"/>
      <c r="F38" s="2"/>
      <c r="G38" s="8"/>
      <c r="H38" s="4"/>
      <c r="I38" s="51"/>
      <c r="J38" s="41"/>
      <c r="K38" s="41" t="str">
        <f t="shared" si="27"/>
        <v/>
      </c>
      <c r="L38" s="42" t="str">
        <f t="shared" si="28"/>
        <v/>
      </c>
      <c r="M38" s="41" t="str">
        <f t="shared" si="29"/>
        <v/>
      </c>
      <c r="N38" s="43">
        <f t="shared" si="1"/>
        <v>0</v>
      </c>
      <c r="O38" s="44">
        <f t="shared" si="2"/>
        <v>0</v>
      </c>
      <c r="P38" s="41" t="str">
        <f t="shared" si="3"/>
        <v/>
      </c>
      <c r="Q38" s="41" t="str">
        <f t="shared" si="4"/>
        <v/>
      </c>
      <c r="R38" s="44"/>
      <c r="S38" s="44" t="str">
        <f t="shared" si="15"/>
        <v/>
      </c>
      <c r="T38" s="52">
        <f t="shared" si="30"/>
        <v>0</v>
      </c>
      <c r="U38" s="53" t="str">
        <f t="shared" si="16"/>
        <v/>
      </c>
      <c r="V38" s="53" t="str">
        <f t="shared" si="17"/>
        <v/>
      </c>
      <c r="W38" s="53" t="str">
        <f t="shared" si="18"/>
        <v/>
      </c>
      <c r="X38" s="46" t="str">
        <f t="shared" si="5"/>
        <v/>
      </c>
      <c r="Y38" s="54"/>
      <c r="Z38" s="41" t="str">
        <f t="shared" si="19"/>
        <v/>
      </c>
      <c r="AA38" s="41" t="str">
        <f t="shared" si="20"/>
        <v/>
      </c>
      <c r="AB38" s="41" t="str">
        <f t="shared" si="6"/>
        <v/>
      </c>
      <c r="AC38" s="41" t="str">
        <f t="shared" si="7"/>
        <v/>
      </c>
      <c r="AD38" s="54"/>
      <c r="AE38" s="41" t="str">
        <f t="shared" si="8"/>
        <v/>
      </c>
      <c r="AF38" s="41"/>
      <c r="AG38" s="41" t="str">
        <f t="shared" si="9"/>
        <v/>
      </c>
      <c r="AH38" s="41" t="str">
        <f t="shared" si="21"/>
        <v/>
      </c>
      <c r="AI38" s="41" t="str">
        <f t="shared" si="22"/>
        <v/>
      </c>
      <c r="AJ38" s="41">
        <f t="shared" si="10"/>
        <v>0</v>
      </c>
      <c r="AK38" s="41" t="str">
        <f t="shared" si="11"/>
        <v/>
      </c>
      <c r="AL38" s="41">
        <f t="shared" si="23"/>
        <v>0</v>
      </c>
      <c r="AM38" s="41">
        <f t="shared" si="12"/>
        <v>0</v>
      </c>
      <c r="AN38" s="41" t="str">
        <f t="shared" si="13"/>
        <v/>
      </c>
      <c r="AO38" s="41">
        <f t="shared" si="14"/>
        <v>0</v>
      </c>
      <c r="AP38" s="45"/>
      <c r="AQ38" s="55"/>
      <c r="AR38" s="48"/>
      <c r="AS38" s="48"/>
      <c r="AT38" s="51">
        <f t="shared" si="24"/>
        <v>34</v>
      </c>
      <c r="AU38" s="49" t="str">
        <f t="shared" si="25"/>
        <v/>
      </c>
      <c r="AV38" s="49" t="str">
        <f t="shared" si="26"/>
        <v/>
      </c>
      <c r="AW38" s="50">
        <f xml:space="preserve"> IF(ISERROR(ROUND((1000*NPV($AT$1,$AV39:$AV$124)-$AW$1*($AU39+NPV($AT$1,$AU40:$AU$124)))/AU39,3)), 0, ROUND((1000*NPV($AT$1,$AV39:$AV$124)-$AW$1*($AU39+NPV($AT$1,$AU40:$AU$124)))/AU39,3))</f>
        <v>0</v>
      </c>
      <c r="AX38" s="50">
        <f>IF(ISERROR(ROUND(MAX(0,1000*NPV($AT$2,$AV39:$AV$124)-$AW$2*($AU39+NPV($AT$2,$AU40:$AU$124)))/AU39,3)), 0, ROUND(MAX(0,1000*NPV($AT$2,$AV39:$AV$124)-$AW$2*($AU39+NPV($AT$2,$AU40:$AU$124)))/AU39,3))</f>
        <v>0</v>
      </c>
    </row>
    <row r="39" spans="1:50" ht="15" x14ac:dyDescent="0.25">
      <c r="A39">
        <v>14</v>
      </c>
      <c r="B39">
        <v>1.81000572554003E-4</v>
      </c>
      <c r="C39" s="60">
        <v>14</v>
      </c>
      <c r="D39" s="5">
        <v>8474.6686632092606</v>
      </c>
      <c r="E39" s="5"/>
      <c r="F39" s="2"/>
      <c r="G39" s="8"/>
      <c r="H39" s="4"/>
      <c r="I39" s="51"/>
      <c r="J39" s="41"/>
      <c r="K39" s="41" t="str">
        <f t="shared" si="27"/>
        <v/>
      </c>
      <c r="L39" s="42" t="str">
        <f t="shared" si="28"/>
        <v/>
      </c>
      <c r="M39" s="41" t="str">
        <f t="shared" si="29"/>
        <v/>
      </c>
      <c r="N39" s="43">
        <f t="shared" si="1"/>
        <v>0</v>
      </c>
      <c r="O39" s="44">
        <f t="shared" si="2"/>
        <v>0</v>
      </c>
      <c r="P39" s="41" t="str">
        <f t="shared" si="3"/>
        <v/>
      </c>
      <c r="Q39" s="41" t="str">
        <f t="shared" si="4"/>
        <v/>
      </c>
      <c r="R39" s="44"/>
      <c r="S39" s="44" t="str">
        <f t="shared" si="15"/>
        <v/>
      </c>
      <c r="T39" s="52">
        <f t="shared" si="30"/>
        <v>0</v>
      </c>
      <c r="U39" s="53" t="str">
        <f t="shared" si="16"/>
        <v/>
      </c>
      <c r="V39" s="53" t="str">
        <f t="shared" si="17"/>
        <v/>
      </c>
      <c r="W39" s="53" t="str">
        <f t="shared" si="18"/>
        <v/>
      </c>
      <c r="X39" s="46" t="str">
        <f t="shared" si="5"/>
        <v/>
      </c>
      <c r="Y39" s="54"/>
      <c r="Z39" s="41" t="str">
        <f t="shared" si="19"/>
        <v/>
      </c>
      <c r="AA39" s="41" t="str">
        <f t="shared" si="20"/>
        <v/>
      </c>
      <c r="AB39" s="41" t="str">
        <f t="shared" si="6"/>
        <v/>
      </c>
      <c r="AC39" s="41" t="str">
        <f t="shared" si="7"/>
        <v/>
      </c>
      <c r="AD39" s="54"/>
      <c r="AE39" s="41" t="str">
        <f t="shared" si="8"/>
        <v/>
      </c>
      <c r="AF39" s="41"/>
      <c r="AG39" s="41" t="str">
        <f t="shared" si="9"/>
        <v/>
      </c>
      <c r="AH39" s="41" t="str">
        <f t="shared" si="21"/>
        <v/>
      </c>
      <c r="AI39" s="41" t="str">
        <f t="shared" si="22"/>
        <v/>
      </c>
      <c r="AJ39" s="41">
        <f t="shared" si="10"/>
        <v>0</v>
      </c>
      <c r="AK39" s="41" t="str">
        <f t="shared" si="11"/>
        <v/>
      </c>
      <c r="AL39" s="41">
        <f t="shared" si="23"/>
        <v>0</v>
      </c>
      <c r="AM39" s="41">
        <f t="shared" si="12"/>
        <v>0</v>
      </c>
      <c r="AN39" s="41" t="str">
        <f t="shared" si="13"/>
        <v/>
      </c>
      <c r="AO39" s="41">
        <f t="shared" si="14"/>
        <v>0</v>
      </c>
      <c r="AP39" s="45"/>
      <c r="AQ39" s="55"/>
      <c r="AR39" s="48"/>
      <c r="AS39" s="48"/>
      <c r="AT39" s="51">
        <f t="shared" si="24"/>
        <v>35</v>
      </c>
      <c r="AU39" s="49" t="str">
        <f t="shared" si="25"/>
        <v/>
      </c>
      <c r="AV39" s="49" t="str">
        <f t="shared" si="26"/>
        <v/>
      </c>
      <c r="AW39" s="50">
        <f xml:space="preserve"> IF(ISERROR(ROUND((1000*NPV($AT$1,$AV40:$AV$124)-$AW$1*($AU40+NPV($AT$1,$AU41:$AU$124)))/AU40,3)), 0, ROUND((1000*NPV($AT$1,$AV40:$AV$124)-$AW$1*($AU40+NPV($AT$1,$AU41:$AU$124)))/AU40,3))</f>
        <v>0</v>
      </c>
      <c r="AX39" s="50">
        <f>IF(ISERROR(ROUND(MAX(0,1000*NPV($AT$2,$AV40:$AV$124)-$AW$2*($AU40+NPV($AT$2,$AU41:$AU$124)))/AU40,3)), 0, ROUND(MAX(0,1000*NPV($AT$2,$AV40:$AV$124)-$AW$2*($AU40+NPV($AT$2,$AU41:$AU$124)))/AU40,3))</f>
        <v>0</v>
      </c>
    </row>
    <row r="40" spans="1:50" ht="15" x14ac:dyDescent="0.25">
      <c r="A40">
        <v>15</v>
      </c>
      <c r="B40">
        <v>2.1694796289707801E-4</v>
      </c>
      <c r="C40" s="60">
        <v>15</v>
      </c>
      <c r="D40" s="5">
        <v>8564.0884090506879</v>
      </c>
      <c r="E40" s="5"/>
      <c r="F40" s="2"/>
      <c r="G40" s="8"/>
      <c r="H40" s="4"/>
      <c r="I40" s="51"/>
      <c r="J40" s="41"/>
      <c r="K40" s="41" t="str">
        <f t="shared" si="27"/>
        <v/>
      </c>
      <c r="L40" s="42" t="str">
        <f t="shared" si="28"/>
        <v/>
      </c>
      <c r="M40" s="41" t="str">
        <f t="shared" si="29"/>
        <v/>
      </c>
      <c r="N40" s="43">
        <f t="shared" si="1"/>
        <v>0</v>
      </c>
      <c r="O40" s="44">
        <f t="shared" si="2"/>
        <v>0</v>
      </c>
      <c r="P40" s="41" t="str">
        <f t="shared" si="3"/>
        <v/>
      </c>
      <c r="Q40" s="41" t="str">
        <f t="shared" si="4"/>
        <v/>
      </c>
      <c r="R40" s="44"/>
      <c r="S40" s="44" t="str">
        <f t="shared" si="15"/>
        <v/>
      </c>
      <c r="T40" s="52">
        <f t="shared" si="30"/>
        <v>0</v>
      </c>
      <c r="U40" s="53" t="str">
        <f t="shared" si="16"/>
        <v/>
      </c>
      <c r="V40" s="53" t="str">
        <f t="shared" si="17"/>
        <v/>
      </c>
      <c r="W40" s="53" t="str">
        <f t="shared" si="18"/>
        <v/>
      </c>
      <c r="X40" s="46" t="str">
        <f t="shared" si="5"/>
        <v/>
      </c>
      <c r="Y40" s="54"/>
      <c r="Z40" s="41" t="str">
        <f t="shared" si="19"/>
        <v/>
      </c>
      <c r="AA40" s="41" t="str">
        <f t="shared" si="20"/>
        <v/>
      </c>
      <c r="AB40" s="41" t="str">
        <f t="shared" si="6"/>
        <v/>
      </c>
      <c r="AC40" s="41" t="str">
        <f t="shared" si="7"/>
        <v/>
      </c>
      <c r="AD40" s="54"/>
      <c r="AE40" s="41" t="str">
        <f t="shared" si="8"/>
        <v/>
      </c>
      <c r="AF40" s="41"/>
      <c r="AG40" s="41" t="str">
        <f t="shared" si="9"/>
        <v/>
      </c>
      <c r="AH40" s="41" t="str">
        <f t="shared" si="21"/>
        <v/>
      </c>
      <c r="AI40" s="41" t="str">
        <f t="shared" si="22"/>
        <v/>
      </c>
      <c r="AJ40" s="41">
        <f t="shared" si="10"/>
        <v>0</v>
      </c>
      <c r="AK40" s="41" t="str">
        <f t="shared" si="11"/>
        <v/>
      </c>
      <c r="AL40" s="41">
        <f t="shared" si="23"/>
        <v>0</v>
      </c>
      <c r="AM40" s="41">
        <f t="shared" si="12"/>
        <v>0</v>
      </c>
      <c r="AN40" s="41" t="str">
        <f t="shared" si="13"/>
        <v/>
      </c>
      <c r="AO40" s="41">
        <f t="shared" si="14"/>
        <v>0</v>
      </c>
      <c r="AP40" s="45"/>
      <c r="AQ40" s="55"/>
      <c r="AR40" s="48"/>
      <c r="AS40" s="48"/>
      <c r="AT40" s="51">
        <f t="shared" si="24"/>
        <v>36</v>
      </c>
      <c r="AU40" s="49" t="str">
        <f t="shared" si="25"/>
        <v/>
      </c>
      <c r="AV40" s="49" t="str">
        <f t="shared" si="26"/>
        <v/>
      </c>
      <c r="AW40" s="50">
        <f xml:space="preserve"> IF(ISERROR(ROUND((1000*NPV($AT$1,$AV41:$AV$124)-$AW$1*($AU41+NPV($AT$1,$AU42:$AU$124)))/AU41,3)), 0, ROUND((1000*NPV($AT$1,$AV41:$AV$124)-$AW$1*($AU41+NPV($AT$1,$AU42:$AU$124)))/AU41,3))</f>
        <v>0</v>
      </c>
      <c r="AX40" s="50">
        <f>IF(ISERROR(ROUND(MAX(0,1000*NPV($AT$2,$AV41:$AV$124)-$AW$2*($AU41+NPV($AT$2,$AU42:$AU$124)))/AU41,3)), 0, ROUND(MAX(0,1000*NPV($AT$2,$AV41:$AV$124)-$AW$2*($AU41+NPV($AT$2,$AU42:$AU$124)))/AU41,3))</f>
        <v>0</v>
      </c>
    </row>
    <row r="41" spans="1:50" ht="15" x14ac:dyDescent="0.25">
      <c r="A41">
        <v>16</v>
      </c>
      <c r="B41">
        <v>2.6258807827191902E-4</v>
      </c>
      <c r="C41" s="60">
        <v>16</v>
      </c>
      <c r="D41" s="5">
        <v>8674.5737518517344</v>
      </c>
      <c r="E41" s="5"/>
      <c r="F41" s="2"/>
      <c r="G41" s="8"/>
      <c r="H41" s="4"/>
      <c r="I41" s="51"/>
      <c r="J41" s="41"/>
      <c r="K41" s="41" t="str">
        <f t="shared" si="27"/>
        <v/>
      </c>
      <c r="L41" s="42" t="str">
        <f t="shared" si="28"/>
        <v/>
      </c>
      <c r="M41" s="41" t="str">
        <f t="shared" si="29"/>
        <v/>
      </c>
      <c r="N41" s="43">
        <f t="shared" si="1"/>
        <v>0</v>
      </c>
      <c r="O41" s="44">
        <f t="shared" si="2"/>
        <v>0</v>
      </c>
      <c r="P41" s="41" t="str">
        <f t="shared" si="3"/>
        <v/>
      </c>
      <c r="Q41" s="41" t="str">
        <f t="shared" si="4"/>
        <v/>
      </c>
      <c r="R41" s="44"/>
      <c r="S41" s="44" t="str">
        <f t="shared" si="15"/>
        <v/>
      </c>
      <c r="T41" s="52">
        <f t="shared" si="30"/>
        <v>0</v>
      </c>
      <c r="U41" s="53" t="str">
        <f t="shared" si="16"/>
        <v/>
      </c>
      <c r="V41" s="53" t="str">
        <f t="shared" si="17"/>
        <v/>
      </c>
      <c r="W41" s="53" t="str">
        <f t="shared" si="18"/>
        <v/>
      </c>
      <c r="X41" s="46" t="str">
        <f t="shared" si="5"/>
        <v/>
      </c>
      <c r="Y41" s="54"/>
      <c r="Z41" s="41" t="str">
        <f t="shared" si="19"/>
        <v/>
      </c>
      <c r="AA41" s="41" t="str">
        <f t="shared" si="20"/>
        <v/>
      </c>
      <c r="AB41" s="41" t="str">
        <f t="shared" si="6"/>
        <v/>
      </c>
      <c r="AC41" s="41" t="str">
        <f t="shared" si="7"/>
        <v/>
      </c>
      <c r="AD41" s="54"/>
      <c r="AE41" s="41" t="str">
        <f t="shared" si="8"/>
        <v/>
      </c>
      <c r="AF41" s="41"/>
      <c r="AG41" s="41" t="str">
        <f t="shared" si="9"/>
        <v/>
      </c>
      <c r="AH41" s="41" t="str">
        <f t="shared" si="21"/>
        <v/>
      </c>
      <c r="AI41" s="41" t="str">
        <f t="shared" si="22"/>
        <v/>
      </c>
      <c r="AJ41" s="41">
        <f t="shared" si="10"/>
        <v>0</v>
      </c>
      <c r="AK41" s="41" t="str">
        <f t="shared" si="11"/>
        <v/>
      </c>
      <c r="AL41" s="41">
        <f t="shared" si="23"/>
        <v>0</v>
      </c>
      <c r="AM41" s="41">
        <f t="shared" si="12"/>
        <v>0</v>
      </c>
      <c r="AN41" s="41" t="str">
        <f t="shared" si="13"/>
        <v/>
      </c>
      <c r="AO41" s="41">
        <f t="shared" si="14"/>
        <v>0</v>
      </c>
      <c r="AP41" s="45"/>
      <c r="AQ41" s="55"/>
      <c r="AR41" s="48"/>
      <c r="AS41" s="48"/>
      <c r="AT41" s="51">
        <f t="shared" si="24"/>
        <v>37</v>
      </c>
      <c r="AU41" s="49" t="str">
        <f t="shared" si="25"/>
        <v/>
      </c>
      <c r="AV41" s="49" t="str">
        <f t="shared" si="26"/>
        <v/>
      </c>
      <c r="AW41" s="50">
        <f xml:space="preserve"> IF(ISERROR(ROUND((1000*NPV($AT$1,$AV42:$AV$124)-$AW$1*($AU42+NPV($AT$1,$AU43:$AU$124)))/AU42,3)), 0, ROUND((1000*NPV($AT$1,$AV42:$AV$124)-$AW$1*($AU42+NPV($AT$1,$AU43:$AU$124)))/AU42,3))</f>
        <v>0</v>
      </c>
      <c r="AX41" s="50">
        <f>IF(ISERROR(ROUND(MAX(0,1000*NPV($AT$2,$AV42:$AV$124)-$AW$2*($AU42+NPV($AT$2,$AU43:$AU$124)))/AU42,3)), 0, ROUND(MAX(0,1000*NPV($AT$2,$AV42:$AV$124)-$AW$2*($AU42+NPV($AT$2,$AU43:$AU$124)))/AU42,3))</f>
        <v>0</v>
      </c>
    </row>
    <row r="42" spans="1:50" ht="15" x14ac:dyDescent="0.25">
      <c r="A42">
        <v>17</v>
      </c>
      <c r="B42">
        <v>3.1455799364676001E-4</v>
      </c>
      <c r="C42" s="60">
        <v>17</v>
      </c>
      <c r="D42" s="5">
        <v>8804.4140057586064</v>
      </c>
      <c r="E42" s="5"/>
      <c r="F42" s="2"/>
      <c r="G42" s="8"/>
      <c r="H42" s="4"/>
      <c r="I42" s="51"/>
      <c r="J42" s="41"/>
      <c r="K42" s="41" t="str">
        <f t="shared" si="27"/>
        <v/>
      </c>
      <c r="L42" s="42" t="str">
        <f t="shared" si="28"/>
        <v/>
      </c>
      <c r="M42" s="41" t="str">
        <f t="shared" si="29"/>
        <v/>
      </c>
      <c r="N42" s="43">
        <f t="shared" si="1"/>
        <v>0</v>
      </c>
      <c r="O42" s="44">
        <f t="shared" si="2"/>
        <v>0</v>
      </c>
      <c r="P42" s="41" t="str">
        <f t="shared" si="3"/>
        <v/>
      </c>
      <c r="Q42" s="41" t="str">
        <f t="shared" si="4"/>
        <v/>
      </c>
      <c r="R42" s="44"/>
      <c r="S42" s="44" t="str">
        <f t="shared" si="15"/>
        <v/>
      </c>
      <c r="T42" s="52">
        <f t="shared" si="30"/>
        <v>0</v>
      </c>
      <c r="U42" s="53" t="str">
        <f t="shared" si="16"/>
        <v/>
      </c>
      <c r="V42" s="53" t="str">
        <f t="shared" si="17"/>
        <v/>
      </c>
      <c r="W42" s="53" t="str">
        <f t="shared" si="18"/>
        <v/>
      </c>
      <c r="X42" s="46" t="str">
        <f t="shared" si="5"/>
        <v/>
      </c>
      <c r="Y42" s="54"/>
      <c r="Z42" s="41" t="str">
        <f t="shared" si="19"/>
        <v/>
      </c>
      <c r="AA42" s="41" t="str">
        <f t="shared" si="20"/>
        <v/>
      </c>
      <c r="AB42" s="41" t="str">
        <f t="shared" si="6"/>
        <v/>
      </c>
      <c r="AC42" s="41" t="str">
        <f t="shared" si="7"/>
        <v/>
      </c>
      <c r="AD42" s="54"/>
      <c r="AE42" s="41" t="str">
        <f t="shared" si="8"/>
        <v/>
      </c>
      <c r="AF42" s="41"/>
      <c r="AG42" s="41" t="str">
        <f t="shared" si="9"/>
        <v/>
      </c>
      <c r="AH42" s="41" t="str">
        <f t="shared" si="21"/>
        <v/>
      </c>
      <c r="AI42" s="41" t="str">
        <f t="shared" si="22"/>
        <v/>
      </c>
      <c r="AJ42" s="41">
        <f t="shared" si="10"/>
        <v>0</v>
      </c>
      <c r="AK42" s="41" t="str">
        <f t="shared" si="11"/>
        <v/>
      </c>
      <c r="AL42" s="41">
        <f t="shared" si="23"/>
        <v>0</v>
      </c>
      <c r="AM42" s="41">
        <f t="shared" si="12"/>
        <v>0</v>
      </c>
      <c r="AN42" s="41" t="str">
        <f t="shared" si="13"/>
        <v/>
      </c>
      <c r="AO42" s="41">
        <f t="shared" si="14"/>
        <v>0</v>
      </c>
      <c r="AP42" s="45"/>
      <c r="AQ42" s="55"/>
      <c r="AR42" s="48"/>
      <c r="AS42" s="48"/>
      <c r="AT42" s="51">
        <f t="shared" si="24"/>
        <v>38</v>
      </c>
      <c r="AU42" s="49" t="str">
        <f t="shared" si="25"/>
        <v/>
      </c>
      <c r="AV42" s="49" t="str">
        <f t="shared" si="26"/>
        <v/>
      </c>
      <c r="AW42" s="50">
        <f xml:space="preserve"> IF(ISERROR(ROUND((1000*NPV($AT$1,$AV43:$AV$124)-$AW$1*($AU43+NPV($AT$1,$AU44:$AU$124)))/AU43,3)), 0, ROUND((1000*NPV($AT$1,$AV43:$AV$124)-$AW$1*($AU43+NPV($AT$1,$AU44:$AU$124)))/AU43,3))</f>
        <v>0</v>
      </c>
      <c r="AX42" s="50">
        <f>IF(ISERROR(ROUND(MAX(0,1000*NPV($AT$2,$AV43:$AV$124)-$AW$2*($AU43+NPV($AT$2,$AU44:$AU$124)))/AU43,3)), 0, ROUND(MAX(0,1000*NPV($AT$2,$AV43:$AV$124)-$AW$2*($AU43+NPV($AT$2,$AU44:$AU$124)))/AU43,3))</f>
        <v>0</v>
      </c>
    </row>
    <row r="43" spans="1:50" ht="15" x14ac:dyDescent="0.25">
      <c r="A43">
        <v>18</v>
      </c>
      <c r="B43">
        <v>3.76219947903431E-4</v>
      </c>
      <c r="C43" s="60">
        <v>18</v>
      </c>
      <c r="D43" s="5">
        <v>8954.5486456901017</v>
      </c>
      <c r="E43" s="5"/>
      <c r="F43" s="2"/>
      <c r="G43" s="8"/>
      <c r="H43" s="4"/>
      <c r="I43" s="51"/>
      <c r="J43" s="41"/>
      <c r="K43" s="41" t="str">
        <f t="shared" si="27"/>
        <v/>
      </c>
      <c r="L43" s="42" t="str">
        <f t="shared" si="28"/>
        <v/>
      </c>
      <c r="M43" s="41" t="str">
        <f t="shared" si="29"/>
        <v/>
      </c>
      <c r="N43" s="43">
        <f t="shared" si="1"/>
        <v>0</v>
      </c>
      <c r="O43" s="44">
        <f t="shared" si="2"/>
        <v>0</v>
      </c>
      <c r="P43" s="41" t="str">
        <f t="shared" si="3"/>
        <v/>
      </c>
      <c r="Q43" s="41" t="str">
        <f t="shared" si="4"/>
        <v/>
      </c>
      <c r="R43" s="44"/>
      <c r="S43" s="44" t="str">
        <f t="shared" si="15"/>
        <v/>
      </c>
      <c r="T43" s="52">
        <f t="shared" si="30"/>
        <v>0</v>
      </c>
      <c r="U43" s="53" t="str">
        <f t="shared" si="16"/>
        <v/>
      </c>
      <c r="V43" s="53" t="str">
        <f t="shared" si="17"/>
        <v/>
      </c>
      <c r="W43" s="53" t="str">
        <f t="shared" si="18"/>
        <v/>
      </c>
      <c r="X43" s="46" t="str">
        <f t="shared" si="5"/>
        <v/>
      </c>
      <c r="Y43" s="54"/>
      <c r="Z43" s="41" t="str">
        <f t="shared" si="19"/>
        <v/>
      </c>
      <c r="AA43" s="41" t="str">
        <f t="shared" si="20"/>
        <v/>
      </c>
      <c r="AB43" s="41" t="str">
        <f t="shared" si="6"/>
        <v/>
      </c>
      <c r="AC43" s="41" t="str">
        <f t="shared" si="7"/>
        <v/>
      </c>
      <c r="AD43" s="54"/>
      <c r="AE43" s="41" t="str">
        <f t="shared" si="8"/>
        <v/>
      </c>
      <c r="AF43" s="41"/>
      <c r="AG43" s="41" t="str">
        <f t="shared" si="9"/>
        <v/>
      </c>
      <c r="AH43" s="41" t="str">
        <f t="shared" si="21"/>
        <v/>
      </c>
      <c r="AI43" s="41" t="str">
        <f t="shared" si="22"/>
        <v/>
      </c>
      <c r="AJ43" s="41">
        <f t="shared" si="10"/>
        <v>0</v>
      </c>
      <c r="AK43" s="41" t="str">
        <f t="shared" si="11"/>
        <v/>
      </c>
      <c r="AL43" s="41">
        <f t="shared" si="23"/>
        <v>0</v>
      </c>
      <c r="AM43" s="41">
        <f t="shared" si="12"/>
        <v>0</v>
      </c>
      <c r="AN43" s="41" t="str">
        <f t="shared" si="13"/>
        <v/>
      </c>
      <c r="AO43" s="41">
        <f t="shared" si="14"/>
        <v>0</v>
      </c>
      <c r="AP43" s="45"/>
      <c r="AQ43" s="55"/>
      <c r="AR43" s="48"/>
      <c r="AS43" s="48"/>
      <c r="AT43" s="51">
        <f t="shared" si="24"/>
        <v>39</v>
      </c>
      <c r="AU43" s="49" t="str">
        <f t="shared" si="25"/>
        <v/>
      </c>
      <c r="AV43" s="49" t="str">
        <f t="shared" si="26"/>
        <v/>
      </c>
      <c r="AW43" s="50">
        <f xml:space="preserve"> IF(ISERROR(ROUND((1000*NPV($AT$1,$AV44:$AV$124)-$AW$1*($AU44+NPV($AT$1,$AU45:$AU$124)))/AU44,3)), 0, ROUND((1000*NPV($AT$1,$AV44:$AV$124)-$AW$1*($AU44+NPV($AT$1,$AU45:$AU$124)))/AU44,3))</f>
        <v>0</v>
      </c>
      <c r="AX43" s="50">
        <f>IF(ISERROR(ROUND(MAX(0,1000*NPV($AT$2,$AV44:$AV$124)-$AW$2*($AU44+NPV($AT$2,$AU45:$AU$124)))/AU44,3)), 0, ROUND(MAX(0,1000*NPV($AT$2,$AV44:$AV$124)-$AW$2*($AU44+NPV($AT$2,$AU45:$AU$124)))/AU44,3))</f>
        <v>0</v>
      </c>
    </row>
    <row r="44" spans="1:50" ht="15" x14ac:dyDescent="0.25">
      <c r="A44">
        <v>19</v>
      </c>
      <c r="B44">
        <v>4.2354015349428198E-4</v>
      </c>
      <c r="C44" s="60">
        <v>19</v>
      </c>
      <c r="D44" s="5">
        <v>9127.497629186124</v>
      </c>
      <c r="E44" s="5"/>
      <c r="F44" s="2"/>
      <c r="G44" s="8"/>
      <c r="H44" s="4"/>
      <c r="I44" s="51"/>
      <c r="J44" s="41"/>
      <c r="K44" s="41" t="str">
        <f t="shared" si="27"/>
        <v/>
      </c>
      <c r="L44" s="42" t="str">
        <f t="shared" si="28"/>
        <v/>
      </c>
      <c r="M44" s="41" t="str">
        <f t="shared" si="29"/>
        <v/>
      </c>
      <c r="N44" s="43">
        <f t="shared" si="1"/>
        <v>0</v>
      </c>
      <c r="O44" s="44">
        <f t="shared" si="2"/>
        <v>0</v>
      </c>
      <c r="P44" s="41" t="str">
        <f t="shared" si="3"/>
        <v/>
      </c>
      <c r="Q44" s="41" t="str">
        <f t="shared" si="4"/>
        <v/>
      </c>
      <c r="R44" s="44"/>
      <c r="S44" s="44" t="str">
        <f t="shared" si="15"/>
        <v/>
      </c>
      <c r="T44" s="52">
        <f t="shared" si="30"/>
        <v>0</v>
      </c>
      <c r="U44" s="53" t="str">
        <f t="shared" si="16"/>
        <v/>
      </c>
      <c r="V44" s="53" t="str">
        <f t="shared" si="17"/>
        <v/>
      </c>
      <c r="W44" s="53" t="str">
        <f t="shared" si="18"/>
        <v/>
      </c>
      <c r="X44" s="46" t="str">
        <f t="shared" si="5"/>
        <v/>
      </c>
      <c r="Y44" s="54"/>
      <c r="Z44" s="41" t="str">
        <f t="shared" si="19"/>
        <v/>
      </c>
      <c r="AA44" s="41" t="str">
        <f t="shared" si="20"/>
        <v/>
      </c>
      <c r="AB44" s="41" t="str">
        <f t="shared" si="6"/>
        <v/>
      </c>
      <c r="AC44" s="41" t="str">
        <f t="shared" si="7"/>
        <v/>
      </c>
      <c r="AD44" s="54"/>
      <c r="AE44" s="41" t="str">
        <f t="shared" si="8"/>
        <v/>
      </c>
      <c r="AF44" s="41"/>
      <c r="AG44" s="41" t="str">
        <f t="shared" si="9"/>
        <v/>
      </c>
      <c r="AH44" s="41" t="str">
        <f t="shared" si="21"/>
        <v/>
      </c>
      <c r="AI44" s="41" t="str">
        <f t="shared" si="22"/>
        <v/>
      </c>
      <c r="AJ44" s="41">
        <f t="shared" si="10"/>
        <v>0</v>
      </c>
      <c r="AK44" s="41" t="str">
        <f t="shared" si="11"/>
        <v/>
      </c>
      <c r="AL44" s="41">
        <f t="shared" si="23"/>
        <v>0</v>
      </c>
      <c r="AM44" s="41">
        <f t="shared" si="12"/>
        <v>0</v>
      </c>
      <c r="AN44" s="41" t="str">
        <f t="shared" si="13"/>
        <v/>
      </c>
      <c r="AO44" s="41">
        <f t="shared" si="14"/>
        <v>0</v>
      </c>
      <c r="AP44" s="45"/>
      <c r="AQ44" s="55"/>
      <c r="AR44" s="48"/>
      <c r="AS44" s="48"/>
      <c r="AT44" s="51">
        <f t="shared" si="24"/>
        <v>40</v>
      </c>
      <c r="AU44" s="49" t="str">
        <f t="shared" si="25"/>
        <v/>
      </c>
      <c r="AV44" s="49" t="str">
        <f t="shared" si="26"/>
        <v/>
      </c>
      <c r="AW44" s="50">
        <f xml:space="preserve"> IF(ISERROR(ROUND((1000*NPV($AT$1,$AV45:$AV$124)-$AW$1*($AU45+NPV($AT$1,$AU46:$AU$124)))/AU45,3)), 0, ROUND((1000*NPV($AT$1,$AV45:$AV$124)-$AW$1*($AU45+NPV($AT$1,$AU46:$AU$124)))/AU45,3))</f>
        <v>0</v>
      </c>
      <c r="AX44" s="50">
        <f>IF(ISERROR(ROUND(MAX(0,1000*NPV($AT$2,$AV45:$AV$124)-$AW$2*($AU45+NPV($AT$2,$AU46:$AU$124)))/AU45,3)), 0, ROUND(MAX(0,1000*NPV($AT$2,$AV45:$AV$124)-$AW$2*($AU45+NPV($AT$2,$AU46:$AU$124)))/AU45,3))</f>
        <v>0</v>
      </c>
    </row>
    <row r="45" spans="1:50" ht="15" x14ac:dyDescent="0.25">
      <c r="A45">
        <v>20</v>
      </c>
      <c r="B45">
        <v>4.5942347293519701E-4</v>
      </c>
      <c r="C45" s="60">
        <v>20</v>
      </c>
      <c r="D45" s="5">
        <v>9324.8013179537465</v>
      </c>
      <c r="E45" s="5"/>
      <c r="F45" s="2"/>
      <c r="G45" s="8"/>
      <c r="H45" s="4"/>
      <c r="I45" s="51"/>
      <c r="J45" s="41"/>
      <c r="K45" s="41" t="str">
        <f t="shared" si="27"/>
        <v/>
      </c>
      <c r="L45" s="42" t="str">
        <f t="shared" si="28"/>
        <v/>
      </c>
      <c r="M45" s="41" t="str">
        <f t="shared" si="29"/>
        <v/>
      </c>
      <c r="N45" s="43">
        <f t="shared" si="1"/>
        <v>0</v>
      </c>
      <c r="O45" s="44">
        <f t="shared" si="2"/>
        <v>0</v>
      </c>
      <c r="P45" s="41" t="str">
        <f t="shared" si="3"/>
        <v/>
      </c>
      <c r="Q45" s="41" t="str">
        <f t="shared" si="4"/>
        <v/>
      </c>
      <c r="R45" s="44"/>
      <c r="S45" s="44" t="str">
        <f t="shared" si="15"/>
        <v/>
      </c>
      <c r="T45" s="52">
        <f t="shared" si="30"/>
        <v>0</v>
      </c>
      <c r="U45" s="53" t="str">
        <f t="shared" si="16"/>
        <v/>
      </c>
      <c r="V45" s="53" t="str">
        <f t="shared" si="17"/>
        <v/>
      </c>
      <c r="W45" s="53" t="str">
        <f t="shared" si="18"/>
        <v/>
      </c>
      <c r="X45" s="46" t="str">
        <f t="shared" si="5"/>
        <v/>
      </c>
      <c r="Y45" s="54"/>
      <c r="Z45" s="41" t="str">
        <f t="shared" si="19"/>
        <v/>
      </c>
      <c r="AA45" s="41" t="str">
        <f t="shared" si="20"/>
        <v/>
      </c>
      <c r="AB45" s="41" t="str">
        <f t="shared" si="6"/>
        <v/>
      </c>
      <c r="AC45" s="41" t="str">
        <f t="shared" si="7"/>
        <v/>
      </c>
      <c r="AD45" s="54"/>
      <c r="AE45" s="41" t="str">
        <f t="shared" si="8"/>
        <v/>
      </c>
      <c r="AF45" s="41"/>
      <c r="AG45" s="41" t="str">
        <f t="shared" si="9"/>
        <v/>
      </c>
      <c r="AH45" s="41" t="str">
        <f t="shared" si="21"/>
        <v/>
      </c>
      <c r="AI45" s="41" t="str">
        <f t="shared" si="22"/>
        <v/>
      </c>
      <c r="AJ45" s="41">
        <f t="shared" si="10"/>
        <v>0</v>
      </c>
      <c r="AK45" s="41" t="str">
        <f t="shared" si="11"/>
        <v/>
      </c>
      <c r="AL45" s="41">
        <f t="shared" si="23"/>
        <v>0</v>
      </c>
      <c r="AM45" s="41">
        <f t="shared" si="12"/>
        <v>0</v>
      </c>
      <c r="AN45" s="41" t="str">
        <f t="shared" si="13"/>
        <v/>
      </c>
      <c r="AO45" s="41">
        <f t="shared" si="14"/>
        <v>0</v>
      </c>
      <c r="AP45" s="45"/>
      <c r="AQ45" s="55"/>
      <c r="AR45" s="48"/>
      <c r="AS45" s="48"/>
      <c r="AT45" s="51">
        <f t="shared" si="24"/>
        <v>41</v>
      </c>
      <c r="AU45" s="49" t="str">
        <f t="shared" si="25"/>
        <v/>
      </c>
      <c r="AV45" s="49" t="str">
        <f t="shared" si="26"/>
        <v/>
      </c>
      <c r="AW45" s="50">
        <f xml:space="preserve"> IF(ISERROR(ROUND((1000*NPV($AT$1,$AV46:$AV$124)-$AW$1*($AU46+NPV($AT$1,$AU47:$AU$124)))/AU46,3)), 0, ROUND((1000*NPV($AT$1,$AV46:$AV$124)-$AW$1*($AU46+NPV($AT$1,$AU47:$AU$124)))/AU46,3))</f>
        <v>0</v>
      </c>
      <c r="AX45" s="50">
        <f>IF(ISERROR(ROUND(MAX(0,1000*NPV($AT$2,$AV46:$AV$124)-$AW$2*($AU46+NPV($AT$2,$AU47:$AU$124)))/AU46,3)), 0, ROUND(MAX(0,1000*NPV($AT$2,$AV46:$AV$124)-$AW$2*($AU46+NPV($AT$2,$AU47:$AU$124)))/AU46,3))</f>
        <v>0</v>
      </c>
    </row>
    <row r="46" spans="1:50" ht="15" x14ac:dyDescent="0.25">
      <c r="A46">
        <v>21</v>
      </c>
      <c r="B46">
        <v>4.9583377153748396E-4</v>
      </c>
      <c r="C46" s="60">
        <v>21</v>
      </c>
      <c r="D46" s="5">
        <v>9546.4347318681448</v>
      </c>
      <c r="E46" s="5"/>
      <c r="F46" s="2"/>
      <c r="G46" s="8"/>
      <c r="H46" s="4"/>
      <c r="I46" s="51"/>
      <c r="J46" s="41"/>
      <c r="K46" s="41" t="str">
        <f t="shared" si="27"/>
        <v/>
      </c>
      <c r="L46" s="42" t="str">
        <f t="shared" si="28"/>
        <v/>
      </c>
      <c r="M46" s="41" t="str">
        <f t="shared" si="29"/>
        <v/>
      </c>
      <c r="N46" s="43">
        <f t="shared" si="1"/>
        <v>0</v>
      </c>
      <c r="O46" s="44">
        <f t="shared" si="2"/>
        <v>0</v>
      </c>
      <c r="P46" s="41" t="str">
        <f t="shared" si="3"/>
        <v/>
      </c>
      <c r="Q46" s="41" t="str">
        <f t="shared" si="4"/>
        <v/>
      </c>
      <c r="R46" s="44"/>
      <c r="S46" s="44" t="str">
        <f t="shared" si="15"/>
        <v/>
      </c>
      <c r="T46" s="52">
        <f t="shared" si="30"/>
        <v>0</v>
      </c>
      <c r="U46" s="53" t="str">
        <f t="shared" si="16"/>
        <v/>
      </c>
      <c r="V46" s="53" t="str">
        <f t="shared" si="17"/>
        <v/>
      </c>
      <c r="W46" s="53" t="str">
        <f t="shared" si="18"/>
        <v/>
      </c>
      <c r="X46" s="46" t="str">
        <f t="shared" si="5"/>
        <v/>
      </c>
      <c r="Y46" s="54"/>
      <c r="Z46" s="41" t="str">
        <f t="shared" si="19"/>
        <v/>
      </c>
      <c r="AA46" s="41" t="str">
        <f t="shared" si="20"/>
        <v/>
      </c>
      <c r="AB46" s="41" t="str">
        <f t="shared" si="6"/>
        <v/>
      </c>
      <c r="AC46" s="41" t="str">
        <f t="shared" si="7"/>
        <v/>
      </c>
      <c r="AD46" s="54"/>
      <c r="AE46" s="41" t="str">
        <f t="shared" si="8"/>
        <v/>
      </c>
      <c r="AF46" s="41"/>
      <c r="AG46" s="41" t="str">
        <f t="shared" si="9"/>
        <v/>
      </c>
      <c r="AH46" s="41" t="str">
        <f t="shared" si="21"/>
        <v/>
      </c>
      <c r="AI46" s="41" t="str">
        <f t="shared" si="22"/>
        <v/>
      </c>
      <c r="AJ46" s="41">
        <f t="shared" si="10"/>
        <v>0</v>
      </c>
      <c r="AK46" s="41" t="str">
        <f t="shared" si="11"/>
        <v/>
      </c>
      <c r="AL46" s="41">
        <f t="shared" si="23"/>
        <v>0</v>
      </c>
      <c r="AM46" s="41">
        <f t="shared" si="12"/>
        <v>0</v>
      </c>
      <c r="AN46" s="41" t="str">
        <f t="shared" si="13"/>
        <v/>
      </c>
      <c r="AO46" s="41">
        <f t="shared" si="14"/>
        <v>0</v>
      </c>
      <c r="AP46" s="45"/>
      <c r="AQ46" s="55"/>
      <c r="AR46" s="48"/>
      <c r="AS46" s="48"/>
      <c r="AT46" s="51">
        <f t="shared" si="24"/>
        <v>42</v>
      </c>
      <c r="AU46" s="49" t="str">
        <f t="shared" si="25"/>
        <v/>
      </c>
      <c r="AV46" s="49" t="str">
        <f t="shared" si="26"/>
        <v/>
      </c>
      <c r="AW46" s="50">
        <f xml:space="preserve"> IF(ISERROR(ROUND((1000*NPV($AT$1,$AV47:$AV$124)-$AW$1*($AU47+NPV($AT$1,$AU48:$AU$124)))/AU47,3)), 0, ROUND((1000*NPV($AT$1,$AV47:$AV$124)-$AW$1*($AU47+NPV($AT$1,$AU48:$AU$124)))/AU47,3))</f>
        <v>0</v>
      </c>
      <c r="AX46" s="50">
        <f>IF(ISERROR(ROUND(MAX(0,1000*NPV($AT$2,$AV47:$AV$124)-$AW$2*($AU47+NPV($AT$2,$AU48:$AU$124)))/AU47,3)), 0, ROUND(MAX(0,1000*NPV($AT$2,$AV47:$AV$124)-$AW$2*($AU47+NPV($AT$2,$AU48:$AU$124)))/AU47,3))</f>
        <v>0</v>
      </c>
    </row>
    <row r="47" spans="1:50" ht="15" x14ac:dyDescent="0.25">
      <c r="A47">
        <v>22</v>
      </c>
      <c r="B47">
        <v>5.2075138958068603E-4</v>
      </c>
      <c r="C47" s="60">
        <v>22</v>
      </c>
      <c r="D47" s="5">
        <v>9793.9077981832979</v>
      </c>
      <c r="E47" s="5"/>
      <c r="F47" s="2"/>
      <c r="G47" s="8"/>
      <c r="H47" s="4"/>
      <c r="I47" s="51"/>
      <c r="J47" s="41"/>
      <c r="K47" s="41" t="str">
        <f t="shared" si="27"/>
        <v/>
      </c>
      <c r="L47" s="42" t="str">
        <f t="shared" si="28"/>
        <v/>
      </c>
      <c r="M47" s="41" t="str">
        <f t="shared" si="29"/>
        <v/>
      </c>
      <c r="N47" s="43">
        <f t="shared" si="1"/>
        <v>0</v>
      </c>
      <c r="O47" s="44">
        <f t="shared" si="2"/>
        <v>0</v>
      </c>
      <c r="P47" s="41" t="str">
        <f t="shared" si="3"/>
        <v/>
      </c>
      <c r="Q47" s="41" t="str">
        <f t="shared" si="4"/>
        <v/>
      </c>
      <c r="R47" s="44"/>
      <c r="S47" s="44" t="str">
        <f t="shared" si="15"/>
        <v/>
      </c>
      <c r="T47" s="52">
        <f t="shared" si="30"/>
        <v>0</v>
      </c>
      <c r="U47" s="53" t="str">
        <f t="shared" si="16"/>
        <v/>
      </c>
      <c r="V47" s="53" t="str">
        <f t="shared" si="17"/>
        <v/>
      </c>
      <c r="W47" s="53" t="str">
        <f t="shared" si="18"/>
        <v/>
      </c>
      <c r="X47" s="46" t="str">
        <f t="shared" si="5"/>
        <v/>
      </c>
      <c r="Y47" s="54"/>
      <c r="Z47" s="41" t="str">
        <f t="shared" si="19"/>
        <v/>
      </c>
      <c r="AA47" s="41" t="str">
        <f t="shared" si="20"/>
        <v/>
      </c>
      <c r="AB47" s="41" t="str">
        <f t="shared" si="6"/>
        <v/>
      </c>
      <c r="AC47" s="41" t="str">
        <f t="shared" si="7"/>
        <v/>
      </c>
      <c r="AD47" s="54"/>
      <c r="AE47" s="41" t="str">
        <f t="shared" si="8"/>
        <v/>
      </c>
      <c r="AF47" s="41"/>
      <c r="AG47" s="41" t="str">
        <f t="shared" si="9"/>
        <v/>
      </c>
      <c r="AH47" s="41" t="str">
        <f t="shared" si="21"/>
        <v/>
      </c>
      <c r="AI47" s="41" t="str">
        <f t="shared" si="22"/>
        <v/>
      </c>
      <c r="AJ47" s="41">
        <f t="shared" si="10"/>
        <v>0</v>
      </c>
      <c r="AK47" s="41" t="str">
        <f t="shared" si="11"/>
        <v/>
      </c>
      <c r="AL47" s="41">
        <f t="shared" si="23"/>
        <v>0</v>
      </c>
      <c r="AM47" s="41">
        <f t="shared" si="12"/>
        <v>0</v>
      </c>
      <c r="AN47" s="41" t="str">
        <f t="shared" si="13"/>
        <v/>
      </c>
      <c r="AO47" s="41">
        <f t="shared" si="14"/>
        <v>0</v>
      </c>
      <c r="AP47" s="45"/>
      <c r="AQ47" s="55"/>
      <c r="AR47" s="48"/>
      <c r="AS47" s="48"/>
      <c r="AT47" s="51">
        <f t="shared" si="24"/>
        <v>43</v>
      </c>
      <c r="AU47" s="49" t="str">
        <f t="shared" si="25"/>
        <v/>
      </c>
      <c r="AV47" s="49" t="str">
        <f t="shared" si="26"/>
        <v/>
      </c>
      <c r="AW47" s="50">
        <f xml:space="preserve"> IF(ISERROR(ROUND((1000*NPV($AT$1,$AV48:$AV$124)-$AW$1*($AU48+NPV($AT$1,$AU49:$AU$124)))/AU48,3)), 0, ROUND((1000*NPV($AT$1,$AV48:$AV$124)-$AW$1*($AU48+NPV($AT$1,$AU49:$AU$124)))/AU48,3))</f>
        <v>0</v>
      </c>
      <c r="AX47" s="50">
        <f>IF(ISERROR(ROUND(MAX(0,1000*NPV($AT$2,$AV48:$AV$124)-$AW$2*($AU48+NPV($AT$2,$AU49:$AU$124)))/AU48,3)), 0, ROUND(MAX(0,1000*NPV($AT$2,$AV48:$AV$124)-$AW$2*($AU48+NPV($AT$2,$AU49:$AU$124)))/AU48,3))</f>
        <v>0</v>
      </c>
    </row>
    <row r="48" spans="1:50" ht="15" x14ac:dyDescent="0.25">
      <c r="A48">
        <v>23</v>
      </c>
      <c r="B48">
        <v>5.4044964650571802E-4</v>
      </c>
      <c r="C48" s="60">
        <v>23</v>
      </c>
      <c r="D48" s="5">
        <v>10065.257443396857</v>
      </c>
      <c r="E48" s="5"/>
      <c r="F48" s="2"/>
      <c r="G48" s="8"/>
      <c r="H48" s="4"/>
      <c r="I48" s="51"/>
      <c r="J48" s="41"/>
      <c r="K48" s="41" t="str">
        <f t="shared" si="27"/>
        <v/>
      </c>
      <c r="L48" s="42" t="str">
        <f t="shared" si="28"/>
        <v/>
      </c>
      <c r="M48" s="41" t="str">
        <f t="shared" si="29"/>
        <v/>
      </c>
      <c r="N48" s="43">
        <f t="shared" si="1"/>
        <v>0</v>
      </c>
      <c r="O48" s="44">
        <f t="shared" si="2"/>
        <v>0</v>
      </c>
      <c r="P48" s="41" t="str">
        <f t="shared" si="3"/>
        <v/>
      </c>
      <c r="Q48" s="41" t="str">
        <f t="shared" si="4"/>
        <v/>
      </c>
      <c r="R48" s="44"/>
      <c r="S48" s="44" t="str">
        <f t="shared" si="15"/>
        <v/>
      </c>
      <c r="T48" s="52">
        <f t="shared" si="30"/>
        <v>0</v>
      </c>
      <c r="U48" s="53" t="str">
        <f t="shared" si="16"/>
        <v/>
      </c>
      <c r="V48" s="53" t="str">
        <f t="shared" si="17"/>
        <v/>
      </c>
      <c r="W48" s="53" t="str">
        <f t="shared" si="18"/>
        <v/>
      </c>
      <c r="X48" s="46" t="str">
        <f t="shared" si="5"/>
        <v/>
      </c>
      <c r="Y48" s="54"/>
      <c r="Z48" s="41" t="str">
        <f t="shared" si="19"/>
        <v/>
      </c>
      <c r="AA48" s="41" t="str">
        <f t="shared" si="20"/>
        <v/>
      </c>
      <c r="AB48" s="41" t="str">
        <f t="shared" si="6"/>
        <v/>
      </c>
      <c r="AC48" s="41" t="str">
        <f t="shared" si="7"/>
        <v/>
      </c>
      <c r="AD48" s="54"/>
      <c r="AE48" s="41" t="str">
        <f t="shared" si="8"/>
        <v/>
      </c>
      <c r="AF48" s="41"/>
      <c r="AG48" s="41" t="str">
        <f t="shared" si="9"/>
        <v/>
      </c>
      <c r="AH48" s="41" t="str">
        <f t="shared" si="21"/>
        <v/>
      </c>
      <c r="AI48" s="41" t="str">
        <f t="shared" si="22"/>
        <v/>
      </c>
      <c r="AJ48" s="41">
        <f t="shared" si="10"/>
        <v>0</v>
      </c>
      <c r="AK48" s="41" t="str">
        <f t="shared" si="11"/>
        <v/>
      </c>
      <c r="AL48" s="41">
        <f t="shared" si="23"/>
        <v>0</v>
      </c>
      <c r="AM48" s="41">
        <f t="shared" si="12"/>
        <v>0</v>
      </c>
      <c r="AN48" s="41" t="str">
        <f t="shared" si="13"/>
        <v/>
      </c>
      <c r="AO48" s="41">
        <f t="shared" si="14"/>
        <v>0</v>
      </c>
      <c r="AP48" s="45"/>
      <c r="AQ48" s="55"/>
      <c r="AR48" s="48"/>
      <c r="AS48" s="48"/>
      <c r="AT48" s="51">
        <f t="shared" si="24"/>
        <v>44</v>
      </c>
      <c r="AU48" s="49" t="str">
        <f t="shared" si="25"/>
        <v/>
      </c>
      <c r="AV48" s="49" t="str">
        <f t="shared" si="26"/>
        <v/>
      </c>
      <c r="AW48" s="50">
        <f xml:space="preserve"> IF(ISERROR(ROUND((1000*NPV($AT$1,$AV49:$AV$124)-$AW$1*($AU49+NPV($AT$1,$AU50:$AU$124)))/AU49,3)), 0, ROUND((1000*NPV($AT$1,$AV49:$AV$124)-$AW$1*($AU49+NPV($AT$1,$AU50:$AU$124)))/AU49,3))</f>
        <v>0</v>
      </c>
      <c r="AX48" s="50">
        <f>IF(ISERROR(ROUND(MAX(0,1000*NPV($AT$2,$AV49:$AV$124)-$AW$2*($AU49+NPV($AT$2,$AU50:$AU$124)))/AU49,3)), 0, ROUND(MAX(0,1000*NPV($AT$2,$AV49:$AV$124)-$AW$2*($AU49+NPV($AT$2,$AU50:$AU$124)))/AU49,3))</f>
        <v>0</v>
      </c>
    </row>
    <row r="49" spans="1:50" ht="15" x14ac:dyDescent="0.25">
      <c r="A49">
        <v>24</v>
      </c>
      <c r="B49">
        <v>5.4255756315120703E-4</v>
      </c>
      <c r="C49" s="60">
        <v>24</v>
      </c>
      <c r="D49" s="5">
        <v>10361.610321596481</v>
      </c>
      <c r="F49" s="2"/>
      <c r="G49" s="8"/>
      <c r="I49" s="51"/>
      <c r="J49" s="41"/>
      <c r="K49" s="41" t="str">
        <f t="shared" si="27"/>
        <v/>
      </c>
      <c r="L49" s="42" t="str">
        <f t="shared" si="28"/>
        <v/>
      </c>
      <c r="M49" s="41" t="str">
        <f t="shared" si="29"/>
        <v/>
      </c>
      <c r="N49" s="43">
        <f t="shared" si="1"/>
        <v>0</v>
      </c>
      <c r="O49" s="44">
        <f t="shared" si="2"/>
        <v>0</v>
      </c>
      <c r="P49" s="41" t="str">
        <f t="shared" si="3"/>
        <v/>
      </c>
      <c r="Q49" s="41" t="str">
        <f t="shared" si="4"/>
        <v/>
      </c>
      <c r="R49" s="44"/>
      <c r="S49" s="44" t="str">
        <f t="shared" si="15"/>
        <v/>
      </c>
      <c r="T49" s="52">
        <f t="shared" si="30"/>
        <v>0</v>
      </c>
      <c r="U49" s="53" t="str">
        <f t="shared" si="16"/>
        <v/>
      </c>
      <c r="V49" s="53" t="str">
        <f t="shared" si="17"/>
        <v/>
      </c>
      <c r="W49" s="53" t="str">
        <f t="shared" si="18"/>
        <v/>
      </c>
      <c r="X49" s="46" t="str">
        <f t="shared" si="5"/>
        <v/>
      </c>
      <c r="Y49" s="54"/>
      <c r="Z49" s="41" t="str">
        <f t="shared" si="19"/>
        <v/>
      </c>
      <c r="AA49" s="41" t="str">
        <f t="shared" si="20"/>
        <v/>
      </c>
      <c r="AB49" s="41" t="str">
        <f t="shared" si="6"/>
        <v/>
      </c>
      <c r="AC49" s="41" t="str">
        <f t="shared" si="7"/>
        <v/>
      </c>
      <c r="AD49" s="54"/>
      <c r="AE49" s="41" t="str">
        <f t="shared" si="8"/>
        <v/>
      </c>
      <c r="AF49" s="41"/>
      <c r="AG49" s="41" t="str">
        <f t="shared" si="9"/>
        <v/>
      </c>
      <c r="AH49" s="41" t="str">
        <f t="shared" si="21"/>
        <v/>
      </c>
      <c r="AI49" s="41" t="str">
        <f t="shared" si="22"/>
        <v/>
      </c>
      <c r="AJ49" s="41">
        <f t="shared" si="10"/>
        <v>0</v>
      </c>
      <c r="AK49" s="41" t="str">
        <f t="shared" si="11"/>
        <v/>
      </c>
      <c r="AL49" s="41">
        <f t="shared" si="23"/>
        <v>0</v>
      </c>
      <c r="AM49" s="41">
        <f t="shared" si="12"/>
        <v>0</v>
      </c>
      <c r="AN49" s="41" t="str">
        <f t="shared" si="13"/>
        <v/>
      </c>
      <c r="AO49" s="41">
        <f t="shared" si="14"/>
        <v>0</v>
      </c>
      <c r="AP49" s="45"/>
      <c r="AQ49" s="45"/>
      <c r="AR49" s="48"/>
      <c r="AS49" s="48"/>
      <c r="AT49" s="51">
        <f t="shared" si="24"/>
        <v>45</v>
      </c>
      <c r="AU49" s="49" t="str">
        <f t="shared" si="25"/>
        <v/>
      </c>
      <c r="AV49" s="49" t="str">
        <f t="shared" si="26"/>
        <v/>
      </c>
      <c r="AW49" s="50">
        <f xml:space="preserve"> IF(ISERROR(ROUND((1000*NPV($AT$1,$AV50:$AV$124)-$AW$1*($AU50+NPV($AT$1,$AU51:$AU$124)))/AU50,3)), 0, ROUND((1000*NPV($AT$1,$AV50:$AV$124)-$AW$1*($AU50+NPV($AT$1,$AU51:$AU$124)))/AU50,3))</f>
        <v>0</v>
      </c>
      <c r="AX49" s="50">
        <f>IF(ISERROR(ROUND(MAX(0,1000*NPV($AT$2,$AV50:$AV$124)-$AW$2*($AU50+NPV($AT$2,$AU51:$AU$124)))/AU50,3)), 0, ROUND(MAX(0,1000*NPV($AT$2,$AV50:$AV$124)-$AW$2*($AU50+NPV($AT$2,$AU51:$AU$124)))/AU50,3))</f>
        <v>0</v>
      </c>
    </row>
    <row r="50" spans="1:50" ht="15" x14ac:dyDescent="0.25">
      <c r="A50">
        <v>25</v>
      </c>
      <c r="B50">
        <v>5.4536811867852595E-4</v>
      </c>
      <c r="C50" s="60">
        <v>25</v>
      </c>
      <c r="D50" s="5">
        <v>10682.249468821547</v>
      </c>
      <c r="F50" s="2"/>
      <c r="G50" s="8"/>
      <c r="I50" s="51"/>
      <c r="J50" s="41"/>
      <c r="K50" s="41" t="str">
        <f t="shared" si="27"/>
        <v/>
      </c>
      <c r="L50" s="42" t="str">
        <f t="shared" si="28"/>
        <v/>
      </c>
      <c r="M50" s="41" t="str">
        <f t="shared" si="29"/>
        <v/>
      </c>
      <c r="N50" s="43">
        <f t="shared" si="1"/>
        <v>0</v>
      </c>
      <c r="O50" s="44">
        <f t="shared" si="2"/>
        <v>0</v>
      </c>
      <c r="P50" s="41" t="str">
        <f t="shared" si="3"/>
        <v/>
      </c>
      <c r="Q50" s="41" t="str">
        <f t="shared" si="4"/>
        <v/>
      </c>
      <c r="R50" s="44"/>
      <c r="S50" s="44" t="str">
        <f t="shared" si="15"/>
        <v/>
      </c>
      <c r="T50" s="52">
        <f t="shared" si="30"/>
        <v>0</v>
      </c>
      <c r="U50" s="53" t="str">
        <f t="shared" si="16"/>
        <v/>
      </c>
      <c r="V50" s="53" t="str">
        <f t="shared" si="17"/>
        <v/>
      </c>
      <c r="W50" s="53" t="str">
        <f t="shared" si="18"/>
        <v/>
      </c>
      <c r="X50" s="46" t="str">
        <f t="shared" si="5"/>
        <v/>
      </c>
      <c r="Y50" s="54"/>
      <c r="Z50" s="41" t="str">
        <f t="shared" si="19"/>
        <v/>
      </c>
      <c r="AA50" s="41" t="str">
        <f t="shared" si="20"/>
        <v/>
      </c>
      <c r="AB50" s="41" t="str">
        <f t="shared" si="6"/>
        <v/>
      </c>
      <c r="AC50" s="41" t="str">
        <f t="shared" si="7"/>
        <v/>
      </c>
      <c r="AD50" s="54"/>
      <c r="AE50" s="41" t="str">
        <f t="shared" si="8"/>
        <v/>
      </c>
      <c r="AF50" s="41"/>
      <c r="AG50" s="41" t="str">
        <f t="shared" si="9"/>
        <v/>
      </c>
      <c r="AH50" s="41" t="str">
        <f t="shared" si="21"/>
        <v/>
      </c>
      <c r="AI50" s="41" t="str">
        <f t="shared" si="22"/>
        <v/>
      </c>
      <c r="AJ50" s="41">
        <f t="shared" si="10"/>
        <v>0</v>
      </c>
      <c r="AK50" s="41" t="str">
        <f t="shared" si="11"/>
        <v/>
      </c>
      <c r="AL50" s="41">
        <f t="shared" si="23"/>
        <v>0</v>
      </c>
      <c r="AM50" s="41">
        <f t="shared" si="12"/>
        <v>0</v>
      </c>
      <c r="AN50" s="41" t="str">
        <f t="shared" si="13"/>
        <v/>
      </c>
      <c r="AO50" s="41">
        <f t="shared" si="14"/>
        <v>0</v>
      </c>
      <c r="AP50" s="45"/>
      <c r="AQ50" s="45"/>
      <c r="AR50" s="48"/>
      <c r="AS50" s="48"/>
      <c r="AT50" s="51">
        <f t="shared" si="24"/>
        <v>46</v>
      </c>
      <c r="AU50" s="49" t="str">
        <f t="shared" si="25"/>
        <v/>
      </c>
      <c r="AV50" s="49" t="str">
        <f t="shared" si="26"/>
        <v/>
      </c>
      <c r="AW50" s="50">
        <f xml:space="preserve"> IF(ISERROR(ROUND((1000*NPV($AT$1,$AV51:$AV$124)-$AW$1*($AU51+NPV($AT$1,$AU52:$AU$124)))/AU51,3)), 0, ROUND((1000*NPV($AT$1,$AV51:$AV$124)-$AW$1*($AU51+NPV($AT$1,$AU52:$AU$124)))/AU51,3))</f>
        <v>0</v>
      </c>
      <c r="AX50" s="50">
        <f>IF(ISERROR(ROUND(MAX(0,1000*NPV($AT$2,$AV51:$AV$124)-$AW$2*($AU51+NPV($AT$2,$AU52:$AU$124)))/AU51,3)), 0, ROUND(MAX(0,1000*NPV($AT$2,$AV51:$AV$124)-$AW$2*($AU51+NPV($AT$2,$AU52:$AU$124)))/AU51,3))</f>
        <v>0</v>
      </c>
    </row>
    <row r="51" spans="1:50" ht="15" x14ac:dyDescent="0.25">
      <c r="A51">
        <v>26</v>
      </c>
      <c r="B51">
        <v>5.5585727141041897E-4</v>
      </c>
      <c r="C51" s="60">
        <v>26</v>
      </c>
      <c r="D51" s="5">
        <v>11025.855370710684</v>
      </c>
      <c r="F51" s="2"/>
      <c r="G51" s="8"/>
      <c r="I51" s="51"/>
      <c r="J51" s="41"/>
      <c r="K51" s="41" t="str">
        <f t="shared" si="27"/>
        <v/>
      </c>
      <c r="L51" s="42" t="str">
        <f t="shared" si="28"/>
        <v/>
      </c>
      <c r="M51" s="41" t="str">
        <f t="shared" si="29"/>
        <v/>
      </c>
      <c r="N51" s="43">
        <f t="shared" si="1"/>
        <v>0</v>
      </c>
      <c r="O51" s="44">
        <f t="shared" si="2"/>
        <v>0</v>
      </c>
      <c r="P51" s="41" t="str">
        <f t="shared" si="3"/>
        <v/>
      </c>
      <c r="Q51" s="41" t="str">
        <f t="shared" si="4"/>
        <v/>
      </c>
      <c r="R51" s="44"/>
      <c r="S51" s="44" t="str">
        <f t="shared" si="15"/>
        <v/>
      </c>
      <c r="T51" s="52">
        <f t="shared" si="30"/>
        <v>0</v>
      </c>
      <c r="U51" s="53" t="str">
        <f t="shared" si="16"/>
        <v/>
      </c>
      <c r="V51" s="53" t="str">
        <f t="shared" si="17"/>
        <v/>
      </c>
      <c r="W51" s="53" t="str">
        <f t="shared" si="18"/>
        <v/>
      </c>
      <c r="X51" s="46" t="str">
        <f t="shared" si="5"/>
        <v/>
      </c>
      <c r="Y51" s="54"/>
      <c r="Z51" s="41" t="str">
        <f t="shared" si="19"/>
        <v/>
      </c>
      <c r="AA51" s="41" t="str">
        <f t="shared" si="20"/>
        <v/>
      </c>
      <c r="AB51" s="41" t="str">
        <f t="shared" si="6"/>
        <v/>
      </c>
      <c r="AC51" s="41" t="str">
        <f t="shared" si="7"/>
        <v/>
      </c>
      <c r="AD51" s="54"/>
      <c r="AE51" s="41" t="str">
        <f t="shared" si="8"/>
        <v/>
      </c>
      <c r="AF51" s="41"/>
      <c r="AG51" s="41" t="str">
        <f t="shared" si="9"/>
        <v/>
      </c>
      <c r="AH51" s="41" t="str">
        <f t="shared" si="21"/>
        <v/>
      </c>
      <c r="AI51" s="41" t="str">
        <f t="shared" si="22"/>
        <v/>
      </c>
      <c r="AJ51" s="41">
        <f t="shared" si="10"/>
        <v>0</v>
      </c>
      <c r="AK51" s="41" t="str">
        <f t="shared" si="11"/>
        <v/>
      </c>
      <c r="AL51" s="41">
        <f t="shared" si="23"/>
        <v>0</v>
      </c>
      <c r="AM51" s="41">
        <f t="shared" si="12"/>
        <v>0</v>
      </c>
      <c r="AN51" s="41" t="str">
        <f t="shared" si="13"/>
        <v/>
      </c>
      <c r="AO51" s="41">
        <f t="shared" si="14"/>
        <v>0</v>
      </c>
      <c r="AP51" s="45"/>
      <c r="AQ51" s="45"/>
      <c r="AR51" s="48"/>
      <c r="AS51" s="48"/>
      <c r="AT51" s="51">
        <f t="shared" si="24"/>
        <v>47</v>
      </c>
      <c r="AU51" s="49" t="str">
        <f t="shared" si="25"/>
        <v/>
      </c>
      <c r="AV51" s="49" t="str">
        <f t="shared" si="26"/>
        <v/>
      </c>
      <c r="AW51" s="50">
        <f xml:space="preserve"> IF(ISERROR(ROUND((1000*NPV($AT$1,$AV52:$AV$124)-$AW$1*($AU52+NPV($AT$1,$AU53:$AU$124)))/AU52,3)), 0, ROUND((1000*NPV($AT$1,$AV52:$AV$124)-$AW$1*($AU52+NPV($AT$1,$AU53:$AU$124)))/AU52,3))</f>
        <v>0</v>
      </c>
      <c r="AX51" s="50">
        <f>IF(ISERROR(ROUND(MAX(0,1000*NPV($AT$2,$AV52:$AV$124)-$AW$2*($AU52+NPV($AT$2,$AU53:$AU$124)))/AU52,3)), 0, ROUND(MAX(0,1000*NPV($AT$2,$AV52:$AV$124)-$AW$2*($AU52+NPV($AT$2,$AU53:$AU$124)))/AU52,3))</f>
        <v>0</v>
      </c>
    </row>
    <row r="52" spans="1:50" ht="15" x14ac:dyDescent="0.25">
      <c r="A52">
        <v>27</v>
      </c>
      <c r="B52">
        <v>5.6823515476492998E-4</v>
      </c>
      <c r="C52" s="60">
        <v>27</v>
      </c>
      <c r="D52" s="5">
        <v>11391.903808575396</v>
      </c>
      <c r="F52" s="2"/>
      <c r="G52" s="8"/>
      <c r="I52" s="51"/>
      <c r="J52" s="41"/>
      <c r="K52" s="41" t="str">
        <f t="shared" si="27"/>
        <v/>
      </c>
      <c r="L52" s="42" t="str">
        <f t="shared" si="28"/>
        <v/>
      </c>
      <c r="M52" s="41" t="str">
        <f t="shared" si="29"/>
        <v/>
      </c>
      <c r="N52" s="43">
        <f t="shared" si="1"/>
        <v>0</v>
      </c>
      <c r="O52" s="44">
        <f t="shared" si="2"/>
        <v>0</v>
      </c>
      <c r="P52" s="41" t="str">
        <f t="shared" si="3"/>
        <v/>
      </c>
      <c r="Q52" s="41" t="str">
        <f t="shared" si="4"/>
        <v/>
      </c>
      <c r="R52" s="44"/>
      <c r="S52" s="44" t="str">
        <f t="shared" si="15"/>
        <v/>
      </c>
      <c r="T52" s="52">
        <f t="shared" si="30"/>
        <v>0</v>
      </c>
      <c r="U52" s="53" t="str">
        <f t="shared" si="16"/>
        <v/>
      </c>
      <c r="V52" s="53" t="str">
        <f t="shared" si="17"/>
        <v/>
      </c>
      <c r="W52" s="53" t="str">
        <f t="shared" si="18"/>
        <v/>
      </c>
      <c r="X52" s="46" t="str">
        <f t="shared" si="5"/>
        <v/>
      </c>
      <c r="Y52" s="54"/>
      <c r="Z52" s="41" t="str">
        <f t="shared" si="19"/>
        <v/>
      </c>
      <c r="AA52" s="41" t="str">
        <f t="shared" si="20"/>
        <v/>
      </c>
      <c r="AB52" s="41" t="str">
        <f t="shared" si="6"/>
        <v/>
      </c>
      <c r="AC52" s="41" t="str">
        <f t="shared" si="7"/>
        <v/>
      </c>
      <c r="AD52" s="54"/>
      <c r="AE52" s="41" t="str">
        <f t="shared" si="8"/>
        <v/>
      </c>
      <c r="AF52" s="41"/>
      <c r="AG52" s="41" t="str">
        <f t="shared" si="9"/>
        <v/>
      </c>
      <c r="AH52" s="41" t="str">
        <f t="shared" si="21"/>
        <v/>
      </c>
      <c r="AI52" s="41" t="str">
        <f t="shared" si="22"/>
        <v/>
      </c>
      <c r="AJ52" s="41">
        <f t="shared" si="10"/>
        <v>0</v>
      </c>
      <c r="AK52" s="41" t="str">
        <f t="shared" si="11"/>
        <v/>
      </c>
      <c r="AL52" s="41">
        <f t="shared" si="23"/>
        <v>0</v>
      </c>
      <c r="AM52" s="41">
        <f>SUM(AJ52:AL52)</f>
        <v>0</v>
      </c>
      <c r="AN52" s="41" t="str">
        <f t="shared" si="13"/>
        <v/>
      </c>
      <c r="AO52" s="41">
        <f t="shared" si="14"/>
        <v>0</v>
      </c>
      <c r="AP52" s="45"/>
      <c r="AQ52" s="45"/>
      <c r="AR52" s="48"/>
      <c r="AS52" s="48"/>
      <c r="AT52" s="51">
        <f t="shared" si="24"/>
        <v>48</v>
      </c>
      <c r="AU52" s="49" t="str">
        <f t="shared" si="25"/>
        <v/>
      </c>
      <c r="AV52" s="49" t="str">
        <f t="shared" si="26"/>
        <v/>
      </c>
      <c r="AW52" s="50">
        <f xml:space="preserve"> IF(ISERROR(ROUND((1000*NPV($AT$1,$AV53:$AV$124)-$AW$1*($AU53+NPV($AT$1,$AU54:$AU$124)))/AU53,3)), 0, ROUND((1000*NPV($AT$1,$AV53:$AV$124)-$AW$1*($AU53+NPV($AT$1,$AU54:$AU$124)))/AU53,3))</f>
        <v>0</v>
      </c>
      <c r="AX52" s="50">
        <f>IF(ISERROR(ROUND(MAX(0,1000*NPV($AT$2,$AV53:$AV$124)-$AW$2*($AU53+NPV($AT$2,$AU54:$AU$124)))/AU53,3)), 0, ROUND(MAX(0,1000*NPV($AT$2,$AV53:$AV$124)-$AW$2*($AU53+NPV($AT$2,$AU54:$AU$124)))/AU53,3))</f>
        <v>0</v>
      </c>
    </row>
    <row r="53" spans="1:50" ht="15" x14ac:dyDescent="0.25">
      <c r="A53">
        <v>28</v>
      </c>
      <c r="B53">
        <v>5.8293444091486702E-4</v>
      </c>
      <c r="C53" s="60">
        <v>28</v>
      </c>
      <c r="D53" s="5">
        <v>11780.145331238777</v>
      </c>
      <c r="F53" s="2"/>
      <c r="G53" s="8"/>
      <c r="I53" s="51"/>
      <c r="J53" s="41"/>
      <c r="K53" s="41" t="str">
        <f t="shared" si="27"/>
        <v/>
      </c>
      <c r="L53" s="42" t="str">
        <f t="shared" si="28"/>
        <v/>
      </c>
      <c r="M53" s="41" t="str">
        <f t="shared" si="29"/>
        <v/>
      </c>
      <c r="N53" s="43">
        <f t="shared" si="1"/>
        <v>0</v>
      </c>
      <c r="O53" s="44">
        <f t="shared" si="2"/>
        <v>0</v>
      </c>
      <c r="P53" s="41" t="str">
        <f t="shared" si="3"/>
        <v/>
      </c>
      <c r="Q53" s="41" t="str">
        <f t="shared" si="4"/>
        <v/>
      </c>
      <c r="R53" s="44"/>
      <c r="S53" s="44" t="str">
        <f t="shared" si="15"/>
        <v/>
      </c>
      <c r="T53" s="52">
        <f t="shared" si="30"/>
        <v>0</v>
      </c>
      <c r="U53" s="53" t="str">
        <f t="shared" si="16"/>
        <v/>
      </c>
      <c r="V53" s="53" t="str">
        <f t="shared" si="17"/>
        <v/>
      </c>
      <c r="W53" s="53" t="str">
        <f t="shared" si="18"/>
        <v/>
      </c>
      <c r="X53" s="46" t="str">
        <f t="shared" si="5"/>
        <v/>
      </c>
      <c r="Y53" s="54"/>
      <c r="Z53" s="41" t="str">
        <f t="shared" si="19"/>
        <v/>
      </c>
      <c r="AA53" s="41" t="str">
        <f t="shared" si="20"/>
        <v/>
      </c>
      <c r="AB53" s="41" t="str">
        <f t="shared" si="6"/>
        <v/>
      </c>
      <c r="AC53" s="41" t="str">
        <f t="shared" si="7"/>
        <v/>
      </c>
      <c r="AD53" s="54"/>
      <c r="AE53" s="41" t="str">
        <f t="shared" si="8"/>
        <v/>
      </c>
      <c r="AF53" s="41"/>
      <c r="AG53" s="41" t="str">
        <f t="shared" si="9"/>
        <v/>
      </c>
      <c r="AH53" s="41" t="str">
        <f t="shared" si="21"/>
        <v/>
      </c>
      <c r="AI53" s="41" t="str">
        <f t="shared" si="22"/>
        <v/>
      </c>
      <c r="AJ53" s="41">
        <f t="shared" si="10"/>
        <v>0</v>
      </c>
      <c r="AK53" s="41" t="str">
        <f t="shared" si="11"/>
        <v/>
      </c>
      <c r="AL53" s="41">
        <f t="shared" si="23"/>
        <v>0</v>
      </c>
      <c r="AM53" s="41">
        <f t="shared" si="12"/>
        <v>0</v>
      </c>
      <c r="AN53" s="41" t="str">
        <f t="shared" si="13"/>
        <v/>
      </c>
      <c r="AO53" s="41">
        <f t="shared" si="14"/>
        <v>0</v>
      </c>
      <c r="AP53" s="45"/>
      <c r="AQ53" s="45"/>
      <c r="AR53" s="48"/>
      <c r="AS53" s="48"/>
      <c r="AT53" s="51">
        <f t="shared" si="24"/>
        <v>49</v>
      </c>
      <c r="AU53" s="49" t="str">
        <f t="shared" si="25"/>
        <v/>
      </c>
      <c r="AV53" s="49" t="str">
        <f t="shared" si="26"/>
        <v/>
      </c>
      <c r="AW53" s="50">
        <f xml:space="preserve"> IF(ISERROR(ROUND((1000*NPV($AT$1,$AV54:$AV$124)-$AW$1*($AU54+NPV($AT$1,$AU55:$AU$124)))/AU54,3)), 0, ROUND((1000*NPV($AT$1,$AV54:$AV$124)-$AW$1*($AU54+NPV($AT$1,$AU55:$AU$124)))/AU54,3))</f>
        <v>0</v>
      </c>
      <c r="AX53" s="50">
        <f>IF(ISERROR(ROUND(MAX(0,1000*NPV($AT$2,$AV54:$AV$124)-$AW$2*($AU54+NPV($AT$2,$AU55:$AU$124)))/AU54,3)), 0, ROUND(MAX(0,1000*NPV($AT$2,$AV54:$AV$124)-$AW$2*($AU54+NPV($AT$2,$AU55:$AU$124)))/AU54,3))</f>
        <v>0</v>
      </c>
    </row>
    <row r="54" spans="1:50" ht="15" x14ac:dyDescent="0.25">
      <c r="A54">
        <v>29</v>
      </c>
      <c r="B54">
        <v>5.9880064650571802E-4</v>
      </c>
      <c r="C54" s="60">
        <v>29</v>
      </c>
      <c r="D54" s="5">
        <v>12190.844520301069</v>
      </c>
      <c r="F54" s="2"/>
      <c r="G54" s="8"/>
      <c r="I54" s="51"/>
      <c r="J54" s="41"/>
      <c r="K54" s="41" t="str">
        <f t="shared" si="27"/>
        <v/>
      </c>
      <c r="L54" s="42" t="str">
        <f t="shared" si="28"/>
        <v/>
      </c>
      <c r="M54" s="41" t="str">
        <f t="shared" si="29"/>
        <v/>
      </c>
      <c r="N54" s="43">
        <f t="shared" si="1"/>
        <v>0</v>
      </c>
      <c r="O54" s="44">
        <f t="shared" si="2"/>
        <v>0</v>
      </c>
      <c r="P54" s="41" t="str">
        <f t="shared" si="3"/>
        <v/>
      </c>
      <c r="Q54" s="41" t="str">
        <f t="shared" si="4"/>
        <v/>
      </c>
      <c r="R54" s="44"/>
      <c r="S54" s="44" t="str">
        <f t="shared" si="15"/>
        <v/>
      </c>
      <c r="T54" s="52">
        <f t="shared" si="30"/>
        <v>0</v>
      </c>
      <c r="U54" s="53" t="str">
        <f t="shared" si="16"/>
        <v/>
      </c>
      <c r="V54" s="53" t="str">
        <f t="shared" si="17"/>
        <v/>
      </c>
      <c r="W54" s="53" t="str">
        <f t="shared" si="18"/>
        <v/>
      </c>
      <c r="X54" s="46" t="str">
        <f t="shared" si="5"/>
        <v/>
      </c>
      <c r="Y54" s="54"/>
      <c r="Z54" s="41" t="str">
        <f t="shared" si="19"/>
        <v/>
      </c>
      <c r="AA54" s="41" t="str">
        <f t="shared" si="20"/>
        <v/>
      </c>
      <c r="AB54" s="41" t="str">
        <f t="shared" si="6"/>
        <v/>
      </c>
      <c r="AC54" s="41" t="str">
        <f t="shared" si="7"/>
        <v/>
      </c>
      <c r="AD54" s="54"/>
      <c r="AE54" s="41" t="str">
        <f t="shared" si="8"/>
        <v/>
      </c>
      <c r="AF54" s="41"/>
      <c r="AG54" s="41" t="str">
        <f t="shared" si="9"/>
        <v/>
      </c>
      <c r="AH54" s="41" t="str">
        <f t="shared" si="21"/>
        <v/>
      </c>
      <c r="AI54" s="41" t="str">
        <f t="shared" si="22"/>
        <v/>
      </c>
      <c r="AJ54" s="41">
        <f t="shared" si="10"/>
        <v>0</v>
      </c>
      <c r="AK54" s="41" t="str">
        <f t="shared" si="11"/>
        <v/>
      </c>
      <c r="AL54" s="41">
        <f t="shared" si="23"/>
        <v>0</v>
      </c>
      <c r="AM54" s="41">
        <f t="shared" si="12"/>
        <v>0</v>
      </c>
      <c r="AN54" s="41" t="str">
        <f t="shared" si="13"/>
        <v/>
      </c>
      <c r="AO54" s="41">
        <f t="shared" si="14"/>
        <v>0</v>
      </c>
      <c r="AP54" s="45"/>
      <c r="AQ54" s="45"/>
      <c r="AR54" s="48"/>
      <c r="AS54" s="48"/>
      <c r="AT54" s="51">
        <f t="shared" si="24"/>
        <v>50</v>
      </c>
      <c r="AU54" s="49" t="str">
        <f t="shared" si="25"/>
        <v/>
      </c>
      <c r="AV54" s="49" t="str">
        <f t="shared" si="26"/>
        <v/>
      </c>
      <c r="AW54" s="50">
        <f xml:space="preserve"> IF(ISERROR(ROUND((1000*NPV($AT$1,$AV55:$AV$124)-$AW$1*($AU55+NPV($AT$1,$AU56:$AU$124)))/AU55,3)), 0, ROUND((1000*NPV($AT$1,$AV55:$AV$124)-$AW$1*($AU55+NPV($AT$1,$AU56:$AU$124)))/AU55,3))</f>
        <v>0</v>
      </c>
      <c r="AX54" s="50">
        <f>IF(ISERROR(ROUND(MAX(0,1000*NPV($AT$2,$AV55:$AV$124)-$AW$2*($AU55+NPV($AT$2,$AU56:$AU$124)))/AU55,3)), 0, ROUND(MAX(0,1000*NPV($AT$2,$AV55:$AV$124)-$AW$2*($AU55+NPV($AT$2,$AU56:$AU$124)))/AU55,3))</f>
        <v>0</v>
      </c>
    </row>
    <row r="55" spans="1:50" ht="15" x14ac:dyDescent="0.25">
      <c r="A55">
        <v>30</v>
      </c>
      <c r="B55">
        <v>6.19328311817027E-4</v>
      </c>
      <c r="C55" s="60">
        <v>30</v>
      </c>
      <c r="D55" s="5">
        <v>12624.36925230126</v>
      </c>
      <c r="F55" s="2"/>
      <c r="G55" s="8"/>
      <c r="I55" s="51"/>
      <c r="J55" s="41"/>
      <c r="K55" s="41" t="str">
        <f t="shared" si="27"/>
        <v/>
      </c>
      <c r="L55" s="42" t="str">
        <f t="shared" si="28"/>
        <v/>
      </c>
      <c r="M55" s="41" t="str">
        <f t="shared" si="29"/>
        <v/>
      </c>
      <c r="N55" s="43">
        <f t="shared" si="1"/>
        <v>0</v>
      </c>
      <c r="O55" s="44">
        <f t="shared" si="2"/>
        <v>0</v>
      </c>
      <c r="P55" s="41" t="str">
        <f t="shared" si="3"/>
        <v/>
      </c>
      <c r="Q55" s="41" t="str">
        <f t="shared" si="4"/>
        <v/>
      </c>
      <c r="R55" s="44"/>
      <c r="S55" s="44" t="str">
        <f t="shared" si="15"/>
        <v/>
      </c>
      <c r="T55" s="52">
        <f t="shared" si="30"/>
        <v>0</v>
      </c>
      <c r="U55" s="53" t="str">
        <f t="shared" si="16"/>
        <v/>
      </c>
      <c r="V55" s="53" t="str">
        <f t="shared" si="17"/>
        <v/>
      </c>
      <c r="W55" s="53" t="str">
        <f t="shared" si="18"/>
        <v/>
      </c>
      <c r="X55" s="46" t="str">
        <f t="shared" si="5"/>
        <v/>
      </c>
      <c r="Y55" s="54"/>
      <c r="Z55" s="41" t="str">
        <f t="shared" si="19"/>
        <v/>
      </c>
      <c r="AA55" s="41" t="str">
        <f t="shared" si="20"/>
        <v/>
      </c>
      <c r="AB55" s="41" t="str">
        <f t="shared" si="6"/>
        <v/>
      </c>
      <c r="AC55" s="41" t="str">
        <f t="shared" si="7"/>
        <v/>
      </c>
      <c r="AD55" s="54"/>
      <c r="AE55" s="41" t="str">
        <f t="shared" si="8"/>
        <v/>
      </c>
      <c r="AF55" s="41"/>
      <c r="AG55" s="41" t="str">
        <f t="shared" si="9"/>
        <v/>
      </c>
      <c r="AH55" s="41" t="str">
        <f t="shared" si="21"/>
        <v/>
      </c>
      <c r="AI55" s="41" t="str">
        <f t="shared" si="22"/>
        <v/>
      </c>
      <c r="AJ55" s="41">
        <f t="shared" si="10"/>
        <v>0</v>
      </c>
      <c r="AK55" s="41" t="str">
        <f t="shared" si="11"/>
        <v/>
      </c>
      <c r="AL55" s="41">
        <f t="shared" si="23"/>
        <v>0</v>
      </c>
      <c r="AM55" s="41">
        <f t="shared" si="12"/>
        <v>0</v>
      </c>
      <c r="AN55" s="41" t="str">
        <f t="shared" si="13"/>
        <v/>
      </c>
      <c r="AO55" s="41">
        <f t="shared" si="14"/>
        <v>0</v>
      </c>
      <c r="AP55" s="45"/>
      <c r="AQ55" s="45"/>
      <c r="AR55" s="48"/>
      <c r="AS55" s="48"/>
      <c r="AT55" s="51">
        <f t="shared" si="24"/>
        <v>51</v>
      </c>
      <c r="AU55" s="49" t="str">
        <f t="shared" si="25"/>
        <v/>
      </c>
      <c r="AV55" s="49" t="str">
        <f t="shared" si="26"/>
        <v/>
      </c>
      <c r="AW55" s="50">
        <f xml:space="preserve"> IF(ISERROR(ROUND((1000*NPV($AT$1,$AV56:$AV$124)-$AW$1*($AU56+NPV($AT$1,$AU57:$AU$124)))/AU56,3)), 0, ROUND((1000*NPV($AT$1,$AV56:$AV$124)-$AW$1*($AU56+NPV($AT$1,$AU57:$AU$124)))/AU56,3))</f>
        <v>0</v>
      </c>
      <c r="AX55" s="50">
        <f>IF(ISERROR(ROUND(MAX(0,1000*NPV($AT$2,$AV56:$AV$124)-$AW$2*($AU56+NPV($AT$2,$AU57:$AU$124)))/AU56,3)), 0, ROUND(MAX(0,1000*NPV($AT$2,$AV56:$AV$124)-$AW$2*($AU56+NPV($AT$2,$AU57:$AU$124)))/AU56,3))</f>
        <v>0</v>
      </c>
    </row>
    <row r="56" spans="1:50" ht="15" x14ac:dyDescent="0.25">
      <c r="A56">
        <v>31</v>
      </c>
      <c r="B56">
        <v>6.4993111181702696E-4</v>
      </c>
      <c r="C56" s="60">
        <v>31</v>
      </c>
      <c r="D56" s="5">
        <v>13080.650756859673</v>
      </c>
      <c r="F56" s="2"/>
      <c r="G56" s="8"/>
      <c r="I56" s="51"/>
      <c r="J56" s="41"/>
      <c r="K56" s="41" t="str">
        <f t="shared" si="27"/>
        <v/>
      </c>
      <c r="L56" s="42" t="str">
        <f t="shared" si="28"/>
        <v/>
      </c>
      <c r="M56" s="41" t="str">
        <f t="shared" si="29"/>
        <v/>
      </c>
      <c r="N56" s="43">
        <f t="shared" si="1"/>
        <v>0</v>
      </c>
      <c r="O56" s="44">
        <f t="shared" si="2"/>
        <v>0</v>
      </c>
      <c r="P56" s="41" t="str">
        <f t="shared" si="3"/>
        <v/>
      </c>
      <c r="Q56" s="41" t="str">
        <f t="shared" si="4"/>
        <v/>
      </c>
      <c r="R56" s="44"/>
      <c r="S56" s="44" t="str">
        <f t="shared" si="15"/>
        <v/>
      </c>
      <c r="T56" s="52">
        <f t="shared" si="30"/>
        <v>0</v>
      </c>
      <c r="U56" s="53" t="str">
        <f t="shared" si="16"/>
        <v/>
      </c>
      <c r="V56" s="53" t="str">
        <f t="shared" si="17"/>
        <v/>
      </c>
      <c r="W56" s="53" t="str">
        <f t="shared" si="18"/>
        <v/>
      </c>
      <c r="X56" s="46" t="str">
        <f t="shared" si="5"/>
        <v/>
      </c>
      <c r="Y56" s="54"/>
      <c r="Z56" s="41" t="str">
        <f t="shared" si="19"/>
        <v/>
      </c>
      <c r="AA56" s="41" t="str">
        <f t="shared" si="20"/>
        <v/>
      </c>
      <c r="AB56" s="41" t="str">
        <f t="shared" si="6"/>
        <v/>
      </c>
      <c r="AC56" s="41" t="str">
        <f t="shared" si="7"/>
        <v/>
      </c>
      <c r="AD56" s="54"/>
      <c r="AE56" s="41" t="str">
        <f t="shared" si="8"/>
        <v/>
      </c>
      <c r="AF56" s="41"/>
      <c r="AG56" s="41" t="str">
        <f t="shared" si="9"/>
        <v/>
      </c>
      <c r="AH56" s="41" t="str">
        <f t="shared" si="21"/>
        <v/>
      </c>
      <c r="AI56" s="41" t="str">
        <f t="shared" si="22"/>
        <v/>
      </c>
      <c r="AJ56" s="41">
        <f t="shared" si="10"/>
        <v>0</v>
      </c>
      <c r="AK56" s="41" t="str">
        <f t="shared" si="11"/>
        <v/>
      </c>
      <c r="AL56" s="41">
        <f t="shared" si="23"/>
        <v>0</v>
      </c>
      <c r="AM56" s="41">
        <f t="shared" si="12"/>
        <v>0</v>
      </c>
      <c r="AN56" s="41" t="str">
        <f t="shared" si="13"/>
        <v/>
      </c>
      <c r="AO56" s="41">
        <f t="shared" si="14"/>
        <v>0</v>
      </c>
      <c r="AP56" s="45"/>
      <c r="AQ56" s="45"/>
      <c r="AR56" s="48"/>
      <c r="AS56" s="48"/>
      <c r="AT56" s="51">
        <f t="shared" si="24"/>
        <v>52</v>
      </c>
      <c r="AU56" s="49" t="str">
        <f t="shared" si="25"/>
        <v/>
      </c>
      <c r="AV56" s="49" t="str">
        <f t="shared" si="26"/>
        <v/>
      </c>
      <c r="AW56" s="50">
        <f xml:space="preserve"> IF(ISERROR(ROUND((1000*NPV($AT$1,$AV57:$AV$124)-$AW$1*($AU57+NPV($AT$1,$AU58:$AU$124)))/AU57,3)), 0, ROUND((1000*NPV($AT$1,$AV57:$AV$124)-$AW$1*($AU57+NPV($AT$1,$AU58:$AU$124)))/AU57,3))</f>
        <v>0</v>
      </c>
      <c r="AX56" s="50">
        <f>IF(ISERROR(ROUND(MAX(0,1000*NPV($AT$2,$AV57:$AV$124)-$AW$2*($AU57+NPV($AT$2,$AU58:$AU$124)))/AU57,3)), 0, ROUND(MAX(0,1000*NPV($AT$2,$AV57:$AV$124)-$AW$2*($AU57+NPV($AT$2,$AU58:$AU$124)))/AU57,3))</f>
        <v>0</v>
      </c>
    </row>
    <row r="57" spans="1:50" ht="15" x14ac:dyDescent="0.25">
      <c r="A57">
        <v>32</v>
      </c>
      <c r="B57">
        <v>6.8674453265565405E-4</v>
      </c>
      <c r="C57" s="60">
        <v>32</v>
      </c>
      <c r="D57" s="5">
        <v>13560.271374930424</v>
      </c>
      <c r="I57" s="51"/>
      <c r="J57" s="41"/>
      <c r="K57" s="41" t="str">
        <f t="shared" si="27"/>
        <v/>
      </c>
      <c r="L57" s="42" t="str">
        <f t="shared" si="28"/>
        <v/>
      </c>
      <c r="M57" s="41" t="str">
        <f t="shared" si="29"/>
        <v/>
      </c>
      <c r="N57" s="43">
        <f t="shared" si="1"/>
        <v>0</v>
      </c>
      <c r="O57" s="44">
        <f t="shared" si="2"/>
        <v>0</v>
      </c>
      <c r="P57" s="41" t="str">
        <f t="shared" si="3"/>
        <v/>
      </c>
      <c r="Q57" s="41" t="str">
        <f t="shared" si="4"/>
        <v/>
      </c>
      <c r="R57" s="44"/>
      <c r="S57" s="44" t="str">
        <f t="shared" si="15"/>
        <v/>
      </c>
      <c r="T57" s="52">
        <f t="shared" si="30"/>
        <v>0</v>
      </c>
      <c r="U57" s="53" t="str">
        <f t="shared" si="16"/>
        <v/>
      </c>
      <c r="V57" s="53" t="str">
        <f t="shared" si="17"/>
        <v/>
      </c>
      <c r="W57" s="53" t="str">
        <f t="shared" si="18"/>
        <v/>
      </c>
      <c r="X57" s="46" t="str">
        <f t="shared" si="5"/>
        <v/>
      </c>
      <c r="Y57" s="54"/>
      <c r="Z57" s="41" t="str">
        <f t="shared" si="19"/>
        <v/>
      </c>
      <c r="AA57" s="41" t="str">
        <f t="shared" si="20"/>
        <v/>
      </c>
      <c r="AB57" s="41" t="str">
        <f t="shared" si="6"/>
        <v/>
      </c>
      <c r="AC57" s="41" t="str">
        <f t="shared" si="7"/>
        <v/>
      </c>
      <c r="AD57" s="54"/>
      <c r="AE57" s="41" t="str">
        <f t="shared" si="8"/>
        <v/>
      </c>
      <c r="AF57" s="41"/>
      <c r="AG57" s="41" t="str">
        <f t="shared" si="9"/>
        <v/>
      </c>
      <c r="AH57" s="41" t="str">
        <f t="shared" si="21"/>
        <v/>
      </c>
      <c r="AI57" s="41" t="str">
        <f t="shared" si="22"/>
        <v/>
      </c>
      <c r="AJ57" s="41">
        <f t="shared" si="10"/>
        <v>0</v>
      </c>
      <c r="AK57" s="41" t="str">
        <f t="shared" si="11"/>
        <v/>
      </c>
      <c r="AL57" s="41">
        <f t="shared" si="23"/>
        <v>0</v>
      </c>
      <c r="AM57" s="41">
        <f t="shared" si="12"/>
        <v>0</v>
      </c>
      <c r="AN57" s="41" t="str">
        <f t="shared" si="13"/>
        <v/>
      </c>
      <c r="AO57" s="41">
        <f t="shared" si="14"/>
        <v>0</v>
      </c>
      <c r="AP57" s="45"/>
      <c r="AQ57" s="45"/>
      <c r="AR57" s="48"/>
      <c r="AS57" s="48"/>
      <c r="AT57" s="51">
        <f t="shared" si="24"/>
        <v>53</v>
      </c>
      <c r="AU57" s="49" t="str">
        <f t="shared" si="25"/>
        <v/>
      </c>
      <c r="AV57" s="49" t="str">
        <f t="shared" si="26"/>
        <v/>
      </c>
      <c r="AW57" s="50">
        <f xml:space="preserve"> IF(ISERROR(ROUND((1000*NPV($AT$1,$AV58:$AV$124)-$AW$1*($AU58+NPV($AT$1,$AU59:$AU$124)))/AU58,3)), 0, ROUND((1000*NPV($AT$1,$AV58:$AV$124)-$AW$1*($AU58+NPV($AT$1,$AU59:$AU$124)))/AU58,3))</f>
        <v>0</v>
      </c>
      <c r="AX57" s="50">
        <f>IF(ISERROR(ROUND(MAX(0,1000*NPV($AT$2,$AV58:$AV$124)-$AW$2*($AU58+NPV($AT$2,$AU59:$AU$124)))/AU58,3)), 0, ROUND(MAX(0,1000*NPV($AT$2,$AV58:$AV$124)-$AW$2*($AU58+NPV($AT$2,$AU59:$AU$124)))/AU58,3))</f>
        <v>0</v>
      </c>
    </row>
    <row r="58" spans="1:50" ht="15" x14ac:dyDescent="0.25">
      <c r="A58">
        <v>33</v>
      </c>
      <c r="B58">
        <v>7.2349525489199499E-4</v>
      </c>
      <c r="C58" s="60">
        <v>33</v>
      </c>
      <c r="D58" s="5">
        <v>14064.71224082285</v>
      </c>
      <c r="I58" s="51"/>
      <c r="J58" s="41"/>
      <c r="K58" s="41" t="str">
        <f t="shared" si="27"/>
        <v/>
      </c>
      <c r="L58" s="42" t="str">
        <f t="shared" si="28"/>
        <v/>
      </c>
      <c r="M58" s="41" t="str">
        <f t="shared" si="29"/>
        <v/>
      </c>
      <c r="N58" s="43">
        <f t="shared" si="1"/>
        <v>0</v>
      </c>
      <c r="O58" s="44">
        <f t="shared" si="2"/>
        <v>0</v>
      </c>
      <c r="P58" s="41" t="str">
        <f t="shared" si="3"/>
        <v/>
      </c>
      <c r="Q58" s="41" t="str">
        <f t="shared" si="4"/>
        <v/>
      </c>
      <c r="R58" s="44"/>
      <c r="S58" s="44" t="str">
        <f t="shared" si="15"/>
        <v/>
      </c>
      <c r="T58" s="52">
        <f t="shared" si="30"/>
        <v>0</v>
      </c>
      <c r="U58" s="53" t="str">
        <f t="shared" si="16"/>
        <v/>
      </c>
      <c r="V58" s="53" t="str">
        <f t="shared" si="17"/>
        <v/>
      </c>
      <c r="W58" s="53" t="str">
        <f t="shared" si="18"/>
        <v/>
      </c>
      <c r="X58" s="46" t="str">
        <f t="shared" si="5"/>
        <v/>
      </c>
      <c r="Y58" s="54"/>
      <c r="Z58" s="41" t="str">
        <f t="shared" si="19"/>
        <v/>
      </c>
      <c r="AA58" s="41" t="str">
        <f t="shared" si="20"/>
        <v/>
      </c>
      <c r="AB58" s="41" t="str">
        <f t="shared" si="6"/>
        <v/>
      </c>
      <c r="AC58" s="41" t="str">
        <f t="shared" si="7"/>
        <v/>
      </c>
      <c r="AD58" s="54"/>
      <c r="AE58" s="41" t="str">
        <f t="shared" si="8"/>
        <v/>
      </c>
      <c r="AF58" s="41"/>
      <c r="AG58" s="41" t="str">
        <f t="shared" si="9"/>
        <v/>
      </c>
      <c r="AH58" s="41" t="str">
        <f t="shared" si="21"/>
        <v/>
      </c>
      <c r="AI58" s="41" t="str">
        <f t="shared" si="22"/>
        <v/>
      </c>
      <c r="AJ58" s="41">
        <f t="shared" si="10"/>
        <v>0</v>
      </c>
      <c r="AK58" s="41" t="str">
        <f t="shared" si="11"/>
        <v/>
      </c>
      <c r="AL58" s="41">
        <f t="shared" si="23"/>
        <v>0</v>
      </c>
      <c r="AM58" s="41">
        <f t="shared" si="12"/>
        <v>0</v>
      </c>
      <c r="AN58" s="41" t="str">
        <f t="shared" si="13"/>
        <v/>
      </c>
      <c r="AO58" s="41">
        <f t="shared" si="14"/>
        <v>0</v>
      </c>
      <c r="AP58" s="45"/>
      <c r="AQ58" s="45"/>
      <c r="AR58" s="48"/>
      <c r="AS58" s="48"/>
      <c r="AT58" s="51">
        <f t="shared" si="24"/>
        <v>54</v>
      </c>
      <c r="AU58" s="49" t="str">
        <f t="shared" si="25"/>
        <v/>
      </c>
      <c r="AV58" s="49" t="str">
        <f t="shared" si="26"/>
        <v/>
      </c>
      <c r="AW58" s="50">
        <f xml:space="preserve"> IF(ISERROR(ROUND((1000*NPV($AT$1,$AV59:$AV$124)-$AW$1*($AU59+NPV($AT$1,$AU60:$AU$124)))/AU59,3)), 0, ROUND((1000*NPV($AT$1,$AV59:$AV$124)-$AW$1*($AU59+NPV($AT$1,$AU60:$AU$124)))/AU59,3))</f>
        <v>0</v>
      </c>
      <c r="AX58" s="50">
        <f>IF(ISERROR(ROUND(MAX(0,1000*NPV($AT$2,$AV59:$AV$124)-$AW$2*($AU59+NPV($AT$2,$AU60:$AU$124)))/AU59,3)), 0, ROUND(MAX(0,1000*NPV($AT$2,$AV59:$AV$124)-$AW$2*($AU59+NPV($AT$2,$AU60:$AU$124)))/AU59,3))</f>
        <v>0</v>
      </c>
    </row>
    <row r="59" spans="1:50" ht="15" x14ac:dyDescent="0.25">
      <c r="A59">
        <v>34</v>
      </c>
      <c r="B59">
        <v>7.6924228132147399E-4</v>
      </c>
      <c r="C59" s="60">
        <v>34</v>
      </c>
      <c r="D59" s="5">
        <v>14594.669116355655</v>
      </c>
      <c r="I59" s="51"/>
      <c r="J59" s="41"/>
      <c r="K59" s="41" t="str">
        <f t="shared" si="27"/>
        <v/>
      </c>
      <c r="L59" s="42" t="str">
        <f t="shared" si="28"/>
        <v/>
      </c>
      <c r="M59" s="41" t="str">
        <f t="shared" si="29"/>
        <v/>
      </c>
      <c r="N59" s="43">
        <f t="shared" si="1"/>
        <v>0</v>
      </c>
      <c r="O59" s="44">
        <f t="shared" si="2"/>
        <v>0</v>
      </c>
      <c r="P59" s="41" t="str">
        <f t="shared" si="3"/>
        <v/>
      </c>
      <c r="Q59" s="41" t="str">
        <f t="shared" si="4"/>
        <v/>
      </c>
      <c r="R59" s="44"/>
      <c r="S59" s="44" t="str">
        <f t="shared" si="15"/>
        <v/>
      </c>
      <c r="T59" s="52">
        <f t="shared" si="30"/>
        <v>0</v>
      </c>
      <c r="U59" s="53" t="str">
        <f t="shared" si="16"/>
        <v/>
      </c>
      <c r="V59" s="53" t="str">
        <f t="shared" si="17"/>
        <v/>
      </c>
      <c r="W59" s="53" t="str">
        <f t="shared" si="18"/>
        <v/>
      </c>
      <c r="X59" s="46" t="str">
        <f t="shared" si="5"/>
        <v/>
      </c>
      <c r="Y59" s="54"/>
      <c r="Z59" s="41" t="str">
        <f t="shared" si="19"/>
        <v/>
      </c>
      <c r="AA59" s="41" t="str">
        <f t="shared" si="20"/>
        <v/>
      </c>
      <c r="AB59" s="41" t="str">
        <f t="shared" si="6"/>
        <v/>
      </c>
      <c r="AC59" s="41" t="str">
        <f t="shared" si="7"/>
        <v/>
      </c>
      <c r="AD59" s="54"/>
      <c r="AE59" s="41" t="str">
        <f t="shared" si="8"/>
        <v/>
      </c>
      <c r="AF59" s="41"/>
      <c r="AG59" s="41" t="str">
        <f t="shared" si="9"/>
        <v/>
      </c>
      <c r="AH59" s="41" t="str">
        <f t="shared" si="21"/>
        <v/>
      </c>
      <c r="AI59" s="41" t="str">
        <f t="shared" si="22"/>
        <v/>
      </c>
      <c r="AJ59" s="41">
        <f t="shared" si="10"/>
        <v>0</v>
      </c>
      <c r="AK59" s="41" t="str">
        <f t="shared" si="11"/>
        <v/>
      </c>
      <c r="AL59" s="41">
        <f t="shared" si="23"/>
        <v>0</v>
      </c>
      <c r="AM59" s="41">
        <f t="shared" si="12"/>
        <v>0</v>
      </c>
      <c r="AN59" s="41" t="str">
        <f t="shared" si="13"/>
        <v/>
      </c>
      <c r="AO59" s="41">
        <f t="shared" si="14"/>
        <v>0</v>
      </c>
      <c r="AP59" s="45"/>
      <c r="AQ59" s="45"/>
      <c r="AR59" s="48"/>
      <c r="AS59" s="48"/>
      <c r="AT59" s="51">
        <f t="shared" si="24"/>
        <v>55</v>
      </c>
      <c r="AU59" s="49" t="str">
        <f t="shared" si="25"/>
        <v/>
      </c>
      <c r="AV59" s="49" t="str">
        <f t="shared" si="26"/>
        <v/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1:50" ht="15" x14ac:dyDescent="0.25">
      <c r="A60">
        <v>35</v>
      </c>
      <c r="B60">
        <v>8.1713505082592103E-4</v>
      </c>
      <c r="C60" s="60">
        <v>35</v>
      </c>
      <c r="D60" s="5">
        <v>15151.906246509119</v>
      </c>
      <c r="I60" s="51"/>
      <c r="J60" s="41"/>
      <c r="K60" s="41" t="str">
        <f t="shared" si="27"/>
        <v/>
      </c>
      <c r="L60" s="42" t="str">
        <f t="shared" si="28"/>
        <v/>
      </c>
      <c r="M60" s="41" t="str">
        <f t="shared" si="29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 t="shared" si="15"/>
        <v/>
      </c>
      <c r="T60" s="52">
        <f t="shared" si="30"/>
        <v>0</v>
      </c>
      <c r="U60" s="53" t="str">
        <f t="shared" si="16"/>
        <v/>
      </c>
      <c r="V60" s="53" t="str">
        <f t="shared" si="17"/>
        <v/>
      </c>
      <c r="W60" s="53" t="str">
        <f t="shared" si="18"/>
        <v/>
      </c>
      <c r="X60" s="46" t="str">
        <f t="shared" si="5"/>
        <v/>
      </c>
      <c r="Y60" s="54"/>
      <c r="Z60" s="41" t="str">
        <f t="shared" si="19"/>
        <v/>
      </c>
      <c r="AA60" s="41" t="str">
        <f t="shared" si="20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/>
      <c r="AG60" s="41" t="str">
        <f t="shared" si="9"/>
        <v/>
      </c>
      <c r="AH60" s="41" t="str">
        <f t="shared" si="21"/>
        <v/>
      </c>
      <c r="AI60" s="41" t="str">
        <f t="shared" si="22"/>
        <v/>
      </c>
      <c r="AJ60" s="41">
        <f t="shared" si="10"/>
        <v>0</v>
      </c>
      <c r="AK60" s="41" t="str">
        <f t="shared" si="11"/>
        <v/>
      </c>
      <c r="AL60" s="41">
        <f t="shared" si="23"/>
        <v>0</v>
      </c>
      <c r="AM60" s="41">
        <f t="shared" si="12"/>
        <v>0</v>
      </c>
      <c r="AN60" s="41" t="str">
        <f t="shared" si="13"/>
        <v/>
      </c>
      <c r="AO60" s="41">
        <f t="shared" si="14"/>
        <v>0</v>
      </c>
      <c r="AP60" s="45"/>
      <c r="AQ60" s="45"/>
      <c r="AR60" s="48"/>
      <c r="AS60" s="48"/>
      <c r="AT60" s="51">
        <f t="shared" si="24"/>
        <v>56</v>
      </c>
      <c r="AU60" s="49" t="str">
        <f t="shared" si="25"/>
        <v/>
      </c>
      <c r="AV60" s="49" t="str">
        <f t="shared" si="26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8.73384184243964E-4</v>
      </c>
      <c r="C61" s="60">
        <v>36</v>
      </c>
      <c r="D61" s="5">
        <v>15737.86673282628</v>
      </c>
      <c r="I61" s="51"/>
      <c r="J61" s="41"/>
      <c r="K61" s="41" t="str">
        <f t="shared" si="27"/>
        <v/>
      </c>
      <c r="L61" s="42" t="str">
        <f t="shared" si="28"/>
        <v/>
      </c>
      <c r="M61" s="41" t="str">
        <f t="shared" si="29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 t="shared" si="15"/>
        <v/>
      </c>
      <c r="T61" s="52">
        <f t="shared" si="30"/>
        <v>0</v>
      </c>
      <c r="U61" s="53" t="str">
        <f t="shared" si="16"/>
        <v/>
      </c>
      <c r="V61" s="53" t="str">
        <f t="shared" si="17"/>
        <v/>
      </c>
      <c r="W61" s="53" t="str">
        <f t="shared" si="18"/>
        <v/>
      </c>
      <c r="X61" s="46" t="str">
        <f t="shared" si="5"/>
        <v/>
      </c>
      <c r="Y61" s="54"/>
      <c r="Z61" s="41" t="str">
        <f t="shared" si="19"/>
        <v/>
      </c>
      <c r="AA61" s="41" t="str">
        <f t="shared" si="20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21"/>
        <v/>
      </c>
      <c r="AI61" s="41" t="str">
        <f t="shared" si="22"/>
        <v/>
      </c>
      <c r="AJ61" s="41">
        <f t="shared" si="10"/>
        <v>0</v>
      </c>
      <c r="AK61" s="41" t="str">
        <f t="shared" si="11"/>
        <v/>
      </c>
      <c r="AL61" s="41">
        <f t="shared" si="23"/>
        <v>0</v>
      </c>
      <c r="AM61" s="41">
        <f t="shared" si="12"/>
        <v>0</v>
      </c>
      <c r="AN61" s="41" t="str">
        <f t="shared" si="13"/>
        <v/>
      </c>
      <c r="AO61" s="41">
        <f t="shared" si="14"/>
        <v>0</v>
      </c>
      <c r="AP61" s="45"/>
      <c r="AQ61" s="45"/>
      <c r="AR61" s="48"/>
      <c r="AS61" s="48"/>
      <c r="AT61" s="51">
        <f t="shared" si="24"/>
        <v>57</v>
      </c>
      <c r="AU61" s="49" t="str">
        <f t="shared" si="25"/>
        <v/>
      </c>
      <c r="AV61" s="49" t="str">
        <f t="shared" si="26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9.4989016213468903E-4</v>
      </c>
      <c r="C62" s="60">
        <v>37</v>
      </c>
      <c r="D62" s="5">
        <v>16352.517294761941</v>
      </c>
      <c r="I62" s="51"/>
      <c r="J62" s="41"/>
      <c r="K62" s="41" t="str">
        <f t="shared" si="27"/>
        <v/>
      </c>
      <c r="L62" s="42" t="str">
        <f t="shared" si="28"/>
        <v/>
      </c>
      <c r="M62" s="41" t="str">
        <f t="shared" si="29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 t="shared" si="15"/>
        <v/>
      </c>
      <c r="T62" s="52">
        <f t="shared" si="30"/>
        <v>0</v>
      </c>
      <c r="U62" s="53" t="str">
        <f t="shared" si="16"/>
        <v/>
      </c>
      <c r="V62" s="53" t="str">
        <f t="shared" si="17"/>
        <v/>
      </c>
      <c r="W62" s="53" t="str">
        <f t="shared" si="18"/>
        <v/>
      </c>
      <c r="X62" s="46" t="str">
        <f t="shared" si="5"/>
        <v/>
      </c>
      <c r="Y62" s="54"/>
      <c r="Z62" s="41" t="str">
        <f t="shared" si="19"/>
        <v/>
      </c>
      <c r="AA62" s="41" t="str">
        <f t="shared" si="20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21"/>
        <v/>
      </c>
      <c r="AI62" s="41" t="str">
        <f t="shared" si="22"/>
        <v/>
      </c>
      <c r="AJ62" s="41">
        <f t="shared" si="10"/>
        <v>0</v>
      </c>
      <c r="AK62" s="41" t="str">
        <f t="shared" si="11"/>
        <v/>
      </c>
      <c r="AL62" s="41">
        <f t="shared" si="23"/>
        <v>0</v>
      </c>
      <c r="AM62" s="41">
        <f t="shared" si="12"/>
        <v>0</v>
      </c>
      <c r="AN62" s="41" t="str">
        <f t="shared" si="13"/>
        <v/>
      </c>
      <c r="AO62" s="41">
        <f t="shared" si="14"/>
        <v>0</v>
      </c>
      <c r="AP62" s="45"/>
      <c r="AQ62" s="45"/>
      <c r="AR62" s="48"/>
      <c r="AS62" s="48"/>
      <c r="AT62" s="51">
        <f t="shared" si="24"/>
        <v>58</v>
      </c>
      <c r="AU62" s="49" t="str">
        <f t="shared" si="25"/>
        <v/>
      </c>
      <c r="AV62" s="49" t="str">
        <f t="shared" si="26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1.03891790673443E-3</v>
      </c>
      <c r="C63" s="60">
        <v>38</v>
      </c>
      <c r="D63" s="5">
        <v>16996.653445039599</v>
      </c>
      <c r="I63" s="51"/>
      <c r="J63" s="41"/>
      <c r="K63" s="41" t="str">
        <f t="shared" si="27"/>
        <v/>
      </c>
      <c r="L63" s="42" t="str">
        <f t="shared" si="28"/>
        <v/>
      </c>
      <c r="M63" s="41" t="str">
        <f t="shared" si="29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 t="shared" si="15"/>
        <v/>
      </c>
      <c r="T63" s="52">
        <f t="shared" si="30"/>
        <v>0</v>
      </c>
      <c r="U63" s="53" t="str">
        <f t="shared" si="16"/>
        <v/>
      </c>
      <c r="V63" s="53" t="str">
        <f t="shared" si="17"/>
        <v/>
      </c>
      <c r="W63" s="53" t="str">
        <f t="shared" si="18"/>
        <v/>
      </c>
      <c r="X63" s="46" t="str">
        <f t="shared" si="5"/>
        <v/>
      </c>
      <c r="Y63" s="54"/>
      <c r="Z63" s="41" t="str">
        <f t="shared" si="19"/>
        <v/>
      </c>
      <c r="AA63" s="41" t="str">
        <f t="shared" si="20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21"/>
        <v/>
      </c>
      <c r="AI63" s="41" t="str">
        <f t="shared" si="22"/>
        <v/>
      </c>
      <c r="AJ63" s="41">
        <f t="shared" si="10"/>
        <v>0</v>
      </c>
      <c r="AK63" s="41" t="str">
        <f t="shared" si="11"/>
        <v/>
      </c>
      <c r="AL63" s="41">
        <f t="shared" si="23"/>
        <v>0</v>
      </c>
      <c r="AM63" s="41">
        <f t="shared" si="12"/>
        <v>0</v>
      </c>
      <c r="AN63" s="41" t="str">
        <f t="shared" si="13"/>
        <v/>
      </c>
      <c r="AO63" s="41">
        <f t="shared" si="14"/>
        <v>0</v>
      </c>
      <c r="AP63" s="45"/>
      <c r="AQ63" s="45"/>
      <c r="AR63" s="48"/>
      <c r="AS63" s="48"/>
      <c r="AT63" s="51">
        <f t="shared" si="24"/>
        <v>59</v>
      </c>
      <c r="AU63" s="49" t="str">
        <f t="shared" si="25"/>
        <v/>
      </c>
      <c r="AV63" s="49" t="str">
        <f t="shared" si="26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1.1303800152477801E-3</v>
      </c>
      <c r="C64" s="60">
        <v>39</v>
      </c>
      <c r="D64" s="5">
        <v>17672.37052402024</v>
      </c>
      <c r="I64" s="51"/>
      <c r="J64" s="41"/>
      <c r="K64" s="41" t="str">
        <f t="shared" si="27"/>
        <v/>
      </c>
      <c r="L64" s="42" t="str">
        <f t="shared" si="28"/>
        <v/>
      </c>
      <c r="M64" s="41" t="str">
        <f t="shared" si="29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 t="shared" si="15"/>
        <v/>
      </c>
      <c r="T64" s="52">
        <f t="shared" si="30"/>
        <v>0</v>
      </c>
      <c r="U64" s="53" t="str">
        <f t="shared" si="16"/>
        <v/>
      </c>
      <c r="V64" s="53" t="str">
        <f t="shared" si="17"/>
        <v/>
      </c>
      <c r="W64" s="53" t="str">
        <f t="shared" si="18"/>
        <v/>
      </c>
      <c r="X64" s="46" t="str">
        <f t="shared" si="5"/>
        <v/>
      </c>
      <c r="Y64" s="54"/>
      <c r="Z64" s="41" t="str">
        <f t="shared" si="19"/>
        <v/>
      </c>
      <c r="AA64" s="41" t="str">
        <f t="shared" si="20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21"/>
        <v/>
      </c>
      <c r="AI64" s="41" t="str">
        <f t="shared" si="22"/>
        <v/>
      </c>
      <c r="AJ64" s="41">
        <f t="shared" si="10"/>
        <v>0</v>
      </c>
      <c r="AK64" s="41" t="str">
        <f t="shared" si="11"/>
        <v/>
      </c>
      <c r="AL64" s="41">
        <f t="shared" si="23"/>
        <v>0</v>
      </c>
      <c r="AM64" s="41">
        <f t="shared" si="12"/>
        <v>0</v>
      </c>
      <c r="AN64" s="41" t="str">
        <f t="shared" si="13"/>
        <v/>
      </c>
      <c r="AO64" s="41">
        <f t="shared" si="14"/>
        <v>0</v>
      </c>
      <c r="AP64" s="45"/>
      <c r="AQ64" s="45"/>
      <c r="AR64" s="48"/>
      <c r="AS64" s="48"/>
      <c r="AT64" s="51">
        <f t="shared" si="24"/>
        <v>60</v>
      </c>
      <c r="AU64" s="49" t="str">
        <f t="shared" si="25"/>
        <v/>
      </c>
      <c r="AV64" s="49" t="str">
        <f t="shared" si="26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1.22580094459975E-3</v>
      </c>
      <c r="C65" s="60">
        <v>40</v>
      </c>
      <c r="D65" s="5">
        <v>18381.743061381196</v>
      </c>
      <c r="I65" s="51"/>
      <c r="J65" s="41"/>
      <c r="K65" s="41" t="str">
        <f t="shared" si="27"/>
        <v/>
      </c>
      <c r="L65" s="42" t="str">
        <f t="shared" si="28"/>
        <v/>
      </c>
      <c r="M65" s="41" t="str">
        <f t="shared" si="29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 t="shared" si="15"/>
        <v/>
      </c>
      <c r="T65" s="52">
        <f t="shared" si="30"/>
        <v>0</v>
      </c>
      <c r="U65" s="53" t="str">
        <f t="shared" si="16"/>
        <v/>
      </c>
      <c r="V65" s="53" t="str">
        <f t="shared" si="17"/>
        <v/>
      </c>
      <c r="W65" s="53" t="str">
        <f t="shared" si="18"/>
        <v/>
      </c>
      <c r="X65" s="46" t="str">
        <f t="shared" si="5"/>
        <v/>
      </c>
      <c r="Y65" s="54"/>
      <c r="Z65" s="41" t="str">
        <f t="shared" si="19"/>
        <v/>
      </c>
      <c r="AA65" s="41" t="str">
        <f t="shared" si="20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21"/>
        <v/>
      </c>
      <c r="AI65" s="41" t="str">
        <f t="shared" si="22"/>
        <v/>
      </c>
      <c r="AJ65" s="41">
        <f t="shared" si="10"/>
        <v>0</v>
      </c>
      <c r="AK65" s="41" t="str">
        <f t="shared" si="11"/>
        <v/>
      </c>
      <c r="AL65" s="41">
        <f t="shared" si="23"/>
        <v>0</v>
      </c>
      <c r="AM65" s="41">
        <f t="shared" si="12"/>
        <v>0</v>
      </c>
      <c r="AN65" s="41" t="str">
        <f t="shared" si="13"/>
        <v/>
      </c>
      <c r="AO65" s="41">
        <f t="shared" si="14"/>
        <v>0</v>
      </c>
      <c r="AP65" s="45"/>
      <c r="AQ65" s="45"/>
      <c r="AR65" s="48"/>
      <c r="AS65" s="48"/>
      <c r="AT65" s="51">
        <f t="shared" si="24"/>
        <v>61</v>
      </c>
      <c r="AU65" s="49" t="str">
        <f t="shared" si="25"/>
        <v/>
      </c>
      <c r="AV65" s="49" t="str">
        <f t="shared" si="26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1.33701847674714E-3</v>
      </c>
      <c r="C66" s="60">
        <v>41</v>
      </c>
      <c r="D66" s="5">
        <v>19125.76045907865</v>
      </c>
      <c r="I66" s="51"/>
      <c r="J66" s="41"/>
      <c r="K66" s="41" t="str">
        <f t="shared" si="27"/>
        <v/>
      </c>
      <c r="L66" s="42" t="str">
        <f t="shared" si="28"/>
        <v/>
      </c>
      <c r="M66" s="41" t="str">
        <f t="shared" si="29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 t="shared" si="15"/>
        <v/>
      </c>
      <c r="T66" s="52">
        <f t="shared" si="30"/>
        <v>0</v>
      </c>
      <c r="U66" s="53" t="str">
        <f t="shared" si="16"/>
        <v/>
      </c>
      <c r="V66" s="53" t="str">
        <f t="shared" si="17"/>
        <v/>
      </c>
      <c r="W66" s="53" t="str">
        <f t="shared" si="18"/>
        <v/>
      </c>
      <c r="X66" s="46" t="str">
        <f t="shared" si="5"/>
        <v/>
      </c>
      <c r="Y66" s="54"/>
      <c r="Z66" s="41" t="str">
        <f t="shared" si="19"/>
        <v/>
      </c>
      <c r="AA66" s="41" t="str">
        <f t="shared" si="20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21"/>
        <v/>
      </c>
      <c r="AI66" s="41" t="str">
        <f t="shared" si="22"/>
        <v/>
      </c>
      <c r="AJ66" s="41">
        <f t="shared" si="10"/>
        <v>0</v>
      </c>
      <c r="AK66" s="41" t="str">
        <f t="shared" si="11"/>
        <v/>
      </c>
      <c r="AL66" s="41">
        <f t="shared" si="23"/>
        <v>0</v>
      </c>
      <c r="AM66" s="41">
        <f t="shared" si="12"/>
        <v>0</v>
      </c>
      <c r="AN66" s="41" t="str">
        <f t="shared" si="13"/>
        <v/>
      </c>
      <c r="AO66" s="41">
        <f t="shared" si="14"/>
        <v>0</v>
      </c>
      <c r="AP66" s="45"/>
      <c r="AQ66" s="45"/>
      <c r="AR66" s="48"/>
      <c r="AS66" s="48"/>
      <c r="AT66" s="51">
        <f t="shared" si="24"/>
        <v>62</v>
      </c>
      <c r="AU66" s="49" t="str">
        <f t="shared" si="25"/>
        <v/>
      </c>
      <c r="AV66" s="49" t="str">
        <f t="shared" si="26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1.4474328449809401E-3</v>
      </c>
      <c r="C67" s="60">
        <v>42</v>
      </c>
      <c r="D67" s="5">
        <v>19907.358017740724</v>
      </c>
      <c r="I67" s="51"/>
      <c r="J67" s="41"/>
      <c r="K67" s="41" t="str">
        <f t="shared" si="27"/>
        <v/>
      </c>
      <c r="L67" s="42" t="str">
        <f t="shared" si="28"/>
        <v/>
      </c>
      <c r="M67" s="41" t="str">
        <f t="shared" si="29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 t="shared" si="15"/>
        <v/>
      </c>
      <c r="T67" s="52">
        <f t="shared" si="30"/>
        <v>0</v>
      </c>
      <c r="U67" s="53" t="str">
        <f t="shared" si="16"/>
        <v/>
      </c>
      <c r="V67" s="53" t="str">
        <f t="shared" si="17"/>
        <v/>
      </c>
      <c r="W67" s="53" t="str">
        <f t="shared" si="18"/>
        <v/>
      </c>
      <c r="X67" s="46" t="str">
        <f t="shared" si="5"/>
        <v/>
      </c>
      <c r="Y67" s="54"/>
      <c r="Z67" s="41" t="str">
        <f t="shared" si="19"/>
        <v/>
      </c>
      <c r="AA67" s="41" t="str">
        <f t="shared" si="20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21"/>
        <v/>
      </c>
      <c r="AI67" s="41" t="str">
        <f t="shared" si="22"/>
        <v/>
      </c>
      <c r="AJ67" s="41">
        <f t="shared" si="10"/>
        <v>0</v>
      </c>
      <c r="AK67" s="41" t="str">
        <f t="shared" si="11"/>
        <v/>
      </c>
      <c r="AL67" s="41">
        <f t="shared" si="23"/>
        <v>0</v>
      </c>
      <c r="AM67" s="41">
        <f t="shared" si="12"/>
        <v>0</v>
      </c>
      <c r="AN67" s="41" t="str">
        <f t="shared" si="13"/>
        <v/>
      </c>
      <c r="AO67" s="41">
        <f t="shared" si="14"/>
        <v>0</v>
      </c>
      <c r="AP67" s="45"/>
      <c r="AQ67" s="45"/>
      <c r="AR67" s="48"/>
      <c r="AS67" s="48"/>
      <c r="AT67" s="51">
        <f t="shared" si="24"/>
        <v>63</v>
      </c>
      <c r="AU67" s="49" t="str">
        <f t="shared" si="25"/>
        <v/>
      </c>
      <c r="AV67" s="49" t="str">
        <f t="shared" si="26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1.57335519517154E-3</v>
      </c>
      <c r="C68" s="60">
        <v>43</v>
      </c>
      <c r="D68" s="5">
        <v>20728.03639095476</v>
      </c>
      <c r="I68" s="51"/>
      <c r="J68" s="41"/>
      <c r="K68" s="41" t="str">
        <f t="shared" si="27"/>
        <v/>
      </c>
      <c r="L68" s="42" t="str">
        <f t="shared" si="28"/>
        <v/>
      </c>
      <c r="M68" s="41" t="str">
        <f t="shared" si="29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 t="shared" si="15"/>
        <v/>
      </c>
      <c r="T68" s="52">
        <f t="shared" si="30"/>
        <v>0</v>
      </c>
      <c r="U68" s="53" t="str">
        <f t="shared" si="16"/>
        <v/>
      </c>
      <c r="V68" s="53" t="str">
        <f t="shared" si="17"/>
        <v/>
      </c>
      <c r="W68" s="53" t="str">
        <f t="shared" si="18"/>
        <v/>
      </c>
      <c r="X68" s="46" t="str">
        <f t="shared" si="5"/>
        <v/>
      </c>
      <c r="Y68" s="54"/>
      <c r="Z68" s="41" t="str">
        <f t="shared" si="19"/>
        <v/>
      </c>
      <c r="AA68" s="41" t="str">
        <f t="shared" si="20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21"/>
        <v/>
      </c>
      <c r="AI68" s="41" t="str">
        <f t="shared" si="22"/>
        <v/>
      </c>
      <c r="AJ68" s="41">
        <f t="shared" si="10"/>
        <v>0</v>
      </c>
      <c r="AK68" s="41" t="str">
        <f t="shared" si="11"/>
        <v/>
      </c>
      <c r="AL68" s="41">
        <f t="shared" si="23"/>
        <v>0</v>
      </c>
      <c r="AM68" s="41">
        <f t="shared" si="12"/>
        <v>0</v>
      </c>
      <c r="AN68" s="41" t="str">
        <f t="shared" si="13"/>
        <v/>
      </c>
      <c r="AO68" s="41">
        <f t="shared" si="14"/>
        <v>0</v>
      </c>
      <c r="AP68" s="45"/>
      <c r="AQ68" s="45"/>
      <c r="AR68" s="48"/>
      <c r="AS68" s="48"/>
      <c r="AT68" s="51">
        <f t="shared" si="24"/>
        <v>64</v>
      </c>
      <c r="AU68" s="49" t="str">
        <f t="shared" si="25"/>
        <v/>
      </c>
      <c r="AV68" s="49" t="str">
        <f t="shared" si="26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1.70892622592122E-3</v>
      </c>
      <c r="C69" s="60">
        <v>44</v>
      </c>
      <c r="D69" s="5">
        <v>21590.028062943456</v>
      </c>
      <c r="I69" s="51"/>
      <c r="J69" s="41"/>
      <c r="K69" s="41" t="str">
        <f t="shared" si="27"/>
        <v/>
      </c>
      <c r="L69" s="42" t="str">
        <f t="shared" si="28"/>
        <v/>
      </c>
      <c r="M69" s="41" t="str">
        <f t="shared" si="29"/>
        <v/>
      </c>
      <c r="N69" s="43">
        <f t="shared" ref="N69:N123" si="31">AX69</f>
        <v>0</v>
      </c>
      <c r="O69" s="44">
        <f t="shared" ref="O69:O123" si="32">AW69</f>
        <v>0</v>
      </c>
      <c r="P69" s="41" t="str">
        <f t="shared" ref="P69:P124" si="33">IF(I69&lt;&gt;"", M69*N69/1000, "")</f>
        <v/>
      </c>
      <c r="Q69" s="41" t="str">
        <f t="shared" ref="Q69:Q124" si="34">IF(I69&lt;&gt;"", M69*O69/1000, "")</f>
        <v/>
      </c>
      <c r="R69" s="44"/>
      <c r="S69" s="44" t="str">
        <f t="shared" si="15"/>
        <v/>
      </c>
      <c r="T69" s="52">
        <f t="shared" si="30"/>
        <v>0</v>
      </c>
      <c r="U69" s="53" t="str">
        <f t="shared" si="16"/>
        <v/>
      </c>
      <c r="V69" s="53" t="str">
        <f t="shared" si="17"/>
        <v/>
      </c>
      <c r="W69" s="53" t="str">
        <f t="shared" si="18"/>
        <v/>
      </c>
      <c r="X69" s="46" t="str">
        <f t="shared" ref="X69:X124" si="35">IF(I69&lt;&gt;"", U69-SUM(V69:W69), "")</f>
        <v/>
      </c>
      <c r="Y69" s="54"/>
      <c r="Z69" s="41" t="str">
        <f t="shared" si="19"/>
        <v/>
      </c>
      <c r="AA69" s="41" t="str">
        <f t="shared" si="20"/>
        <v/>
      </c>
      <c r="AB69" s="41" t="str">
        <f t="shared" ref="AB69:AB124" si="36">IF(I69&lt;&gt;"", Q69*X69, "" )</f>
        <v/>
      </c>
      <c r="AC69" s="41" t="str">
        <f t="shared" ref="AC69:AC124" si="37">IF(I69&lt;&gt;"", $H$14*M69*X69, "")</f>
        <v/>
      </c>
      <c r="AD69" s="54"/>
      <c r="AE69" s="41" t="str">
        <f t="shared" ref="AE69:AE124" si="38">IF(I69&lt;&gt;"", $X69*J69, "")</f>
        <v/>
      </c>
      <c r="AF69" s="41"/>
      <c r="AG69" s="41" t="str">
        <f t="shared" ref="AG69:AG124" si="39">IF(I69&lt;&gt;"", -$X69*L69, "")</f>
        <v/>
      </c>
      <c r="AH69" s="41" t="str">
        <f t="shared" si="21"/>
        <v/>
      </c>
      <c r="AI69" s="41" t="str">
        <f t="shared" si="22"/>
        <v/>
      </c>
      <c r="AJ69" s="41">
        <f t="shared" ref="AJ69:AJ124" si="40">SUM(AE69:AI69)</f>
        <v>0</v>
      </c>
      <c r="AK69" s="41" t="str">
        <f t="shared" ref="AK69:AK124" si="41">IF(I69&lt;&gt;"", Z69-AB69, "")</f>
        <v/>
      </c>
      <c r="AL69" s="41">
        <f t="shared" si="23"/>
        <v>0</v>
      </c>
      <c r="AM69" s="41">
        <f t="shared" ref="AM69:AM124" si="42">SUM(AJ69:AL69)</f>
        <v>0</v>
      </c>
      <c r="AN69" s="41" t="str">
        <f t="shared" ref="AN69:AN124" si="43">IF(I69&lt;&gt;"", AA69-AC69, "")</f>
        <v/>
      </c>
      <c r="AO69" s="41">
        <f t="shared" ref="AO69:AO78" si="44">SUM(AM69:AN69)</f>
        <v>0</v>
      </c>
      <c r="AP69" s="45"/>
      <c r="AQ69" s="45"/>
      <c r="AR69" s="48"/>
      <c r="AS69" s="48"/>
      <c r="AT69" s="51">
        <f t="shared" si="24"/>
        <v>65</v>
      </c>
      <c r="AU69" s="49" t="str">
        <f t="shared" si="25"/>
        <v/>
      </c>
      <c r="AV69" s="49" t="str">
        <f t="shared" si="26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1.8567366205844999E-3</v>
      </c>
      <c r="C70" s="60">
        <v>45</v>
      </c>
      <c r="D70" s="5">
        <v>22495.594316086102</v>
      </c>
      <c r="I70" s="51"/>
      <c r="J70" s="41"/>
      <c r="K70" s="41" t="str">
        <f t="shared" si="27"/>
        <v/>
      </c>
      <c r="L70" s="42" t="str">
        <f t="shared" si="28"/>
        <v/>
      </c>
      <c r="M70" s="41" t="str">
        <f t="shared" si="29"/>
        <v/>
      </c>
      <c r="N70" s="43">
        <f t="shared" si="31"/>
        <v>0</v>
      </c>
      <c r="O70" s="44">
        <f t="shared" si="32"/>
        <v>0</v>
      </c>
      <c r="P70" s="41" t="str">
        <f t="shared" si="33"/>
        <v/>
      </c>
      <c r="Q70" s="41" t="str">
        <f t="shared" si="34"/>
        <v/>
      </c>
      <c r="R70" s="44"/>
      <c r="S70" s="44" t="str">
        <f t="shared" ref="S70:S124" si="45">IF(I70&lt;&gt;"",_xlfn.XLOOKUP($D$4+I69+1,A91:A210,B91:B210,0) * 1000,"")</f>
        <v/>
      </c>
      <c r="T70" s="52">
        <f t="shared" si="30"/>
        <v>0</v>
      </c>
      <c r="U70" s="53" t="str">
        <f t="shared" ref="U70:U124" si="46">IF(I70&lt;&gt;"", X69, "")</f>
        <v/>
      </c>
      <c r="V70" s="53" t="str">
        <f t="shared" ref="V70:V124" si="47">IF(I70&lt;&gt;"", S70*U70/1000, "")</f>
        <v/>
      </c>
      <c r="W70" s="53" t="str">
        <f t="shared" ref="W70:W124" si="48">IF(I70&lt;&gt;"", MIN(T70*U70,U70-V70), "")</f>
        <v/>
      </c>
      <c r="X70" s="46" t="str">
        <f t="shared" si="35"/>
        <v/>
      </c>
      <c r="Y70" s="54"/>
      <c r="Z70" s="41" t="str">
        <f t="shared" ref="Z70:Z124" si="49">IF(I70&lt;&gt;"",AB69,"")</f>
        <v/>
      </c>
      <c r="AA70" s="41" t="str">
        <f t="shared" ref="AA70:AA124" si="50">IF(I70&lt;&gt;"", AC69, "")</f>
        <v/>
      </c>
      <c r="AB70" s="41" t="str">
        <f t="shared" si="36"/>
        <v/>
      </c>
      <c r="AC70" s="41" t="str">
        <f t="shared" si="37"/>
        <v/>
      </c>
      <c r="AD70" s="54"/>
      <c r="AE70" s="41" t="str">
        <f t="shared" si="38"/>
        <v/>
      </c>
      <c r="AF70" s="41"/>
      <c r="AG70" s="41" t="str">
        <f t="shared" si="39"/>
        <v/>
      </c>
      <c r="AH70" s="41" t="str">
        <f t="shared" ref="AH70:AH124" si="51">IF(I70&lt;&gt;"",-M70*V70,"")</f>
        <v/>
      </c>
      <c r="AI70" s="41" t="str">
        <f t="shared" ref="AI70:AI124" si="52">IF(I70 &lt;&gt; "", -P70*W70, "")</f>
        <v/>
      </c>
      <c r="AJ70" s="41">
        <f t="shared" si="40"/>
        <v>0</v>
      </c>
      <c r="AK70" s="41" t="str">
        <f t="shared" si="41"/>
        <v/>
      </c>
      <c r="AL70" s="41">
        <f t="shared" ref="AL70:AL124" si="53">$D$6*SUM(Z70:AA70,AE70:AF70)</f>
        <v>0</v>
      </c>
      <c r="AM70" s="41">
        <f t="shared" si="42"/>
        <v>0</v>
      </c>
      <c r="AN70" s="41" t="str">
        <f t="shared" si="43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4">AT69+1</f>
        <v>66</v>
      </c>
      <c r="AU70" s="49" t="str">
        <f t="shared" ref="AU70:AU124" si="55">IF(I70&lt;&gt;"", AU69-AV69, "")</f>
        <v/>
      </c>
      <c r="AV70" s="49" t="str">
        <f t="shared" ref="AV70:AV124" si="56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2.0141832597204601E-3</v>
      </c>
      <c r="C71" s="60">
        <v>46</v>
      </c>
      <c r="D71" s="5">
        <v>23447.839033745156</v>
      </c>
      <c r="I71" s="51"/>
      <c r="J71" s="41"/>
      <c r="K71" s="41" t="str">
        <f t="shared" ref="K71:K124" si="57">IF(J71&lt;&gt;"",J71*$C$17,"")</f>
        <v/>
      </c>
      <c r="L71" s="42" t="str">
        <f t="shared" ref="L71:L124" si="58">IF(I71&lt;&gt;"",$C$21,"")</f>
        <v/>
      </c>
      <c r="M71" s="41" t="str">
        <f t="shared" ref="M71:M124" si="59">IF(I71&lt;&gt;"",$E$11,"")</f>
        <v/>
      </c>
      <c r="N71" s="43">
        <f t="shared" si="31"/>
        <v>0</v>
      </c>
      <c r="O71" s="44">
        <f t="shared" si="32"/>
        <v>0</v>
      </c>
      <c r="P71" s="41" t="str">
        <f t="shared" si="33"/>
        <v/>
      </c>
      <c r="Q71" s="41" t="str">
        <f t="shared" si="34"/>
        <v/>
      </c>
      <c r="R71" s="44"/>
      <c r="S71" s="44" t="str">
        <f t="shared" si="45"/>
        <v/>
      </c>
      <c r="T71" s="52">
        <f t="shared" si="30"/>
        <v>0</v>
      </c>
      <c r="U71" s="53" t="str">
        <f t="shared" si="46"/>
        <v/>
      </c>
      <c r="V71" s="53" t="str">
        <f t="shared" si="47"/>
        <v/>
      </c>
      <c r="W71" s="53" t="str">
        <f t="shared" si="48"/>
        <v/>
      </c>
      <c r="X71" s="46" t="str">
        <f t="shared" si="35"/>
        <v/>
      </c>
      <c r="Y71" s="54"/>
      <c r="Z71" s="41" t="str">
        <f t="shared" si="49"/>
        <v/>
      </c>
      <c r="AA71" s="41" t="str">
        <f t="shared" si="50"/>
        <v/>
      </c>
      <c r="AB71" s="41" t="str">
        <f t="shared" si="36"/>
        <v/>
      </c>
      <c r="AC71" s="41" t="str">
        <f t="shared" si="37"/>
        <v/>
      </c>
      <c r="AD71" s="54"/>
      <c r="AE71" s="41" t="str">
        <f t="shared" si="38"/>
        <v/>
      </c>
      <c r="AF71" s="41"/>
      <c r="AG71" s="41" t="str">
        <f t="shared" si="39"/>
        <v/>
      </c>
      <c r="AH71" s="41" t="str">
        <f t="shared" si="51"/>
        <v/>
      </c>
      <c r="AI71" s="41" t="str">
        <f t="shared" si="52"/>
        <v/>
      </c>
      <c r="AJ71" s="41">
        <f t="shared" si="40"/>
        <v>0</v>
      </c>
      <c r="AK71" s="41" t="str">
        <f t="shared" si="41"/>
        <v/>
      </c>
      <c r="AL71" s="41">
        <f t="shared" si="53"/>
        <v>0</v>
      </c>
      <c r="AM71" s="41">
        <f t="shared" si="42"/>
        <v>0</v>
      </c>
      <c r="AN71" s="41" t="str">
        <f t="shared" si="43"/>
        <v/>
      </c>
      <c r="AO71" s="41">
        <f t="shared" si="44"/>
        <v>0</v>
      </c>
      <c r="AP71" s="45"/>
      <c r="AQ71" s="45"/>
      <c r="AR71" s="48"/>
      <c r="AS71" s="48"/>
      <c r="AT71" s="51">
        <f t="shared" si="54"/>
        <v>67</v>
      </c>
      <c r="AU71" s="49" t="str">
        <f t="shared" si="55"/>
        <v/>
      </c>
      <c r="AV71" s="49" t="str">
        <f t="shared" si="56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2.1985740808132099E-3</v>
      </c>
      <c r="C72" s="60">
        <v>47</v>
      </c>
      <c r="D72" s="5">
        <v>24448.116019062309</v>
      </c>
      <c r="I72" s="51"/>
      <c r="J72" s="41"/>
      <c r="K72" s="41" t="str">
        <f t="shared" si="57"/>
        <v/>
      </c>
      <c r="L72" s="42" t="str">
        <f t="shared" si="58"/>
        <v/>
      </c>
      <c r="M72" s="41" t="str">
        <f t="shared" si="59"/>
        <v/>
      </c>
      <c r="N72" s="43">
        <f>AX72</f>
        <v>0</v>
      </c>
      <c r="O72" s="44">
        <f t="shared" si="32"/>
        <v>0</v>
      </c>
      <c r="P72" s="41" t="str">
        <f t="shared" si="33"/>
        <v/>
      </c>
      <c r="Q72" s="41" t="str">
        <f t="shared" si="34"/>
        <v/>
      </c>
      <c r="R72" s="44"/>
      <c r="S72" s="44" t="str">
        <f t="shared" si="45"/>
        <v/>
      </c>
      <c r="T72" s="52">
        <f t="shared" si="30"/>
        <v>0</v>
      </c>
      <c r="U72" s="53" t="str">
        <f t="shared" si="46"/>
        <v/>
      </c>
      <c r="V72" s="53" t="str">
        <f t="shared" si="47"/>
        <v/>
      </c>
      <c r="W72" s="53" t="str">
        <f t="shared" si="48"/>
        <v/>
      </c>
      <c r="X72" s="46" t="str">
        <f t="shared" si="35"/>
        <v/>
      </c>
      <c r="Y72" s="54"/>
      <c r="Z72" s="41" t="str">
        <f t="shared" si="49"/>
        <v/>
      </c>
      <c r="AA72" s="41" t="str">
        <f t="shared" si="50"/>
        <v/>
      </c>
      <c r="AB72" s="41" t="str">
        <f t="shared" si="36"/>
        <v/>
      </c>
      <c r="AC72" s="41" t="str">
        <f t="shared" si="37"/>
        <v/>
      </c>
      <c r="AD72" s="54"/>
      <c r="AE72" s="41" t="str">
        <f t="shared" si="38"/>
        <v/>
      </c>
      <c r="AF72" s="41"/>
      <c r="AG72" s="41" t="str">
        <f t="shared" si="39"/>
        <v/>
      </c>
      <c r="AH72" s="41" t="str">
        <f t="shared" si="51"/>
        <v/>
      </c>
      <c r="AI72" s="41" t="str">
        <f t="shared" si="52"/>
        <v/>
      </c>
      <c r="AJ72" s="41">
        <f t="shared" si="40"/>
        <v>0</v>
      </c>
      <c r="AK72" s="41" t="str">
        <f t="shared" si="41"/>
        <v/>
      </c>
      <c r="AL72" s="41">
        <f t="shared" si="53"/>
        <v>0</v>
      </c>
      <c r="AM72" s="41">
        <f t="shared" si="42"/>
        <v>0</v>
      </c>
      <c r="AN72" s="41" t="str">
        <f t="shared" si="43"/>
        <v/>
      </c>
      <c r="AO72" s="41">
        <f t="shared" si="44"/>
        <v>0</v>
      </c>
      <c r="AP72" s="45"/>
      <c r="AQ72" s="45"/>
      <c r="AR72" s="48"/>
      <c r="AS72" s="48"/>
      <c r="AT72" s="51">
        <f t="shared" si="54"/>
        <v>68</v>
      </c>
      <c r="AU72" s="49" t="str">
        <f t="shared" si="55"/>
        <v/>
      </c>
      <c r="AV72" s="49" t="str">
        <f t="shared" si="56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2.4105056658195699E-3</v>
      </c>
      <c r="C73" s="60">
        <v>48</v>
      </c>
      <c r="D73" s="5">
        <v>25497.816055040123</v>
      </c>
      <c r="I73" s="51"/>
      <c r="J73" s="41"/>
      <c r="K73" s="41" t="str">
        <f t="shared" si="57"/>
        <v/>
      </c>
      <c r="L73" s="42" t="str">
        <f t="shared" si="58"/>
        <v/>
      </c>
      <c r="M73" s="41" t="str">
        <f t="shared" si="59"/>
        <v/>
      </c>
      <c r="N73" s="43">
        <f t="shared" si="31"/>
        <v>0</v>
      </c>
      <c r="O73" s="44">
        <f t="shared" si="32"/>
        <v>0</v>
      </c>
      <c r="P73" s="41" t="str">
        <f t="shared" si="33"/>
        <v/>
      </c>
      <c r="Q73" s="41" t="str">
        <f t="shared" si="34"/>
        <v/>
      </c>
      <c r="R73" s="44"/>
      <c r="S73" s="44" t="str">
        <f t="shared" si="45"/>
        <v/>
      </c>
      <c r="T73" s="52">
        <f t="shared" si="30"/>
        <v>0</v>
      </c>
      <c r="U73" s="53" t="str">
        <f t="shared" si="46"/>
        <v/>
      </c>
      <c r="V73" s="53" t="str">
        <f t="shared" si="47"/>
        <v/>
      </c>
      <c r="W73" s="53" t="str">
        <f t="shared" si="48"/>
        <v/>
      </c>
      <c r="X73" s="46" t="str">
        <f t="shared" si="35"/>
        <v/>
      </c>
      <c r="Y73" s="54"/>
      <c r="Z73" s="41" t="str">
        <f t="shared" si="49"/>
        <v/>
      </c>
      <c r="AA73" s="41" t="str">
        <f t="shared" si="50"/>
        <v/>
      </c>
      <c r="AB73" s="41" t="str">
        <f t="shared" si="36"/>
        <v/>
      </c>
      <c r="AC73" s="41" t="str">
        <f t="shared" si="37"/>
        <v/>
      </c>
      <c r="AD73" s="54"/>
      <c r="AE73" s="41" t="str">
        <f t="shared" si="38"/>
        <v/>
      </c>
      <c r="AF73" s="41"/>
      <c r="AG73" s="41" t="str">
        <f t="shared" si="39"/>
        <v/>
      </c>
      <c r="AH73" s="41" t="str">
        <f t="shared" si="51"/>
        <v/>
      </c>
      <c r="AI73" s="41" t="str">
        <f t="shared" si="52"/>
        <v/>
      </c>
      <c r="AJ73" s="41">
        <f t="shared" si="40"/>
        <v>0</v>
      </c>
      <c r="AK73" s="41" t="str">
        <f t="shared" si="41"/>
        <v/>
      </c>
      <c r="AL73" s="41">
        <f t="shared" si="53"/>
        <v>0</v>
      </c>
      <c r="AM73" s="41">
        <f t="shared" si="42"/>
        <v>0</v>
      </c>
      <c r="AN73" s="41" t="str">
        <f t="shared" si="43"/>
        <v/>
      </c>
      <c r="AO73" s="41">
        <f t="shared" si="44"/>
        <v>0</v>
      </c>
      <c r="AP73" s="45"/>
      <c r="AQ73" s="45"/>
      <c r="AR73" s="48"/>
      <c r="AS73" s="48"/>
      <c r="AT73" s="51">
        <f t="shared" si="54"/>
        <v>69</v>
      </c>
      <c r="AU73" s="49" t="str">
        <f t="shared" si="55"/>
        <v/>
      </c>
      <c r="AV73" s="49" t="str">
        <f t="shared" si="56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2.63510375501906E-3</v>
      </c>
      <c r="C74" s="60">
        <v>49</v>
      </c>
      <c r="D74" s="5">
        <v>26600.114267832516</v>
      </c>
      <c r="I74" s="51"/>
      <c r="J74" s="41"/>
      <c r="K74" s="41" t="str">
        <f t="shared" si="57"/>
        <v/>
      </c>
      <c r="L74" s="42" t="str">
        <f t="shared" si="58"/>
        <v/>
      </c>
      <c r="M74" s="41" t="str">
        <f t="shared" si="59"/>
        <v/>
      </c>
      <c r="N74" s="43">
        <f t="shared" si="31"/>
        <v>0</v>
      </c>
      <c r="O74" s="44">
        <f t="shared" si="32"/>
        <v>0</v>
      </c>
      <c r="P74" s="41" t="str">
        <f t="shared" si="33"/>
        <v/>
      </c>
      <c r="Q74" s="41" t="str">
        <f t="shared" si="34"/>
        <v/>
      </c>
      <c r="R74" s="44"/>
      <c r="S74" s="44" t="str">
        <f t="shared" si="45"/>
        <v/>
      </c>
      <c r="T74" s="52">
        <f t="shared" si="30"/>
        <v>0</v>
      </c>
      <c r="U74" s="53" t="str">
        <f t="shared" si="46"/>
        <v/>
      </c>
      <c r="V74" s="53" t="str">
        <f t="shared" si="47"/>
        <v/>
      </c>
      <c r="W74" s="53" t="str">
        <f t="shared" si="48"/>
        <v/>
      </c>
      <c r="X74" s="46" t="str">
        <f t="shared" si="35"/>
        <v/>
      </c>
      <c r="Y74" s="54"/>
      <c r="Z74" s="41" t="str">
        <f t="shared" si="49"/>
        <v/>
      </c>
      <c r="AA74" s="41" t="str">
        <f t="shared" si="50"/>
        <v/>
      </c>
      <c r="AB74" s="41" t="str">
        <f t="shared" si="36"/>
        <v/>
      </c>
      <c r="AC74" s="41" t="str">
        <f t="shared" si="37"/>
        <v/>
      </c>
      <c r="AD74" s="54"/>
      <c r="AE74" s="41" t="str">
        <f t="shared" si="38"/>
        <v/>
      </c>
      <c r="AF74" s="41"/>
      <c r="AG74" s="41" t="str">
        <f t="shared" si="39"/>
        <v/>
      </c>
      <c r="AH74" s="41" t="str">
        <f t="shared" si="51"/>
        <v/>
      </c>
      <c r="AI74" s="41" t="str">
        <f t="shared" si="52"/>
        <v/>
      </c>
      <c r="AJ74" s="41">
        <f t="shared" si="40"/>
        <v>0</v>
      </c>
      <c r="AK74" s="41" t="str">
        <f t="shared" si="41"/>
        <v/>
      </c>
      <c r="AL74" s="41">
        <f t="shared" si="53"/>
        <v>0</v>
      </c>
      <c r="AM74" s="41">
        <f t="shared" si="42"/>
        <v>0</v>
      </c>
      <c r="AN74" s="41" t="str">
        <f t="shared" si="43"/>
        <v/>
      </c>
      <c r="AO74" s="41">
        <f t="shared" si="44"/>
        <v>0</v>
      </c>
      <c r="AP74" s="45"/>
      <c r="AQ74" s="45"/>
      <c r="AR74" s="48"/>
      <c r="AS74" s="48"/>
      <c r="AT74" s="51">
        <f t="shared" si="54"/>
        <v>70</v>
      </c>
      <c r="AU74" s="49" t="str">
        <f t="shared" si="55"/>
        <v/>
      </c>
      <c r="AV74" s="49" t="str">
        <f t="shared" si="56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2.8812138650571801E-3</v>
      </c>
      <c r="C75" s="60">
        <v>50</v>
      </c>
      <c r="D75" s="5">
        <v>27757.794940906035</v>
      </c>
      <c r="I75" s="51"/>
      <c r="J75" s="41"/>
      <c r="K75" s="41" t="str">
        <f t="shared" si="57"/>
        <v/>
      </c>
      <c r="L75" s="42" t="str">
        <f t="shared" si="58"/>
        <v/>
      </c>
      <c r="M75" s="41" t="str">
        <f t="shared" si="59"/>
        <v/>
      </c>
      <c r="N75" s="43">
        <f t="shared" si="31"/>
        <v>0</v>
      </c>
      <c r="O75" s="44">
        <f t="shared" si="32"/>
        <v>0</v>
      </c>
      <c r="P75" s="41" t="str">
        <f t="shared" si="33"/>
        <v/>
      </c>
      <c r="Q75" s="41" t="str">
        <f t="shared" si="34"/>
        <v/>
      </c>
      <c r="R75" s="44"/>
      <c r="S75" s="44" t="str">
        <f t="shared" si="45"/>
        <v/>
      </c>
      <c r="T75" s="52">
        <f t="shared" si="30"/>
        <v>0</v>
      </c>
      <c r="U75" s="53" t="str">
        <f t="shared" si="46"/>
        <v/>
      </c>
      <c r="V75" s="53" t="str">
        <f t="shared" si="47"/>
        <v/>
      </c>
      <c r="W75" s="53" t="str">
        <f t="shared" si="48"/>
        <v/>
      </c>
      <c r="X75" s="46" t="str">
        <f t="shared" si="35"/>
        <v/>
      </c>
      <c r="Y75" s="54"/>
      <c r="Z75" s="41" t="str">
        <f t="shared" si="49"/>
        <v/>
      </c>
      <c r="AA75" s="41" t="str">
        <f t="shared" si="50"/>
        <v/>
      </c>
      <c r="AB75" s="41" t="str">
        <f t="shared" si="36"/>
        <v/>
      </c>
      <c r="AC75" s="41" t="str">
        <f t="shared" si="37"/>
        <v/>
      </c>
      <c r="AD75" s="54"/>
      <c r="AE75" s="41" t="str">
        <f t="shared" si="38"/>
        <v/>
      </c>
      <c r="AF75" s="41"/>
      <c r="AG75" s="41" t="str">
        <f t="shared" si="39"/>
        <v/>
      </c>
      <c r="AH75" s="41" t="str">
        <f t="shared" si="51"/>
        <v/>
      </c>
      <c r="AI75" s="41" t="str">
        <f t="shared" si="52"/>
        <v/>
      </c>
      <c r="AJ75" s="41">
        <f t="shared" si="40"/>
        <v>0</v>
      </c>
      <c r="AK75" s="41" t="str">
        <f t="shared" si="41"/>
        <v/>
      </c>
      <c r="AL75" s="41">
        <f t="shared" si="53"/>
        <v>0</v>
      </c>
      <c r="AM75" s="41">
        <f t="shared" si="42"/>
        <v>0</v>
      </c>
      <c r="AN75" s="41" t="str">
        <f t="shared" si="43"/>
        <v/>
      </c>
      <c r="AO75" s="41">
        <f t="shared" si="44"/>
        <v>0</v>
      </c>
      <c r="AP75" s="45"/>
      <c r="AQ75" s="45"/>
      <c r="AR75" s="48"/>
      <c r="AS75" s="48"/>
      <c r="AT75" s="51">
        <f t="shared" si="54"/>
        <v>71</v>
      </c>
      <c r="AU75" s="49" t="str">
        <f t="shared" si="55"/>
        <v/>
      </c>
      <c r="AV75" s="49" t="str">
        <f t="shared" si="56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3.1450217445997499E-3</v>
      </c>
      <c r="C76" s="60">
        <v>51</v>
      </c>
      <c r="D76" s="5">
        <v>28974.606368365527</v>
      </c>
      <c r="I76" s="51"/>
      <c r="J76" s="41"/>
      <c r="K76" s="41" t="str">
        <f t="shared" si="57"/>
        <v/>
      </c>
      <c r="L76" s="42" t="str">
        <f t="shared" si="58"/>
        <v/>
      </c>
      <c r="M76" s="41" t="str">
        <f t="shared" si="59"/>
        <v/>
      </c>
      <c r="N76" s="43">
        <f t="shared" si="31"/>
        <v>0</v>
      </c>
      <c r="O76" s="44">
        <f t="shared" si="32"/>
        <v>0</v>
      </c>
      <c r="P76" s="41" t="str">
        <f t="shared" si="33"/>
        <v/>
      </c>
      <c r="Q76" s="41" t="str">
        <f t="shared" si="34"/>
        <v/>
      </c>
      <c r="R76" s="44"/>
      <c r="S76" s="44" t="str">
        <f t="shared" si="45"/>
        <v/>
      </c>
      <c r="T76" s="52">
        <f t="shared" si="30"/>
        <v>0</v>
      </c>
      <c r="U76" s="53" t="str">
        <f t="shared" si="46"/>
        <v/>
      </c>
      <c r="V76" s="53" t="str">
        <f t="shared" si="47"/>
        <v/>
      </c>
      <c r="W76" s="53" t="str">
        <f t="shared" si="48"/>
        <v/>
      </c>
      <c r="X76" s="46" t="str">
        <f t="shared" si="35"/>
        <v/>
      </c>
      <c r="Y76" s="54"/>
      <c r="Z76" s="41" t="str">
        <f t="shared" si="49"/>
        <v/>
      </c>
      <c r="AA76" s="41" t="str">
        <f t="shared" si="50"/>
        <v/>
      </c>
      <c r="AB76" s="41" t="str">
        <f t="shared" si="36"/>
        <v/>
      </c>
      <c r="AC76" s="41" t="str">
        <f t="shared" si="37"/>
        <v/>
      </c>
      <c r="AD76" s="54"/>
      <c r="AE76" s="41" t="str">
        <f t="shared" si="38"/>
        <v/>
      </c>
      <c r="AF76" s="41"/>
      <c r="AG76" s="41" t="str">
        <f t="shared" si="39"/>
        <v/>
      </c>
      <c r="AH76" s="41" t="str">
        <f t="shared" si="51"/>
        <v/>
      </c>
      <c r="AI76" s="41" t="str">
        <f t="shared" si="52"/>
        <v/>
      </c>
      <c r="AJ76" s="41">
        <f t="shared" si="40"/>
        <v>0</v>
      </c>
      <c r="AK76" s="41" t="str">
        <f t="shared" si="41"/>
        <v/>
      </c>
      <c r="AL76" s="41">
        <f t="shared" si="53"/>
        <v>0</v>
      </c>
      <c r="AM76" s="41">
        <f t="shared" si="42"/>
        <v>0</v>
      </c>
      <c r="AN76" s="41" t="str">
        <f t="shared" si="43"/>
        <v/>
      </c>
      <c r="AO76" s="41">
        <f t="shared" si="44"/>
        <v>0</v>
      </c>
      <c r="AP76" s="45"/>
      <c r="AQ76" s="45"/>
      <c r="AR76" s="48"/>
      <c r="AS76" s="48"/>
      <c r="AT76" s="51">
        <f t="shared" si="54"/>
        <v>72</v>
      </c>
      <c r="AU76" s="49" t="str">
        <f t="shared" si="55"/>
        <v/>
      </c>
      <c r="AV76" s="49" t="str">
        <f t="shared" si="56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3.4487228810673402E-3</v>
      </c>
      <c r="C77" s="60">
        <v>52</v>
      </c>
      <c r="D77" s="5">
        <v>30252.408284688987</v>
      </c>
      <c r="I77" s="51"/>
      <c r="J77" s="41"/>
      <c r="K77" s="41" t="str">
        <f t="shared" si="57"/>
        <v/>
      </c>
      <c r="L77" s="42" t="str">
        <f t="shared" si="58"/>
        <v/>
      </c>
      <c r="M77" s="41" t="str">
        <f t="shared" si="59"/>
        <v/>
      </c>
      <c r="N77" s="43">
        <f t="shared" si="31"/>
        <v>0</v>
      </c>
      <c r="O77" s="44">
        <f t="shared" si="32"/>
        <v>0</v>
      </c>
      <c r="P77" s="41" t="str">
        <f t="shared" si="33"/>
        <v/>
      </c>
      <c r="Q77" s="41" t="str">
        <f t="shared" si="34"/>
        <v/>
      </c>
      <c r="R77" s="44"/>
      <c r="S77" s="44" t="str">
        <f t="shared" si="45"/>
        <v/>
      </c>
      <c r="T77" s="52">
        <f t="shared" si="30"/>
        <v>0</v>
      </c>
      <c r="U77" s="53" t="str">
        <f t="shared" si="46"/>
        <v/>
      </c>
      <c r="V77" s="53" t="str">
        <f t="shared" si="47"/>
        <v/>
      </c>
      <c r="W77" s="53" t="str">
        <f t="shared" si="48"/>
        <v/>
      </c>
      <c r="X77" s="46" t="str">
        <f t="shared" si="35"/>
        <v/>
      </c>
      <c r="Y77" s="54"/>
      <c r="Z77" s="41" t="str">
        <f t="shared" si="49"/>
        <v/>
      </c>
      <c r="AA77" s="41" t="str">
        <f t="shared" si="50"/>
        <v/>
      </c>
      <c r="AB77" s="41" t="str">
        <f t="shared" si="36"/>
        <v/>
      </c>
      <c r="AC77" s="41" t="str">
        <f t="shared" si="37"/>
        <v/>
      </c>
      <c r="AD77" s="54"/>
      <c r="AE77" s="41" t="str">
        <f t="shared" si="38"/>
        <v/>
      </c>
      <c r="AF77" s="41"/>
      <c r="AG77" s="41" t="str">
        <f t="shared" si="39"/>
        <v/>
      </c>
      <c r="AH77" s="41" t="str">
        <f t="shared" si="51"/>
        <v/>
      </c>
      <c r="AI77" s="41" t="str">
        <f t="shared" si="52"/>
        <v/>
      </c>
      <c r="AJ77" s="41">
        <f t="shared" si="40"/>
        <v>0</v>
      </c>
      <c r="AK77" s="41" t="str">
        <f t="shared" si="41"/>
        <v/>
      </c>
      <c r="AL77" s="41">
        <f t="shared" si="53"/>
        <v>0</v>
      </c>
      <c r="AM77" s="41">
        <f t="shared" si="42"/>
        <v>0</v>
      </c>
      <c r="AN77" s="41" t="str">
        <f t="shared" si="43"/>
        <v/>
      </c>
      <c r="AO77" s="41">
        <f t="shared" si="44"/>
        <v>0</v>
      </c>
      <c r="AP77" s="45"/>
      <c r="AQ77" s="45"/>
      <c r="AR77" s="48"/>
      <c r="AS77" s="48"/>
      <c r="AT77" s="51">
        <f t="shared" si="54"/>
        <v>73</v>
      </c>
      <c r="AU77" s="49" t="str">
        <f t="shared" si="55"/>
        <v/>
      </c>
      <c r="AV77" s="49" t="str">
        <f t="shared" si="56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3.7953977966963199E-3</v>
      </c>
      <c r="C78" s="60">
        <v>53</v>
      </c>
      <c r="D78" s="5">
        <v>31593.113021776408</v>
      </c>
      <c r="I78" s="51"/>
      <c r="J78" s="41"/>
      <c r="K78" s="41" t="str">
        <f t="shared" si="57"/>
        <v/>
      </c>
      <c r="L78" s="42" t="str">
        <f t="shared" si="58"/>
        <v/>
      </c>
      <c r="M78" s="41" t="str">
        <f t="shared" si="59"/>
        <v/>
      </c>
      <c r="N78" s="43">
        <f>AX78</f>
        <v>0</v>
      </c>
      <c r="O78" s="44">
        <f t="shared" si="32"/>
        <v>0</v>
      </c>
      <c r="P78" s="41" t="str">
        <f t="shared" si="33"/>
        <v/>
      </c>
      <c r="Q78" s="41" t="str">
        <f t="shared" si="34"/>
        <v/>
      </c>
      <c r="R78" s="44"/>
      <c r="S78" s="44" t="str">
        <f t="shared" si="45"/>
        <v/>
      </c>
      <c r="T78" s="52">
        <f t="shared" si="30"/>
        <v>0</v>
      </c>
      <c r="U78" s="53" t="str">
        <f t="shared" si="46"/>
        <v/>
      </c>
      <c r="V78" s="53" t="str">
        <f t="shared" si="47"/>
        <v/>
      </c>
      <c r="W78" s="53" t="str">
        <f t="shared" si="48"/>
        <v/>
      </c>
      <c r="X78" s="46" t="str">
        <f t="shared" si="35"/>
        <v/>
      </c>
      <c r="Y78" s="54"/>
      <c r="Z78" s="41" t="str">
        <f t="shared" si="49"/>
        <v/>
      </c>
      <c r="AA78" s="41" t="str">
        <f t="shared" si="50"/>
        <v/>
      </c>
      <c r="AB78" s="41" t="str">
        <f t="shared" si="36"/>
        <v/>
      </c>
      <c r="AC78" s="41" t="str">
        <f t="shared" si="37"/>
        <v/>
      </c>
      <c r="AD78" s="54"/>
      <c r="AE78" s="41" t="str">
        <f t="shared" si="38"/>
        <v/>
      </c>
      <c r="AF78" s="41"/>
      <c r="AG78" s="41" t="str">
        <f t="shared" si="39"/>
        <v/>
      </c>
      <c r="AH78" s="41" t="str">
        <f t="shared" si="51"/>
        <v/>
      </c>
      <c r="AI78" s="41" t="str">
        <f t="shared" si="52"/>
        <v/>
      </c>
      <c r="AJ78" s="41">
        <f t="shared" si="40"/>
        <v>0</v>
      </c>
      <c r="AK78" s="41" t="str">
        <f t="shared" si="41"/>
        <v/>
      </c>
      <c r="AL78" s="41">
        <f t="shared" si="53"/>
        <v>0</v>
      </c>
      <c r="AM78" s="41">
        <f t="shared" si="42"/>
        <v>0</v>
      </c>
      <c r="AN78" s="41" t="str">
        <f t="shared" si="43"/>
        <v/>
      </c>
      <c r="AO78" s="41">
        <f t="shared" si="44"/>
        <v>0</v>
      </c>
      <c r="AP78" s="45"/>
      <c r="AQ78" s="45"/>
      <c r="AR78" s="48"/>
      <c r="AS78" s="48"/>
      <c r="AT78" s="51">
        <f t="shared" si="54"/>
        <v>74</v>
      </c>
      <c r="AU78" s="49" t="str">
        <f t="shared" si="55"/>
        <v/>
      </c>
      <c r="AV78" s="49" t="str">
        <f t="shared" si="56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4.17770609148666E-3</v>
      </c>
      <c r="C79" s="60">
        <v>54</v>
      </c>
      <c r="D79" s="5">
        <v>32999.979638476842</v>
      </c>
      <c r="I79" s="51"/>
      <c r="J79" s="41"/>
      <c r="K79" s="41" t="str">
        <f t="shared" si="57"/>
        <v/>
      </c>
      <c r="L79" s="42" t="str">
        <f t="shared" si="58"/>
        <v/>
      </c>
      <c r="M79" s="41" t="str">
        <f t="shared" si="59"/>
        <v/>
      </c>
      <c r="N79" s="43">
        <f t="shared" si="31"/>
        <v>0</v>
      </c>
      <c r="O79" s="44">
        <f t="shared" si="32"/>
        <v>0</v>
      </c>
      <c r="P79" s="41" t="str">
        <f t="shared" si="33"/>
        <v/>
      </c>
      <c r="Q79" s="41" t="str">
        <f t="shared" si="34"/>
        <v/>
      </c>
      <c r="R79" s="44"/>
      <c r="S79" s="44" t="str">
        <f t="shared" si="45"/>
        <v/>
      </c>
      <c r="T79" s="52">
        <f t="shared" si="30"/>
        <v>0</v>
      </c>
      <c r="U79" s="53" t="str">
        <f t="shared" si="46"/>
        <v/>
      </c>
      <c r="V79" s="53" t="str">
        <f t="shared" si="47"/>
        <v/>
      </c>
      <c r="W79" s="53" t="str">
        <f t="shared" si="48"/>
        <v/>
      </c>
      <c r="X79" s="46" t="str">
        <f t="shared" si="35"/>
        <v/>
      </c>
      <c r="Y79" s="54"/>
      <c r="Z79" s="41" t="str">
        <f t="shared" si="49"/>
        <v/>
      </c>
      <c r="AA79" s="41" t="str">
        <f t="shared" si="50"/>
        <v/>
      </c>
      <c r="AB79" s="41" t="str">
        <f t="shared" si="36"/>
        <v/>
      </c>
      <c r="AC79" s="41" t="str">
        <f t="shared" si="37"/>
        <v/>
      </c>
      <c r="AD79" s="54"/>
      <c r="AE79" s="41" t="str">
        <f t="shared" si="38"/>
        <v/>
      </c>
      <c r="AF79" s="41"/>
      <c r="AG79" s="41" t="str">
        <f t="shared" si="39"/>
        <v/>
      </c>
      <c r="AH79" s="41" t="str">
        <f t="shared" si="51"/>
        <v/>
      </c>
      <c r="AI79" s="41" t="str">
        <f t="shared" si="52"/>
        <v/>
      </c>
      <c r="AJ79" s="41">
        <f t="shared" si="40"/>
        <v>0</v>
      </c>
      <c r="AK79" s="41" t="str">
        <f t="shared" si="41"/>
        <v/>
      </c>
      <c r="AL79" s="41">
        <f t="shared" si="53"/>
        <v>0</v>
      </c>
      <c r="AM79" s="41">
        <f t="shared" si="42"/>
        <v>0</v>
      </c>
      <c r="AN79" s="41" t="str">
        <f t="shared" si="43"/>
        <v/>
      </c>
      <c r="AO79" s="41">
        <f>SUM(AM79:AN79)</f>
        <v>0</v>
      </c>
      <c r="AP79" s="45"/>
      <c r="AQ79" s="45"/>
      <c r="AR79" s="48"/>
      <c r="AS79" s="48"/>
      <c r="AT79" s="51">
        <f t="shared" si="54"/>
        <v>75</v>
      </c>
      <c r="AU79" s="49" t="str">
        <f t="shared" si="55"/>
        <v/>
      </c>
      <c r="AV79" s="49" t="str">
        <f t="shared" si="56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4.6130945583227403E-3</v>
      </c>
      <c r="C80" s="60">
        <v>55</v>
      </c>
      <c r="D80" s="5">
        <v>34474.558621752818</v>
      </c>
      <c r="I80" s="51"/>
      <c r="J80" s="41"/>
      <c r="K80" s="41" t="str">
        <f t="shared" si="57"/>
        <v/>
      </c>
      <c r="L80" s="42" t="str">
        <f t="shared" si="58"/>
        <v/>
      </c>
      <c r="M80" s="41" t="str">
        <f t="shared" si="59"/>
        <v/>
      </c>
      <c r="N80" s="43">
        <f t="shared" si="31"/>
        <v>0</v>
      </c>
      <c r="O80" s="44">
        <f t="shared" si="32"/>
        <v>0</v>
      </c>
      <c r="P80" s="41" t="str">
        <f t="shared" si="33"/>
        <v/>
      </c>
      <c r="Q80" s="41" t="str">
        <f t="shared" si="34"/>
        <v/>
      </c>
      <c r="R80" s="45"/>
      <c r="S80" s="44" t="str">
        <f t="shared" si="45"/>
        <v/>
      </c>
      <c r="T80" s="52">
        <f t="shared" si="30"/>
        <v>0</v>
      </c>
      <c r="U80" s="53" t="str">
        <f t="shared" si="46"/>
        <v/>
      </c>
      <c r="V80" s="53" t="str">
        <f t="shared" si="47"/>
        <v/>
      </c>
      <c r="W80" s="53" t="str">
        <f t="shared" si="48"/>
        <v/>
      </c>
      <c r="X80" s="46" t="str">
        <f t="shared" si="35"/>
        <v/>
      </c>
      <c r="Y80" s="45"/>
      <c r="Z80" s="41" t="str">
        <f t="shared" si="49"/>
        <v/>
      </c>
      <c r="AA80" s="41" t="str">
        <f t="shared" si="50"/>
        <v/>
      </c>
      <c r="AB80" s="41" t="str">
        <f t="shared" si="36"/>
        <v/>
      </c>
      <c r="AC80" s="41" t="str">
        <f t="shared" si="37"/>
        <v/>
      </c>
      <c r="AD80" s="45"/>
      <c r="AE80" s="41" t="str">
        <f t="shared" si="38"/>
        <v/>
      </c>
      <c r="AF80" s="41"/>
      <c r="AG80" s="41" t="str">
        <f t="shared" si="39"/>
        <v/>
      </c>
      <c r="AH80" s="41" t="str">
        <f t="shared" si="51"/>
        <v/>
      </c>
      <c r="AI80" s="41" t="str">
        <f t="shared" si="52"/>
        <v/>
      </c>
      <c r="AJ80" s="41">
        <f t="shared" si="40"/>
        <v>0</v>
      </c>
      <c r="AK80" s="41" t="str">
        <f t="shared" si="41"/>
        <v/>
      </c>
      <c r="AL80" s="41">
        <f t="shared" si="53"/>
        <v>0</v>
      </c>
      <c r="AM80" s="41">
        <f t="shared" si="42"/>
        <v>0</v>
      </c>
      <c r="AN80" s="41" t="str">
        <f t="shared" si="43"/>
        <v/>
      </c>
      <c r="AO80" s="41">
        <f t="shared" ref="AO80:AO124" si="60">SUM(AM80:AN80)</f>
        <v>0</v>
      </c>
      <c r="AP80" s="45"/>
      <c r="AQ80" s="48"/>
      <c r="AR80" s="48"/>
      <c r="AS80" s="48"/>
      <c r="AT80" s="51">
        <f t="shared" si="54"/>
        <v>76</v>
      </c>
      <c r="AU80" s="49" t="str">
        <f t="shared" si="55"/>
        <v/>
      </c>
      <c r="AV80" s="49" t="str">
        <f t="shared" si="56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5.10560320279543E-3</v>
      </c>
      <c r="C81" s="60">
        <v>56</v>
      </c>
      <c r="D81" s="5">
        <v>36017.939483580121</v>
      </c>
      <c r="I81" s="51"/>
      <c r="J81" s="41"/>
      <c r="K81" s="41" t="str">
        <f t="shared" si="57"/>
        <v/>
      </c>
      <c r="L81" s="42" t="str">
        <f t="shared" si="58"/>
        <v/>
      </c>
      <c r="M81" s="41" t="str">
        <f t="shared" si="59"/>
        <v/>
      </c>
      <c r="N81" s="43">
        <f t="shared" si="31"/>
        <v>0</v>
      </c>
      <c r="O81" s="44">
        <f t="shared" si="32"/>
        <v>0</v>
      </c>
      <c r="P81" s="41" t="str">
        <f t="shared" si="33"/>
        <v/>
      </c>
      <c r="Q81" s="41" t="str">
        <f t="shared" si="34"/>
        <v/>
      </c>
      <c r="R81" s="45"/>
      <c r="S81" s="44" t="str">
        <f t="shared" si="45"/>
        <v/>
      </c>
      <c r="T81" s="52">
        <f t="shared" ref="T81:T124" si="61">$C$13</f>
        <v>0</v>
      </c>
      <c r="U81" s="53" t="str">
        <f t="shared" si="46"/>
        <v/>
      </c>
      <c r="V81" s="53" t="str">
        <f t="shared" si="47"/>
        <v/>
      </c>
      <c r="W81" s="53" t="str">
        <f t="shared" si="48"/>
        <v/>
      </c>
      <c r="X81" s="46" t="str">
        <f t="shared" si="35"/>
        <v/>
      </c>
      <c r="Y81" s="45"/>
      <c r="Z81" s="41" t="str">
        <f t="shared" si="49"/>
        <v/>
      </c>
      <c r="AA81" s="41" t="str">
        <f t="shared" si="50"/>
        <v/>
      </c>
      <c r="AB81" s="41" t="str">
        <f t="shared" si="36"/>
        <v/>
      </c>
      <c r="AC81" s="41" t="str">
        <f t="shared" si="37"/>
        <v/>
      </c>
      <c r="AD81" s="48"/>
      <c r="AE81" s="41" t="str">
        <f t="shared" si="38"/>
        <v/>
      </c>
      <c r="AF81" s="41"/>
      <c r="AG81" s="41" t="str">
        <f t="shared" si="39"/>
        <v/>
      </c>
      <c r="AH81" s="41" t="str">
        <f t="shared" si="51"/>
        <v/>
      </c>
      <c r="AI81" s="41" t="str">
        <f t="shared" si="52"/>
        <v/>
      </c>
      <c r="AJ81" s="41">
        <f t="shared" si="40"/>
        <v>0</v>
      </c>
      <c r="AK81" s="41" t="str">
        <f t="shared" si="41"/>
        <v/>
      </c>
      <c r="AL81" s="41">
        <f t="shared" si="53"/>
        <v>0</v>
      </c>
      <c r="AM81" s="41">
        <f t="shared" si="42"/>
        <v>0</v>
      </c>
      <c r="AN81" s="41" t="str">
        <f t="shared" si="43"/>
        <v/>
      </c>
      <c r="AO81" s="41">
        <f t="shared" si="60"/>
        <v>0</v>
      </c>
      <c r="AP81" s="45"/>
      <c r="AQ81" s="48"/>
      <c r="AR81" s="48"/>
      <c r="AS81" s="48"/>
      <c r="AT81" s="51">
        <f t="shared" si="54"/>
        <v>77</v>
      </c>
      <c r="AU81" s="49" t="str">
        <f t="shared" si="55"/>
        <v/>
      </c>
      <c r="AV81" s="49" t="str">
        <f t="shared" si="56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5.6199879738246502E-3</v>
      </c>
      <c r="C82" s="60">
        <v>57</v>
      </c>
      <c r="D82" s="5">
        <v>37635.507159569264</v>
      </c>
      <c r="I82" s="51"/>
      <c r="J82" s="41"/>
      <c r="K82" s="41" t="str">
        <f t="shared" si="57"/>
        <v/>
      </c>
      <c r="L82" s="42" t="str">
        <f t="shared" si="58"/>
        <v/>
      </c>
      <c r="M82" s="41" t="str">
        <f t="shared" si="59"/>
        <v/>
      </c>
      <c r="N82" s="43">
        <f t="shared" si="31"/>
        <v>0</v>
      </c>
      <c r="O82" s="44">
        <f t="shared" si="32"/>
        <v>0</v>
      </c>
      <c r="P82" s="41" t="str">
        <f t="shared" si="33"/>
        <v/>
      </c>
      <c r="Q82" s="41" t="str">
        <f t="shared" si="34"/>
        <v/>
      </c>
      <c r="R82" s="45"/>
      <c r="S82" s="44" t="str">
        <f t="shared" si="45"/>
        <v/>
      </c>
      <c r="T82" s="52">
        <f t="shared" si="61"/>
        <v>0</v>
      </c>
      <c r="U82" s="53" t="str">
        <f t="shared" si="46"/>
        <v/>
      </c>
      <c r="V82" s="53" t="str">
        <f t="shared" si="47"/>
        <v/>
      </c>
      <c r="W82" s="53" t="str">
        <f t="shared" si="48"/>
        <v/>
      </c>
      <c r="X82" s="46" t="str">
        <f t="shared" si="35"/>
        <v/>
      </c>
      <c r="Y82" s="45"/>
      <c r="Z82" s="41" t="str">
        <f t="shared" si="49"/>
        <v/>
      </c>
      <c r="AA82" s="41" t="str">
        <f t="shared" si="50"/>
        <v/>
      </c>
      <c r="AB82" s="41" t="str">
        <f t="shared" si="36"/>
        <v/>
      </c>
      <c r="AC82" s="41" t="str">
        <f t="shared" si="37"/>
        <v/>
      </c>
      <c r="AD82" s="48"/>
      <c r="AE82" s="41" t="str">
        <f t="shared" si="38"/>
        <v/>
      </c>
      <c r="AF82" s="41"/>
      <c r="AG82" s="41" t="str">
        <f t="shared" si="39"/>
        <v/>
      </c>
      <c r="AH82" s="41" t="str">
        <f t="shared" si="51"/>
        <v/>
      </c>
      <c r="AI82" s="41" t="str">
        <f t="shared" si="52"/>
        <v/>
      </c>
      <c r="AJ82" s="41">
        <f t="shared" si="40"/>
        <v>0</v>
      </c>
      <c r="AK82" s="41" t="str">
        <f t="shared" si="41"/>
        <v/>
      </c>
      <c r="AL82" s="41">
        <f t="shared" si="53"/>
        <v>0</v>
      </c>
      <c r="AM82" s="41">
        <f t="shared" si="42"/>
        <v>0</v>
      </c>
      <c r="AN82" s="41" t="str">
        <f t="shared" si="43"/>
        <v/>
      </c>
      <c r="AO82" s="41">
        <f t="shared" si="60"/>
        <v>0</v>
      </c>
      <c r="AP82" s="45"/>
      <c r="AQ82" s="48"/>
      <c r="AR82" s="48"/>
      <c r="AS82" s="48"/>
      <c r="AT82" s="51">
        <f t="shared" si="54"/>
        <v>78</v>
      </c>
      <c r="AU82" s="49" t="str">
        <f t="shared" si="55"/>
        <v/>
      </c>
      <c r="AV82" s="49" t="str">
        <f t="shared" si="56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6.1702892129606099E-3</v>
      </c>
      <c r="C83" s="60">
        <v>58</v>
      </c>
      <c r="D83" s="5">
        <v>39332.751654122578</v>
      </c>
      <c r="I83" s="51"/>
      <c r="J83" s="41"/>
      <c r="K83" s="41" t="str">
        <f t="shared" si="57"/>
        <v/>
      </c>
      <c r="L83" s="42" t="str">
        <f t="shared" si="58"/>
        <v/>
      </c>
      <c r="M83" s="41" t="str">
        <f t="shared" si="59"/>
        <v/>
      </c>
      <c r="N83" s="43">
        <f t="shared" si="31"/>
        <v>0</v>
      </c>
      <c r="O83" s="44">
        <f t="shared" si="32"/>
        <v>0</v>
      </c>
      <c r="P83" s="41" t="str">
        <f t="shared" si="33"/>
        <v/>
      </c>
      <c r="Q83" s="41" t="str">
        <f t="shared" si="34"/>
        <v/>
      </c>
      <c r="R83" s="45"/>
      <c r="S83" s="44" t="str">
        <f t="shared" si="45"/>
        <v/>
      </c>
      <c r="T83" s="52">
        <f t="shared" si="61"/>
        <v>0</v>
      </c>
      <c r="U83" s="53" t="str">
        <f t="shared" si="46"/>
        <v/>
      </c>
      <c r="V83" s="53" t="str">
        <f t="shared" si="47"/>
        <v/>
      </c>
      <c r="W83" s="53" t="str">
        <f t="shared" si="48"/>
        <v/>
      </c>
      <c r="X83" s="46" t="str">
        <f t="shared" si="35"/>
        <v/>
      </c>
      <c r="Y83" s="45"/>
      <c r="Z83" s="41" t="str">
        <f t="shared" si="49"/>
        <v/>
      </c>
      <c r="AA83" s="41" t="str">
        <f t="shared" si="50"/>
        <v/>
      </c>
      <c r="AB83" s="41" t="str">
        <f t="shared" si="36"/>
        <v/>
      </c>
      <c r="AC83" s="41" t="str">
        <f t="shared" si="37"/>
        <v/>
      </c>
      <c r="AD83" s="48"/>
      <c r="AE83" s="41" t="str">
        <f t="shared" si="38"/>
        <v/>
      </c>
      <c r="AF83" s="41"/>
      <c r="AG83" s="41" t="str">
        <f t="shared" si="39"/>
        <v/>
      </c>
      <c r="AH83" s="41" t="str">
        <f t="shared" si="51"/>
        <v/>
      </c>
      <c r="AI83" s="41" t="str">
        <f t="shared" si="52"/>
        <v/>
      </c>
      <c r="AJ83" s="41">
        <f t="shared" si="40"/>
        <v>0</v>
      </c>
      <c r="AK83" s="41" t="str">
        <f t="shared" si="41"/>
        <v/>
      </c>
      <c r="AL83" s="41">
        <f t="shared" si="53"/>
        <v>0</v>
      </c>
      <c r="AM83" s="41">
        <f t="shared" si="42"/>
        <v>0</v>
      </c>
      <c r="AN83" s="41" t="str">
        <f t="shared" si="43"/>
        <v/>
      </c>
      <c r="AO83" s="41">
        <f t="shared" si="60"/>
        <v>0</v>
      </c>
      <c r="AP83" s="45"/>
      <c r="AQ83" s="48"/>
      <c r="AR83" s="48"/>
      <c r="AS83" s="48"/>
      <c r="AT83" s="51">
        <f t="shared" si="54"/>
        <v>79</v>
      </c>
      <c r="AU83" s="49" t="str">
        <f t="shared" si="55"/>
        <v/>
      </c>
      <c r="AV83" s="49" t="str">
        <f t="shared" si="56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6.7757222424396401E-3</v>
      </c>
      <c r="C84" s="60">
        <v>59</v>
      </c>
      <c r="D84" s="5">
        <v>41114.002510640268</v>
      </c>
      <c r="I84" s="51"/>
      <c r="J84" s="41"/>
      <c r="K84" s="41" t="str">
        <f t="shared" si="57"/>
        <v/>
      </c>
      <c r="L84" s="42" t="str">
        <f t="shared" si="58"/>
        <v/>
      </c>
      <c r="M84" s="41" t="str">
        <f t="shared" si="59"/>
        <v/>
      </c>
      <c r="N84" s="43">
        <f t="shared" si="31"/>
        <v>0</v>
      </c>
      <c r="O84" s="44">
        <f t="shared" si="32"/>
        <v>0</v>
      </c>
      <c r="P84" s="41" t="str">
        <f t="shared" si="33"/>
        <v/>
      </c>
      <c r="Q84" s="41" t="str">
        <f t="shared" si="34"/>
        <v/>
      </c>
      <c r="R84" s="45"/>
      <c r="S84" s="44" t="str">
        <f t="shared" si="45"/>
        <v/>
      </c>
      <c r="T84" s="52">
        <f t="shared" si="61"/>
        <v>0</v>
      </c>
      <c r="U84" s="53" t="str">
        <f t="shared" si="46"/>
        <v/>
      </c>
      <c r="V84" s="53" t="str">
        <f t="shared" si="47"/>
        <v/>
      </c>
      <c r="W84" s="53" t="str">
        <f t="shared" si="48"/>
        <v/>
      </c>
      <c r="X84" s="46" t="str">
        <f t="shared" si="35"/>
        <v/>
      </c>
      <c r="Y84" s="45"/>
      <c r="Z84" s="41" t="str">
        <f t="shared" si="49"/>
        <v/>
      </c>
      <c r="AA84" s="41" t="str">
        <f t="shared" si="50"/>
        <v/>
      </c>
      <c r="AB84" s="41" t="str">
        <f t="shared" si="36"/>
        <v/>
      </c>
      <c r="AC84" s="41" t="str">
        <f t="shared" si="37"/>
        <v/>
      </c>
      <c r="AD84" s="48"/>
      <c r="AE84" s="41" t="str">
        <f t="shared" si="38"/>
        <v/>
      </c>
      <c r="AF84" s="41"/>
      <c r="AG84" s="41" t="str">
        <f t="shared" si="39"/>
        <v/>
      </c>
      <c r="AH84" s="41" t="str">
        <f t="shared" si="51"/>
        <v/>
      </c>
      <c r="AI84" s="41" t="str">
        <f t="shared" si="52"/>
        <v/>
      </c>
      <c r="AJ84" s="41">
        <f t="shared" si="40"/>
        <v>0</v>
      </c>
      <c r="AK84" s="41" t="str">
        <f t="shared" si="41"/>
        <v/>
      </c>
      <c r="AL84" s="41">
        <f t="shared" si="53"/>
        <v>0</v>
      </c>
      <c r="AM84" s="41">
        <f t="shared" si="42"/>
        <v>0</v>
      </c>
      <c r="AN84" s="41" t="str">
        <f t="shared" si="43"/>
        <v/>
      </c>
      <c r="AO84" s="41">
        <f t="shared" si="60"/>
        <v>0</v>
      </c>
      <c r="AP84" s="45"/>
      <c r="AQ84" s="48"/>
      <c r="AR84" s="48"/>
      <c r="AS84" s="48"/>
      <c r="AT84" s="51">
        <f t="shared" si="54"/>
        <v>80</v>
      </c>
      <c r="AU84" s="49" t="str">
        <f t="shared" si="55"/>
        <v/>
      </c>
      <c r="AV84" s="49" t="str">
        <f t="shared" si="56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7.5010029440914904E-3</v>
      </c>
      <c r="C85" s="60">
        <v>60</v>
      </c>
      <c r="D85" s="5">
        <v>42976.400711091461</v>
      </c>
      <c r="I85" s="51"/>
      <c r="J85" s="41"/>
      <c r="K85" s="41" t="str">
        <f t="shared" si="57"/>
        <v/>
      </c>
      <c r="L85" s="42" t="str">
        <f t="shared" si="58"/>
        <v/>
      </c>
      <c r="M85" s="41" t="str">
        <f t="shared" si="59"/>
        <v/>
      </c>
      <c r="N85" s="43">
        <f t="shared" si="31"/>
        <v>0</v>
      </c>
      <c r="O85" s="44">
        <f t="shared" si="32"/>
        <v>0</v>
      </c>
      <c r="P85" s="41" t="str">
        <f t="shared" si="33"/>
        <v/>
      </c>
      <c r="Q85" s="41" t="str">
        <f t="shared" si="34"/>
        <v/>
      </c>
      <c r="R85" s="45"/>
      <c r="S85" s="44" t="str">
        <f t="shared" si="45"/>
        <v/>
      </c>
      <c r="T85" s="52">
        <f t="shared" si="61"/>
        <v>0</v>
      </c>
      <c r="U85" s="53" t="str">
        <f t="shared" si="46"/>
        <v/>
      </c>
      <c r="V85" s="53" t="str">
        <f t="shared" si="47"/>
        <v/>
      </c>
      <c r="W85" s="53" t="str">
        <f t="shared" si="48"/>
        <v/>
      </c>
      <c r="X85" s="46" t="str">
        <f t="shared" si="35"/>
        <v/>
      </c>
      <c r="Y85" s="45"/>
      <c r="Z85" s="41" t="str">
        <f t="shared" si="49"/>
        <v/>
      </c>
      <c r="AA85" s="41" t="str">
        <f t="shared" si="50"/>
        <v/>
      </c>
      <c r="AB85" s="41" t="str">
        <f t="shared" si="36"/>
        <v/>
      </c>
      <c r="AC85" s="41" t="str">
        <f t="shared" si="37"/>
        <v/>
      </c>
      <c r="AD85" s="48"/>
      <c r="AE85" s="41" t="str">
        <f t="shared" si="38"/>
        <v/>
      </c>
      <c r="AF85" s="41"/>
      <c r="AG85" s="41" t="str">
        <f t="shared" si="39"/>
        <v/>
      </c>
      <c r="AH85" s="41" t="str">
        <f t="shared" si="51"/>
        <v/>
      </c>
      <c r="AI85" s="41" t="str">
        <f t="shared" si="52"/>
        <v/>
      </c>
      <c r="AJ85" s="41">
        <f t="shared" si="40"/>
        <v>0</v>
      </c>
      <c r="AK85" s="41" t="str">
        <f t="shared" si="41"/>
        <v/>
      </c>
      <c r="AL85" s="41">
        <f t="shared" si="53"/>
        <v>0</v>
      </c>
      <c r="AM85" s="41">
        <f t="shared" si="42"/>
        <v>0</v>
      </c>
      <c r="AN85" s="41" t="str">
        <f t="shared" si="43"/>
        <v/>
      </c>
      <c r="AO85" s="41">
        <f t="shared" si="60"/>
        <v>0</v>
      </c>
      <c r="AP85" s="45"/>
      <c r="AQ85" s="48"/>
      <c r="AR85" s="48"/>
      <c r="AS85" s="48"/>
      <c r="AT85" s="51">
        <f t="shared" si="54"/>
        <v>81</v>
      </c>
      <c r="AU85" s="49" t="str">
        <f t="shared" si="55"/>
        <v/>
      </c>
      <c r="AV85" s="49" t="str">
        <f t="shared" si="56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8.2742651761118207E-3</v>
      </c>
      <c r="C86" s="60">
        <v>61</v>
      </c>
      <c r="D86" s="5">
        <v>44924.284960348996</v>
      </c>
      <c r="I86" s="51"/>
      <c r="J86" s="41"/>
      <c r="K86" s="41" t="str">
        <f t="shared" si="57"/>
        <v/>
      </c>
      <c r="L86" s="42" t="str">
        <f t="shared" si="58"/>
        <v/>
      </c>
      <c r="M86" s="41" t="str">
        <f t="shared" si="59"/>
        <v/>
      </c>
      <c r="N86" s="43">
        <f t="shared" si="31"/>
        <v>0</v>
      </c>
      <c r="O86" s="44">
        <f t="shared" si="32"/>
        <v>0</v>
      </c>
      <c r="P86" s="41" t="str">
        <f t="shared" si="33"/>
        <v/>
      </c>
      <c r="Q86" s="41" t="str">
        <f t="shared" si="34"/>
        <v/>
      </c>
      <c r="R86" s="45"/>
      <c r="S86" s="44" t="str">
        <f t="shared" si="45"/>
        <v/>
      </c>
      <c r="T86" s="52">
        <f t="shared" si="61"/>
        <v>0</v>
      </c>
      <c r="U86" s="53" t="str">
        <f t="shared" si="46"/>
        <v/>
      </c>
      <c r="V86" s="53" t="str">
        <f t="shared" si="47"/>
        <v/>
      </c>
      <c r="W86" s="53" t="str">
        <f t="shared" si="48"/>
        <v/>
      </c>
      <c r="X86" s="46" t="str">
        <f t="shared" si="35"/>
        <v/>
      </c>
      <c r="Y86" s="45"/>
      <c r="Z86" s="41" t="str">
        <f t="shared" si="49"/>
        <v/>
      </c>
      <c r="AA86" s="41" t="str">
        <f t="shared" si="50"/>
        <v/>
      </c>
      <c r="AB86" s="41" t="str">
        <f t="shared" si="36"/>
        <v/>
      </c>
      <c r="AC86" s="41" t="str">
        <f t="shared" si="37"/>
        <v/>
      </c>
      <c r="AD86" s="45"/>
      <c r="AE86" s="41" t="str">
        <f t="shared" si="38"/>
        <v/>
      </c>
      <c r="AF86" s="41"/>
      <c r="AG86" s="41" t="str">
        <f t="shared" si="39"/>
        <v/>
      </c>
      <c r="AH86" s="41" t="str">
        <f t="shared" si="51"/>
        <v/>
      </c>
      <c r="AI86" s="41" t="str">
        <f t="shared" si="52"/>
        <v/>
      </c>
      <c r="AJ86" s="41">
        <f t="shared" si="40"/>
        <v>0</v>
      </c>
      <c r="AK86" s="41" t="str">
        <f t="shared" si="41"/>
        <v/>
      </c>
      <c r="AL86" s="41">
        <f t="shared" si="53"/>
        <v>0</v>
      </c>
      <c r="AM86" s="41">
        <f t="shared" si="42"/>
        <v>0</v>
      </c>
      <c r="AN86" s="41" t="str">
        <f t="shared" si="43"/>
        <v/>
      </c>
      <c r="AO86" s="41">
        <f t="shared" si="60"/>
        <v>0</v>
      </c>
      <c r="AP86" s="45"/>
      <c r="AQ86" s="48"/>
      <c r="AR86" s="48"/>
      <c r="AS86" s="48"/>
      <c r="AT86" s="51">
        <f t="shared" si="54"/>
        <v>82</v>
      </c>
      <c r="AU86" s="49" t="str">
        <f t="shared" si="55"/>
        <v/>
      </c>
      <c r="AV86" s="49" t="str">
        <f t="shared" si="56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9.0435150193138494E-3</v>
      </c>
      <c r="C87" s="60">
        <v>62</v>
      </c>
      <c r="D87" s="5">
        <v>46968.529697828177</v>
      </c>
      <c r="I87" s="51"/>
      <c r="J87" s="41"/>
      <c r="K87" s="41" t="str">
        <f t="shared" si="57"/>
        <v/>
      </c>
      <c r="L87" s="42" t="str">
        <f t="shared" si="58"/>
        <v/>
      </c>
      <c r="M87" s="41" t="str">
        <f t="shared" si="59"/>
        <v/>
      </c>
      <c r="N87" s="43">
        <f t="shared" si="31"/>
        <v>0</v>
      </c>
      <c r="O87" s="44">
        <f t="shared" si="32"/>
        <v>0</v>
      </c>
      <c r="P87" s="41" t="str">
        <f t="shared" si="33"/>
        <v/>
      </c>
      <c r="Q87" s="41" t="str">
        <f t="shared" si="34"/>
        <v/>
      </c>
      <c r="R87" s="45"/>
      <c r="S87" s="44" t="str">
        <f t="shared" si="45"/>
        <v/>
      </c>
      <c r="T87" s="52">
        <f t="shared" si="61"/>
        <v>0</v>
      </c>
      <c r="U87" s="53" t="str">
        <f t="shared" si="46"/>
        <v/>
      </c>
      <c r="V87" s="53" t="str">
        <f t="shared" si="47"/>
        <v/>
      </c>
      <c r="W87" s="53" t="str">
        <f t="shared" si="48"/>
        <v/>
      </c>
      <c r="X87" s="46" t="str">
        <f t="shared" si="35"/>
        <v/>
      </c>
      <c r="Y87" s="45"/>
      <c r="Z87" s="41" t="str">
        <f t="shared" si="49"/>
        <v/>
      </c>
      <c r="AA87" s="41" t="str">
        <f t="shared" si="50"/>
        <v/>
      </c>
      <c r="AB87" s="41" t="str">
        <f t="shared" si="36"/>
        <v/>
      </c>
      <c r="AC87" s="41" t="str">
        <f t="shared" si="37"/>
        <v/>
      </c>
      <c r="AD87" s="45"/>
      <c r="AE87" s="41" t="str">
        <f t="shared" si="38"/>
        <v/>
      </c>
      <c r="AF87" s="41"/>
      <c r="AG87" s="41" t="str">
        <f t="shared" si="39"/>
        <v/>
      </c>
      <c r="AH87" s="41" t="str">
        <f t="shared" si="51"/>
        <v/>
      </c>
      <c r="AI87" s="41" t="str">
        <f t="shared" si="52"/>
        <v/>
      </c>
      <c r="AJ87" s="41">
        <f t="shared" si="40"/>
        <v>0</v>
      </c>
      <c r="AK87" s="41" t="str">
        <f t="shared" si="41"/>
        <v/>
      </c>
      <c r="AL87" s="41">
        <f t="shared" si="53"/>
        <v>0</v>
      </c>
      <c r="AM87" s="41">
        <f t="shared" si="42"/>
        <v>0</v>
      </c>
      <c r="AN87" s="41" t="str">
        <f t="shared" si="43"/>
        <v/>
      </c>
      <c r="AO87" s="41">
        <f t="shared" si="60"/>
        <v>0</v>
      </c>
      <c r="AP87" s="45"/>
      <c r="AQ87" s="48"/>
      <c r="AR87" s="48"/>
      <c r="AS87" s="48"/>
      <c r="AT87" s="51">
        <f t="shared" si="54"/>
        <v>83</v>
      </c>
      <c r="AU87" s="49" t="str">
        <f t="shared" si="55"/>
        <v/>
      </c>
      <c r="AV87" s="49" t="str">
        <f t="shared" si="56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9.8905893872935201E-3</v>
      </c>
      <c r="C88" s="60">
        <v>63</v>
      </c>
      <c r="D88" s="5">
        <v>49113.203240525865</v>
      </c>
      <c r="I88" s="51"/>
      <c r="J88" s="41"/>
      <c r="K88" s="41" t="str">
        <f t="shared" si="57"/>
        <v/>
      </c>
      <c r="L88" s="42" t="str">
        <f t="shared" si="58"/>
        <v/>
      </c>
      <c r="M88" s="41" t="str">
        <f t="shared" si="59"/>
        <v/>
      </c>
      <c r="N88" s="43">
        <f t="shared" si="31"/>
        <v>0</v>
      </c>
      <c r="O88" s="44">
        <f t="shared" si="32"/>
        <v>0</v>
      </c>
      <c r="P88" s="41" t="str">
        <f t="shared" si="33"/>
        <v/>
      </c>
      <c r="Q88" s="41" t="str">
        <f t="shared" si="34"/>
        <v/>
      </c>
      <c r="R88" s="45"/>
      <c r="S88" s="44" t="str">
        <f t="shared" si="45"/>
        <v/>
      </c>
      <c r="T88" s="52">
        <f t="shared" si="61"/>
        <v>0</v>
      </c>
      <c r="U88" s="53" t="str">
        <f t="shared" si="46"/>
        <v/>
      </c>
      <c r="V88" s="53" t="str">
        <f t="shared" si="47"/>
        <v/>
      </c>
      <c r="W88" s="53" t="str">
        <f t="shared" si="48"/>
        <v/>
      </c>
      <c r="X88" s="46" t="str">
        <f t="shared" si="35"/>
        <v/>
      </c>
      <c r="Y88" s="45"/>
      <c r="Z88" s="41" t="str">
        <f t="shared" si="49"/>
        <v/>
      </c>
      <c r="AA88" s="41" t="str">
        <f t="shared" si="50"/>
        <v/>
      </c>
      <c r="AB88" s="41" t="str">
        <f t="shared" si="36"/>
        <v/>
      </c>
      <c r="AC88" s="41" t="str">
        <f t="shared" si="37"/>
        <v/>
      </c>
      <c r="AD88" s="45"/>
      <c r="AE88" s="41" t="str">
        <f t="shared" si="38"/>
        <v/>
      </c>
      <c r="AF88" s="41"/>
      <c r="AG88" s="41" t="str">
        <f t="shared" si="39"/>
        <v/>
      </c>
      <c r="AH88" s="41" t="str">
        <f t="shared" si="51"/>
        <v/>
      </c>
      <c r="AI88" s="41" t="str">
        <f t="shared" si="52"/>
        <v/>
      </c>
      <c r="AJ88" s="41">
        <f t="shared" si="40"/>
        <v>0</v>
      </c>
      <c r="AK88" s="41" t="str">
        <f t="shared" si="41"/>
        <v/>
      </c>
      <c r="AL88" s="41">
        <f t="shared" si="53"/>
        <v>0</v>
      </c>
      <c r="AM88" s="41">
        <f t="shared" si="42"/>
        <v>0</v>
      </c>
      <c r="AN88" s="41" t="str">
        <f t="shared" si="43"/>
        <v/>
      </c>
      <c r="AO88" s="41">
        <f t="shared" si="60"/>
        <v>0</v>
      </c>
      <c r="AP88" s="45"/>
      <c r="AQ88" s="48"/>
      <c r="AR88" s="48"/>
      <c r="AS88" s="48"/>
      <c r="AT88" s="51">
        <f t="shared" si="54"/>
        <v>84</v>
      </c>
      <c r="AU88" s="49" t="str">
        <f t="shared" si="55"/>
        <v/>
      </c>
      <c r="AV88" s="49" t="str">
        <f t="shared" si="56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1.07918106861499E-2</v>
      </c>
      <c r="C89" s="60">
        <v>64</v>
      </c>
      <c r="D89" s="5">
        <v>51366.508296494161</v>
      </c>
      <c r="I89" s="51"/>
      <c r="J89" s="41"/>
      <c r="K89" s="41" t="str">
        <f t="shared" si="57"/>
        <v/>
      </c>
      <c r="L89" s="42" t="str">
        <f t="shared" si="58"/>
        <v/>
      </c>
      <c r="M89" s="41" t="str">
        <f t="shared" si="59"/>
        <v/>
      </c>
      <c r="N89" s="43">
        <f t="shared" si="31"/>
        <v>0</v>
      </c>
      <c r="O89" s="44">
        <f t="shared" si="32"/>
        <v>0</v>
      </c>
      <c r="P89" s="41" t="str">
        <f t="shared" si="33"/>
        <v/>
      </c>
      <c r="Q89" s="41" t="str">
        <f t="shared" si="34"/>
        <v/>
      </c>
      <c r="R89" s="45"/>
      <c r="S89" s="44" t="str">
        <f t="shared" si="45"/>
        <v/>
      </c>
      <c r="T89" s="52">
        <f t="shared" si="61"/>
        <v>0</v>
      </c>
      <c r="U89" s="53" t="str">
        <f t="shared" si="46"/>
        <v/>
      </c>
      <c r="V89" s="53" t="str">
        <f t="shared" si="47"/>
        <v/>
      </c>
      <c r="W89" s="53" t="str">
        <f t="shared" si="48"/>
        <v/>
      </c>
      <c r="X89" s="46" t="str">
        <f t="shared" si="35"/>
        <v/>
      </c>
      <c r="Y89" s="45"/>
      <c r="Z89" s="41" t="str">
        <f t="shared" si="49"/>
        <v/>
      </c>
      <c r="AA89" s="41" t="str">
        <f t="shared" si="50"/>
        <v/>
      </c>
      <c r="AB89" s="41" t="str">
        <f t="shared" si="36"/>
        <v/>
      </c>
      <c r="AC89" s="41" t="str">
        <f t="shared" si="37"/>
        <v/>
      </c>
      <c r="AD89" s="45"/>
      <c r="AE89" s="41" t="str">
        <f t="shared" si="38"/>
        <v/>
      </c>
      <c r="AF89" s="41"/>
      <c r="AG89" s="41" t="str">
        <f t="shared" si="39"/>
        <v/>
      </c>
      <c r="AH89" s="41" t="str">
        <f t="shared" si="51"/>
        <v/>
      </c>
      <c r="AI89" s="41" t="str">
        <f t="shared" si="52"/>
        <v/>
      </c>
      <c r="AJ89" s="41">
        <f t="shared" si="40"/>
        <v>0</v>
      </c>
      <c r="AK89" s="41" t="str">
        <f t="shared" si="41"/>
        <v/>
      </c>
      <c r="AL89" s="41">
        <f t="shared" si="53"/>
        <v>0</v>
      </c>
      <c r="AM89" s="41">
        <f t="shared" si="42"/>
        <v>0</v>
      </c>
      <c r="AN89" s="41" t="str">
        <f t="shared" si="43"/>
        <v/>
      </c>
      <c r="AO89" s="41">
        <f t="shared" si="60"/>
        <v>0</v>
      </c>
      <c r="AP89" s="45"/>
      <c r="AQ89" s="48"/>
      <c r="AR89" s="48"/>
      <c r="AS89" s="48"/>
      <c r="AT89" s="51">
        <f t="shared" si="54"/>
        <v>85</v>
      </c>
      <c r="AU89" s="49" t="str">
        <f t="shared" si="55"/>
        <v/>
      </c>
      <c r="AV89" s="49" t="str">
        <f t="shared" si="56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1.17948079224905E-2</v>
      </c>
      <c r="C90" s="60">
        <v>65</v>
      </c>
      <c r="D90" s="5">
        <v>53732.923190288973</v>
      </c>
      <c r="I90" s="51"/>
      <c r="J90" s="41"/>
      <c r="K90" s="41" t="str">
        <f t="shared" si="57"/>
        <v/>
      </c>
      <c r="L90" s="42" t="str">
        <f t="shared" si="58"/>
        <v/>
      </c>
      <c r="M90" s="41" t="str">
        <f t="shared" si="59"/>
        <v/>
      </c>
      <c r="N90" s="43">
        <f t="shared" si="31"/>
        <v>0</v>
      </c>
      <c r="O90" s="44">
        <f t="shared" si="32"/>
        <v>0</v>
      </c>
      <c r="P90" s="41" t="str">
        <f t="shared" si="33"/>
        <v/>
      </c>
      <c r="Q90" s="41" t="str">
        <f t="shared" si="34"/>
        <v/>
      </c>
      <c r="R90" s="45"/>
      <c r="S90" s="44" t="str">
        <f t="shared" si="45"/>
        <v/>
      </c>
      <c r="T90" s="52">
        <f t="shared" si="61"/>
        <v>0</v>
      </c>
      <c r="U90" s="53" t="str">
        <f t="shared" si="46"/>
        <v/>
      </c>
      <c r="V90" s="53" t="str">
        <f t="shared" si="47"/>
        <v/>
      </c>
      <c r="W90" s="53" t="str">
        <f t="shared" si="48"/>
        <v/>
      </c>
      <c r="X90" s="46" t="str">
        <f t="shared" si="35"/>
        <v/>
      </c>
      <c r="Y90" s="45"/>
      <c r="Z90" s="41" t="str">
        <f t="shared" si="49"/>
        <v/>
      </c>
      <c r="AA90" s="41" t="str">
        <f t="shared" si="50"/>
        <v/>
      </c>
      <c r="AB90" s="41" t="str">
        <f t="shared" si="36"/>
        <v/>
      </c>
      <c r="AC90" s="41" t="str">
        <f t="shared" si="37"/>
        <v/>
      </c>
      <c r="AD90" s="45"/>
      <c r="AE90" s="41" t="str">
        <f t="shared" si="38"/>
        <v/>
      </c>
      <c r="AF90" s="41"/>
      <c r="AG90" s="41" t="str">
        <f t="shared" si="39"/>
        <v/>
      </c>
      <c r="AH90" s="41" t="str">
        <f t="shared" si="51"/>
        <v/>
      </c>
      <c r="AI90" s="41" t="str">
        <f t="shared" si="52"/>
        <v/>
      </c>
      <c r="AJ90" s="41">
        <f t="shared" si="40"/>
        <v>0</v>
      </c>
      <c r="AK90" s="41" t="str">
        <f t="shared" si="41"/>
        <v/>
      </c>
      <c r="AL90" s="41">
        <f t="shared" si="53"/>
        <v>0</v>
      </c>
      <c r="AM90" s="41">
        <f t="shared" si="42"/>
        <v>0</v>
      </c>
      <c r="AN90" s="41" t="str">
        <f t="shared" si="43"/>
        <v/>
      </c>
      <c r="AO90" s="41">
        <f t="shared" si="60"/>
        <v>0</v>
      </c>
      <c r="AP90" s="45"/>
      <c r="AQ90" s="48"/>
      <c r="AR90" s="48"/>
      <c r="AS90" s="48"/>
      <c r="AT90" s="51">
        <f t="shared" si="54"/>
        <v>86</v>
      </c>
      <c r="AU90" s="49" t="str">
        <f t="shared" si="55"/>
        <v/>
      </c>
      <c r="AV90" s="49" t="str">
        <f t="shared" si="56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1.2952460904447301E-2</v>
      </c>
      <c r="C91" s="60">
        <v>66</v>
      </c>
      <c r="D91" s="5">
        <v>56211.773892064572</v>
      </c>
      <c r="I91" s="51"/>
      <c r="J91" s="41"/>
      <c r="K91" s="41" t="str">
        <f t="shared" si="57"/>
        <v/>
      </c>
      <c r="L91" s="42" t="str">
        <f t="shared" si="58"/>
        <v/>
      </c>
      <c r="M91" s="41" t="str">
        <f t="shared" si="59"/>
        <v/>
      </c>
      <c r="N91" s="43">
        <f t="shared" si="31"/>
        <v>0</v>
      </c>
      <c r="O91" s="44">
        <f t="shared" si="32"/>
        <v>0</v>
      </c>
      <c r="P91" s="41" t="str">
        <f t="shared" si="33"/>
        <v/>
      </c>
      <c r="Q91" s="41" t="str">
        <f t="shared" si="34"/>
        <v/>
      </c>
      <c r="R91" s="45"/>
      <c r="S91" s="44" t="str">
        <f t="shared" si="45"/>
        <v/>
      </c>
      <c r="T91" s="52">
        <f t="shared" si="61"/>
        <v>0</v>
      </c>
      <c r="U91" s="53" t="str">
        <f t="shared" si="46"/>
        <v/>
      </c>
      <c r="V91" s="53" t="str">
        <f t="shared" si="47"/>
        <v/>
      </c>
      <c r="W91" s="53" t="str">
        <f t="shared" si="48"/>
        <v/>
      </c>
      <c r="X91" s="46" t="str">
        <f t="shared" si="35"/>
        <v/>
      </c>
      <c r="Y91" s="45"/>
      <c r="Z91" s="41" t="str">
        <f t="shared" si="49"/>
        <v/>
      </c>
      <c r="AA91" s="41" t="str">
        <f t="shared" si="50"/>
        <v/>
      </c>
      <c r="AB91" s="41" t="str">
        <f t="shared" si="36"/>
        <v/>
      </c>
      <c r="AC91" s="41" t="str">
        <f t="shared" si="37"/>
        <v/>
      </c>
      <c r="AD91" s="45"/>
      <c r="AE91" s="41" t="str">
        <f t="shared" si="38"/>
        <v/>
      </c>
      <c r="AF91" s="41"/>
      <c r="AG91" s="41" t="str">
        <f t="shared" si="39"/>
        <v/>
      </c>
      <c r="AH91" s="41" t="str">
        <f t="shared" si="51"/>
        <v/>
      </c>
      <c r="AI91" s="41" t="str">
        <f t="shared" si="52"/>
        <v/>
      </c>
      <c r="AJ91" s="41">
        <f t="shared" si="40"/>
        <v>0</v>
      </c>
      <c r="AK91" s="41" t="str">
        <f t="shared" si="41"/>
        <v/>
      </c>
      <c r="AL91" s="41">
        <f t="shared" si="53"/>
        <v>0</v>
      </c>
      <c r="AM91" s="41">
        <f t="shared" si="42"/>
        <v>0</v>
      </c>
      <c r="AN91" s="41" t="str">
        <f t="shared" si="43"/>
        <v/>
      </c>
      <c r="AO91" s="41">
        <f t="shared" si="60"/>
        <v>0</v>
      </c>
      <c r="AP91" s="45"/>
      <c r="AQ91" s="48"/>
      <c r="AR91" s="48"/>
      <c r="AS91" s="48"/>
      <c r="AT91" s="51">
        <f t="shared" si="54"/>
        <v>87</v>
      </c>
      <c r="AU91" s="49" t="str">
        <f t="shared" si="55"/>
        <v/>
      </c>
      <c r="AV91" s="49" t="str">
        <f t="shared" si="56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1.4188622256416801E-2</v>
      </c>
      <c r="C92" s="60">
        <v>67</v>
      </c>
      <c r="D92" s="5">
        <v>58810.581598716351</v>
      </c>
      <c r="I92" s="51"/>
      <c r="J92" s="41"/>
      <c r="K92" s="41" t="str">
        <f t="shared" si="57"/>
        <v/>
      </c>
      <c r="L92" s="42" t="str">
        <f t="shared" si="58"/>
        <v/>
      </c>
      <c r="M92" s="41" t="str">
        <f t="shared" si="59"/>
        <v/>
      </c>
      <c r="N92" s="43">
        <f t="shared" si="31"/>
        <v>0</v>
      </c>
      <c r="O92" s="44">
        <f t="shared" si="32"/>
        <v>0</v>
      </c>
      <c r="P92" s="41" t="str">
        <f t="shared" si="33"/>
        <v/>
      </c>
      <c r="Q92" s="41" t="str">
        <f t="shared" si="34"/>
        <v/>
      </c>
      <c r="R92" s="45"/>
      <c r="S92" s="44" t="str">
        <f t="shared" si="45"/>
        <v/>
      </c>
      <c r="T92" s="52">
        <f t="shared" si="61"/>
        <v>0</v>
      </c>
      <c r="U92" s="53" t="str">
        <f t="shared" si="46"/>
        <v/>
      </c>
      <c r="V92" s="53" t="str">
        <f t="shared" si="47"/>
        <v/>
      </c>
      <c r="W92" s="53" t="str">
        <f t="shared" si="48"/>
        <v/>
      </c>
      <c r="X92" s="46" t="str">
        <f t="shared" si="35"/>
        <v/>
      </c>
      <c r="Y92" s="45"/>
      <c r="Z92" s="41" t="str">
        <f t="shared" si="49"/>
        <v/>
      </c>
      <c r="AA92" s="41" t="str">
        <f t="shared" si="50"/>
        <v/>
      </c>
      <c r="AB92" s="41" t="str">
        <f t="shared" si="36"/>
        <v/>
      </c>
      <c r="AC92" s="41" t="str">
        <f t="shared" si="37"/>
        <v/>
      </c>
      <c r="AD92" s="45"/>
      <c r="AE92" s="41" t="str">
        <f t="shared" si="38"/>
        <v/>
      </c>
      <c r="AF92" s="41"/>
      <c r="AG92" s="41" t="str">
        <f t="shared" si="39"/>
        <v/>
      </c>
      <c r="AH92" s="41" t="str">
        <f t="shared" si="51"/>
        <v/>
      </c>
      <c r="AI92" s="41" t="str">
        <f t="shared" si="52"/>
        <v/>
      </c>
      <c r="AJ92" s="41">
        <f t="shared" si="40"/>
        <v>0</v>
      </c>
      <c r="AK92" s="41" t="str">
        <f t="shared" si="41"/>
        <v/>
      </c>
      <c r="AL92" s="41">
        <f t="shared" si="53"/>
        <v>0</v>
      </c>
      <c r="AM92" s="41">
        <f t="shared" si="42"/>
        <v>0</v>
      </c>
      <c r="AN92" s="41" t="str">
        <f t="shared" si="43"/>
        <v/>
      </c>
      <c r="AO92" s="41">
        <f t="shared" si="60"/>
        <v>0</v>
      </c>
      <c r="AP92" s="45"/>
      <c r="AQ92" s="48"/>
      <c r="AR92" s="48"/>
      <c r="AS92" s="48"/>
      <c r="AT92" s="51">
        <f t="shared" si="54"/>
        <v>88</v>
      </c>
      <c r="AU92" s="49" t="str">
        <f t="shared" si="55"/>
        <v/>
      </c>
      <c r="AV92" s="49" t="str">
        <f t="shared" si="56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1.5503496109021599E-2</v>
      </c>
      <c r="C93" s="60">
        <v>68</v>
      </c>
      <c r="D93" s="5">
        <v>61539.00507697709</v>
      </c>
      <c r="I93" s="51"/>
      <c r="J93" s="41"/>
      <c r="K93" s="41" t="str">
        <f t="shared" si="57"/>
        <v/>
      </c>
      <c r="L93" s="42" t="str">
        <f t="shared" si="58"/>
        <v/>
      </c>
      <c r="M93" s="41" t="str">
        <f t="shared" si="59"/>
        <v/>
      </c>
      <c r="N93" s="43">
        <f t="shared" si="31"/>
        <v>0</v>
      </c>
      <c r="O93" s="44">
        <f t="shared" si="32"/>
        <v>0</v>
      </c>
      <c r="P93" s="41" t="str">
        <f t="shared" si="33"/>
        <v/>
      </c>
      <c r="Q93" s="41" t="str">
        <f t="shared" si="34"/>
        <v/>
      </c>
      <c r="R93" s="45"/>
      <c r="S93" s="44" t="str">
        <f t="shared" si="45"/>
        <v/>
      </c>
      <c r="T93" s="52">
        <f t="shared" si="61"/>
        <v>0</v>
      </c>
      <c r="U93" s="53" t="str">
        <f t="shared" si="46"/>
        <v/>
      </c>
      <c r="V93" s="53" t="str">
        <f t="shared" si="47"/>
        <v/>
      </c>
      <c r="W93" s="53" t="str">
        <f t="shared" si="48"/>
        <v/>
      </c>
      <c r="X93" s="46" t="str">
        <f t="shared" si="35"/>
        <v/>
      </c>
      <c r="Y93" s="45"/>
      <c r="Z93" s="41" t="str">
        <f t="shared" si="49"/>
        <v/>
      </c>
      <c r="AA93" s="41" t="str">
        <f t="shared" si="50"/>
        <v/>
      </c>
      <c r="AB93" s="41" t="str">
        <f t="shared" si="36"/>
        <v/>
      </c>
      <c r="AC93" s="41" t="str">
        <f t="shared" si="37"/>
        <v/>
      </c>
      <c r="AD93" s="45"/>
      <c r="AE93" s="41" t="str">
        <f t="shared" si="38"/>
        <v/>
      </c>
      <c r="AF93" s="41"/>
      <c r="AG93" s="41" t="str">
        <f t="shared" si="39"/>
        <v/>
      </c>
      <c r="AH93" s="41" t="str">
        <f t="shared" si="51"/>
        <v/>
      </c>
      <c r="AI93" s="41" t="str">
        <f t="shared" si="52"/>
        <v/>
      </c>
      <c r="AJ93" s="41">
        <f t="shared" si="40"/>
        <v>0</v>
      </c>
      <c r="AK93" s="41" t="str">
        <f t="shared" si="41"/>
        <v/>
      </c>
      <c r="AL93" s="41">
        <f t="shared" si="53"/>
        <v>0</v>
      </c>
      <c r="AM93" s="41">
        <f t="shared" si="42"/>
        <v>0</v>
      </c>
      <c r="AN93" s="41" t="str">
        <f t="shared" si="43"/>
        <v/>
      </c>
      <c r="AO93" s="41">
        <f t="shared" si="60"/>
        <v>0</v>
      </c>
      <c r="AP93" s="45"/>
      <c r="AQ93" s="48"/>
      <c r="AR93" s="48"/>
      <c r="AS93" s="48"/>
      <c r="AT93" s="51">
        <f t="shared" si="54"/>
        <v>89</v>
      </c>
      <c r="AU93" s="49" t="str">
        <f t="shared" si="55"/>
        <v/>
      </c>
      <c r="AV93" s="49" t="str">
        <f t="shared" si="56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1.69834215893266E-2</v>
      </c>
      <c r="C94" s="60">
        <v>69</v>
      </c>
      <c r="D94" s="5">
        <v>64400.688203587808</v>
      </c>
      <c r="I94" s="40"/>
      <c r="J94" s="41"/>
      <c r="K94" s="41" t="str">
        <f t="shared" si="57"/>
        <v/>
      </c>
      <c r="L94" s="42" t="str">
        <f t="shared" si="58"/>
        <v/>
      </c>
      <c r="M94" s="41" t="str">
        <f t="shared" si="59"/>
        <v/>
      </c>
      <c r="N94" s="43">
        <f t="shared" si="31"/>
        <v>0</v>
      </c>
      <c r="O94" s="44">
        <f>AW94</f>
        <v>0</v>
      </c>
      <c r="P94" s="41" t="str">
        <f t="shared" si="33"/>
        <v/>
      </c>
      <c r="Q94" s="41" t="str">
        <f t="shared" si="34"/>
        <v/>
      </c>
      <c r="R94" s="48"/>
      <c r="S94" s="44" t="str">
        <f t="shared" si="45"/>
        <v/>
      </c>
      <c r="T94" s="52">
        <f t="shared" si="61"/>
        <v>0</v>
      </c>
      <c r="U94" s="53" t="str">
        <f t="shared" si="46"/>
        <v/>
      </c>
      <c r="V94" s="53" t="str">
        <f t="shared" si="47"/>
        <v/>
      </c>
      <c r="W94" s="53" t="str">
        <f t="shared" si="48"/>
        <v/>
      </c>
      <c r="X94" s="46" t="str">
        <f t="shared" si="35"/>
        <v/>
      </c>
      <c r="Y94" s="48"/>
      <c r="Z94" s="41" t="str">
        <f t="shared" si="49"/>
        <v/>
      </c>
      <c r="AA94" s="41" t="str">
        <f t="shared" si="50"/>
        <v/>
      </c>
      <c r="AB94" s="41" t="str">
        <f t="shared" si="36"/>
        <v/>
      </c>
      <c r="AC94" s="41" t="str">
        <f t="shared" si="37"/>
        <v/>
      </c>
      <c r="AD94" s="48"/>
      <c r="AE94" s="41" t="str">
        <f t="shared" si="38"/>
        <v/>
      </c>
      <c r="AF94" s="41"/>
      <c r="AG94" s="41" t="str">
        <f t="shared" si="39"/>
        <v/>
      </c>
      <c r="AH94" s="41" t="str">
        <f t="shared" si="51"/>
        <v/>
      </c>
      <c r="AI94" s="41" t="str">
        <f t="shared" si="52"/>
        <v/>
      </c>
      <c r="AJ94" s="41">
        <f t="shared" si="40"/>
        <v>0</v>
      </c>
      <c r="AK94" s="41" t="str">
        <f t="shared" si="41"/>
        <v/>
      </c>
      <c r="AL94" s="41">
        <f t="shared" si="53"/>
        <v>0</v>
      </c>
      <c r="AM94" s="41">
        <f t="shared" si="42"/>
        <v>0</v>
      </c>
      <c r="AN94" s="41" t="str">
        <f t="shared" si="43"/>
        <v/>
      </c>
      <c r="AO94" s="41">
        <f t="shared" si="60"/>
        <v>0</v>
      </c>
      <c r="AP94" s="48"/>
      <c r="AQ94" s="48"/>
      <c r="AR94" s="48"/>
      <c r="AS94" s="48"/>
      <c r="AT94" s="51">
        <f t="shared" si="54"/>
        <v>90</v>
      </c>
      <c r="AU94" s="49" t="str">
        <f t="shared" si="55"/>
        <v/>
      </c>
      <c r="AV94" s="49" t="str">
        <f t="shared" si="56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1.8651765124269401E-2</v>
      </c>
      <c r="C95" s="60">
        <v>70</v>
      </c>
      <c r="D95" s="5">
        <v>67399.026150019636</v>
      </c>
      <c r="I95" s="40"/>
      <c r="J95" s="41"/>
      <c r="K95" s="41" t="str">
        <f t="shared" si="57"/>
        <v/>
      </c>
      <c r="L95" s="42" t="str">
        <f t="shared" si="58"/>
        <v/>
      </c>
      <c r="M95" s="41" t="str">
        <f t="shared" si="59"/>
        <v/>
      </c>
      <c r="N95" s="43">
        <f t="shared" si="31"/>
        <v>0</v>
      </c>
      <c r="O95" s="44">
        <f t="shared" si="32"/>
        <v>0</v>
      </c>
      <c r="P95" s="41" t="str">
        <f t="shared" si="33"/>
        <v/>
      </c>
      <c r="Q95" s="41" t="str">
        <f t="shared" si="34"/>
        <v/>
      </c>
      <c r="R95" s="48"/>
      <c r="S95" s="44" t="str">
        <f t="shared" si="45"/>
        <v/>
      </c>
      <c r="T95" s="52">
        <f t="shared" si="61"/>
        <v>0</v>
      </c>
      <c r="U95" s="53" t="str">
        <f t="shared" si="46"/>
        <v/>
      </c>
      <c r="V95" s="53" t="str">
        <f t="shared" si="47"/>
        <v/>
      </c>
      <c r="W95" s="53" t="str">
        <f t="shared" si="48"/>
        <v/>
      </c>
      <c r="X95" s="46" t="str">
        <f t="shared" si="35"/>
        <v/>
      </c>
      <c r="Y95" s="48"/>
      <c r="Z95" s="41" t="str">
        <f t="shared" si="49"/>
        <v/>
      </c>
      <c r="AA95" s="41" t="str">
        <f t="shared" si="50"/>
        <v/>
      </c>
      <c r="AB95" s="41" t="str">
        <f t="shared" si="36"/>
        <v/>
      </c>
      <c r="AC95" s="41" t="str">
        <f t="shared" si="37"/>
        <v/>
      </c>
      <c r="AD95" s="48"/>
      <c r="AE95" s="41" t="str">
        <f t="shared" si="38"/>
        <v/>
      </c>
      <c r="AF95" s="41"/>
      <c r="AG95" s="41" t="str">
        <f t="shared" si="39"/>
        <v/>
      </c>
      <c r="AH95" s="41" t="str">
        <f t="shared" si="51"/>
        <v/>
      </c>
      <c r="AI95" s="41" t="str">
        <f t="shared" si="52"/>
        <v/>
      </c>
      <c r="AJ95" s="41">
        <f t="shared" si="40"/>
        <v>0</v>
      </c>
      <c r="AK95" s="41" t="str">
        <f t="shared" si="41"/>
        <v/>
      </c>
      <c r="AL95" s="41">
        <f t="shared" si="53"/>
        <v>0</v>
      </c>
      <c r="AM95" s="41">
        <f t="shared" si="42"/>
        <v>0</v>
      </c>
      <c r="AN95" s="41" t="str">
        <f t="shared" si="43"/>
        <v/>
      </c>
      <c r="AO95" s="41">
        <f t="shared" si="60"/>
        <v>0</v>
      </c>
      <c r="AP95" s="48"/>
      <c r="AQ95" s="48"/>
      <c r="AR95" s="48"/>
      <c r="AS95" s="48"/>
      <c r="AT95" s="51">
        <f t="shared" si="54"/>
        <v>91</v>
      </c>
      <c r="AU95" s="49" t="str">
        <f t="shared" si="55"/>
        <v/>
      </c>
      <c r="AV95" s="49" t="str">
        <f t="shared" si="56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2.0562487060737E-2</v>
      </c>
      <c r="C96" s="60">
        <v>71</v>
      </c>
      <c r="D96" s="5">
        <v>70534.560519704348</v>
      </c>
      <c r="I96" s="40"/>
      <c r="J96" s="41"/>
      <c r="K96" s="41" t="str">
        <f t="shared" si="57"/>
        <v/>
      </c>
      <c r="L96" s="42" t="str">
        <f t="shared" si="58"/>
        <v/>
      </c>
      <c r="M96" s="41" t="str">
        <f t="shared" si="59"/>
        <v/>
      </c>
      <c r="N96" s="43">
        <f t="shared" si="31"/>
        <v>0</v>
      </c>
      <c r="O96" s="44">
        <f t="shared" si="32"/>
        <v>0</v>
      </c>
      <c r="P96" s="41" t="str">
        <f t="shared" si="33"/>
        <v/>
      </c>
      <c r="Q96" s="41" t="str">
        <f t="shared" si="34"/>
        <v/>
      </c>
      <c r="R96" s="48"/>
      <c r="S96" s="44" t="str">
        <f t="shared" si="45"/>
        <v/>
      </c>
      <c r="T96" s="52">
        <f t="shared" si="61"/>
        <v>0</v>
      </c>
      <c r="U96" s="53" t="str">
        <f t="shared" si="46"/>
        <v/>
      </c>
      <c r="V96" s="53" t="str">
        <f t="shared" si="47"/>
        <v/>
      </c>
      <c r="W96" s="53" t="str">
        <f t="shared" si="48"/>
        <v/>
      </c>
      <c r="X96" s="46" t="str">
        <f t="shared" si="35"/>
        <v/>
      </c>
      <c r="Y96" s="48"/>
      <c r="Z96" s="41" t="str">
        <f t="shared" si="49"/>
        <v/>
      </c>
      <c r="AA96" s="41" t="str">
        <f t="shared" si="50"/>
        <v/>
      </c>
      <c r="AB96" s="41" t="str">
        <f t="shared" si="36"/>
        <v/>
      </c>
      <c r="AC96" s="41" t="str">
        <f t="shared" si="37"/>
        <v/>
      </c>
      <c r="AD96" s="48"/>
      <c r="AE96" s="41" t="str">
        <f t="shared" si="38"/>
        <v/>
      </c>
      <c r="AF96" s="41"/>
      <c r="AG96" s="41" t="str">
        <f t="shared" si="39"/>
        <v/>
      </c>
      <c r="AH96" s="41" t="str">
        <f t="shared" si="51"/>
        <v/>
      </c>
      <c r="AI96" s="41" t="str">
        <f t="shared" si="52"/>
        <v/>
      </c>
      <c r="AJ96" s="41">
        <f>SUM(AE96:AI96)</f>
        <v>0</v>
      </c>
      <c r="AK96" s="41" t="str">
        <f t="shared" si="41"/>
        <v/>
      </c>
      <c r="AL96" s="41">
        <f t="shared" si="53"/>
        <v>0</v>
      </c>
      <c r="AM96" s="41">
        <f t="shared" si="42"/>
        <v>0</v>
      </c>
      <c r="AN96" s="41" t="str">
        <f t="shared" si="43"/>
        <v/>
      </c>
      <c r="AO96" s="41">
        <f t="shared" si="60"/>
        <v>0</v>
      </c>
      <c r="AP96" s="48"/>
      <c r="AQ96" s="48"/>
      <c r="AR96" s="48"/>
      <c r="AS96" s="48"/>
      <c r="AT96" s="51">
        <f t="shared" si="54"/>
        <v>92</v>
      </c>
      <c r="AU96" s="49" t="str">
        <f t="shared" si="55"/>
        <v/>
      </c>
      <c r="AV96" s="49" t="str">
        <f t="shared" si="56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2.27657588846252E-2</v>
      </c>
      <c r="C97" s="60">
        <v>72</v>
      </c>
      <c r="D97" s="5">
        <v>73806.344650223924</v>
      </c>
      <c r="I97" s="40"/>
      <c r="J97" s="41"/>
      <c r="K97" s="41" t="str">
        <f t="shared" si="57"/>
        <v/>
      </c>
      <c r="L97" s="42" t="str">
        <f t="shared" si="58"/>
        <v/>
      </c>
      <c r="M97" s="41" t="str">
        <f t="shared" si="59"/>
        <v/>
      </c>
      <c r="N97" s="43">
        <f t="shared" si="31"/>
        <v>0</v>
      </c>
      <c r="O97" s="44">
        <f t="shared" si="32"/>
        <v>0</v>
      </c>
      <c r="P97" s="41" t="str">
        <f t="shared" si="33"/>
        <v/>
      </c>
      <c r="Q97" s="41" t="str">
        <f t="shared" si="34"/>
        <v/>
      </c>
      <c r="R97" s="48"/>
      <c r="S97" s="44" t="str">
        <f t="shared" si="45"/>
        <v/>
      </c>
      <c r="T97" s="52">
        <f t="shared" si="61"/>
        <v>0</v>
      </c>
      <c r="U97" s="53" t="str">
        <f t="shared" si="46"/>
        <v/>
      </c>
      <c r="V97" s="53" t="str">
        <f t="shared" si="47"/>
        <v/>
      </c>
      <c r="W97" s="53" t="str">
        <f t="shared" si="48"/>
        <v/>
      </c>
      <c r="X97" s="46" t="str">
        <f t="shared" si="35"/>
        <v/>
      </c>
      <c r="Y97" s="48"/>
      <c r="Z97" s="41" t="str">
        <f t="shared" si="49"/>
        <v/>
      </c>
      <c r="AA97" s="41" t="str">
        <f t="shared" si="50"/>
        <v/>
      </c>
      <c r="AB97" s="41" t="str">
        <f t="shared" si="36"/>
        <v/>
      </c>
      <c r="AC97" s="41" t="str">
        <f t="shared" si="37"/>
        <v/>
      </c>
      <c r="AD97" s="48"/>
      <c r="AE97" s="41" t="str">
        <f t="shared" si="38"/>
        <v/>
      </c>
      <c r="AF97" s="41"/>
      <c r="AG97" s="41" t="str">
        <f t="shared" si="39"/>
        <v/>
      </c>
      <c r="AH97" s="41" t="str">
        <f t="shared" si="51"/>
        <v/>
      </c>
      <c r="AI97" s="41" t="str">
        <f t="shared" si="52"/>
        <v/>
      </c>
      <c r="AJ97" s="41">
        <f t="shared" si="40"/>
        <v>0</v>
      </c>
      <c r="AK97" s="41" t="str">
        <f t="shared" si="41"/>
        <v/>
      </c>
      <c r="AL97" s="41">
        <f t="shared" si="53"/>
        <v>0</v>
      </c>
      <c r="AM97" s="41">
        <f t="shared" si="42"/>
        <v>0</v>
      </c>
      <c r="AN97" s="41" t="str">
        <f t="shared" si="43"/>
        <v/>
      </c>
      <c r="AO97" s="41">
        <f t="shared" si="60"/>
        <v>0</v>
      </c>
      <c r="AP97" s="48"/>
      <c r="AQ97" s="48"/>
      <c r="AR97" s="48"/>
      <c r="AS97" s="48"/>
      <c r="AT97" s="51">
        <f t="shared" si="54"/>
        <v>93</v>
      </c>
      <c r="AU97" s="49" t="str">
        <f t="shared" si="55"/>
        <v/>
      </c>
      <c r="AV97" s="49" t="str">
        <f t="shared" si="56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2.5307340269123301E-2</v>
      </c>
      <c r="C98" s="60">
        <v>73</v>
      </c>
      <c r="D98" s="5">
        <v>77212.185881365614</v>
      </c>
      <c r="I98" s="40"/>
      <c r="J98" s="41"/>
      <c r="K98" s="41" t="str">
        <f t="shared" si="57"/>
        <v/>
      </c>
      <c r="L98" s="42" t="str">
        <f t="shared" si="58"/>
        <v/>
      </c>
      <c r="M98" s="41" t="str">
        <f t="shared" si="59"/>
        <v/>
      </c>
      <c r="N98" s="43">
        <f t="shared" si="31"/>
        <v>0</v>
      </c>
      <c r="O98" s="44">
        <f t="shared" si="32"/>
        <v>0</v>
      </c>
      <c r="P98" s="41" t="str">
        <f t="shared" si="33"/>
        <v/>
      </c>
      <c r="Q98" s="41" t="str">
        <f t="shared" si="34"/>
        <v/>
      </c>
      <c r="R98" s="48"/>
      <c r="S98" s="44" t="str">
        <f t="shared" si="45"/>
        <v/>
      </c>
      <c r="T98" s="52">
        <f t="shared" si="61"/>
        <v>0</v>
      </c>
      <c r="U98" s="53" t="str">
        <f t="shared" si="46"/>
        <v/>
      </c>
      <c r="V98" s="53" t="str">
        <f t="shared" si="47"/>
        <v/>
      </c>
      <c r="W98" s="53" t="str">
        <f t="shared" si="48"/>
        <v/>
      </c>
      <c r="X98" s="46" t="str">
        <f t="shared" si="35"/>
        <v/>
      </c>
      <c r="Y98" s="48"/>
      <c r="Z98" s="41" t="str">
        <f t="shared" si="49"/>
        <v/>
      </c>
      <c r="AA98" s="41" t="str">
        <f t="shared" si="50"/>
        <v/>
      </c>
      <c r="AB98" s="41" t="str">
        <f t="shared" si="36"/>
        <v/>
      </c>
      <c r="AC98" s="41" t="str">
        <f t="shared" si="37"/>
        <v/>
      </c>
      <c r="AD98" s="48"/>
      <c r="AE98" s="41" t="str">
        <f t="shared" si="38"/>
        <v/>
      </c>
      <c r="AF98" s="41"/>
      <c r="AG98" s="41" t="str">
        <f t="shared" si="39"/>
        <v/>
      </c>
      <c r="AH98" s="41" t="str">
        <f t="shared" si="51"/>
        <v/>
      </c>
      <c r="AI98" s="41" t="str">
        <f t="shared" si="52"/>
        <v/>
      </c>
      <c r="AJ98" s="41">
        <f t="shared" si="40"/>
        <v>0</v>
      </c>
      <c r="AK98" s="41" t="str">
        <f t="shared" si="41"/>
        <v/>
      </c>
      <c r="AL98" s="41">
        <f t="shared" si="53"/>
        <v>0</v>
      </c>
      <c r="AM98" s="41">
        <f t="shared" si="42"/>
        <v>0</v>
      </c>
      <c r="AN98" s="41" t="str">
        <f t="shared" si="43"/>
        <v/>
      </c>
      <c r="AO98" s="41">
        <f t="shared" si="60"/>
        <v>0</v>
      </c>
      <c r="AP98" s="48"/>
      <c r="AQ98" s="48"/>
      <c r="AR98" s="48"/>
      <c r="AS98" s="48"/>
      <c r="AT98" s="51">
        <f t="shared" si="54"/>
        <v>94</v>
      </c>
      <c r="AU98" s="49" t="str">
        <f t="shared" si="55"/>
        <v/>
      </c>
      <c r="AV98" s="49" t="str">
        <f t="shared" si="56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2.8334236526048301E-2</v>
      </c>
      <c r="C99" s="60">
        <v>74</v>
      </c>
      <c r="D99" s="5">
        <v>80739.075885372222</v>
      </c>
      <c r="I99" s="40"/>
      <c r="J99" s="41"/>
      <c r="K99" s="41" t="str">
        <f t="shared" si="57"/>
        <v/>
      </c>
      <c r="L99" s="42" t="str">
        <f t="shared" si="58"/>
        <v/>
      </c>
      <c r="M99" s="41" t="str">
        <f t="shared" si="59"/>
        <v/>
      </c>
      <c r="N99" s="43">
        <f t="shared" si="31"/>
        <v>0</v>
      </c>
      <c r="O99" s="44">
        <f t="shared" si="32"/>
        <v>0</v>
      </c>
      <c r="P99" s="41" t="str">
        <f t="shared" si="33"/>
        <v/>
      </c>
      <c r="Q99" s="41" t="str">
        <f t="shared" si="34"/>
        <v/>
      </c>
      <c r="R99" s="48"/>
      <c r="S99" s="44" t="str">
        <f t="shared" si="45"/>
        <v/>
      </c>
      <c r="T99" s="52">
        <f t="shared" si="61"/>
        <v>0</v>
      </c>
      <c r="U99" s="53" t="str">
        <f t="shared" si="46"/>
        <v/>
      </c>
      <c r="V99" s="53" t="str">
        <f t="shared" si="47"/>
        <v/>
      </c>
      <c r="W99" s="53" t="str">
        <f t="shared" si="48"/>
        <v/>
      </c>
      <c r="X99" s="46" t="str">
        <f t="shared" si="35"/>
        <v/>
      </c>
      <c r="Y99" s="48"/>
      <c r="Z99" s="41" t="str">
        <f t="shared" si="49"/>
        <v/>
      </c>
      <c r="AA99" s="41" t="str">
        <f t="shared" si="50"/>
        <v/>
      </c>
      <c r="AB99" s="41" t="str">
        <f t="shared" si="36"/>
        <v/>
      </c>
      <c r="AC99" s="41" t="str">
        <f t="shared" si="37"/>
        <v/>
      </c>
      <c r="AD99" s="48"/>
      <c r="AE99" s="41" t="str">
        <f t="shared" si="38"/>
        <v/>
      </c>
      <c r="AF99" s="41"/>
      <c r="AG99" s="41" t="str">
        <f t="shared" si="39"/>
        <v/>
      </c>
      <c r="AH99" s="41" t="str">
        <f t="shared" si="51"/>
        <v/>
      </c>
      <c r="AI99" s="41" t="str">
        <f t="shared" si="52"/>
        <v/>
      </c>
      <c r="AJ99" s="41">
        <f t="shared" si="40"/>
        <v>0</v>
      </c>
      <c r="AK99" s="41" t="str">
        <f t="shared" si="41"/>
        <v/>
      </c>
      <c r="AL99" s="41">
        <f t="shared" si="53"/>
        <v>0</v>
      </c>
      <c r="AM99" s="41">
        <f t="shared" si="42"/>
        <v>0</v>
      </c>
      <c r="AN99" s="41" t="str">
        <f t="shared" si="43"/>
        <v/>
      </c>
      <c r="AO99" s="41">
        <f t="shared" si="60"/>
        <v>0</v>
      </c>
      <c r="AP99" s="48"/>
      <c r="AQ99" s="48"/>
      <c r="AR99" s="48"/>
      <c r="AS99" s="48"/>
      <c r="AT99" s="51">
        <f t="shared" si="54"/>
        <v>95</v>
      </c>
      <c r="AU99" s="49" t="str">
        <f t="shared" si="55"/>
        <v/>
      </c>
      <c r="AV99" s="49" t="str">
        <f t="shared" si="56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3.1824836496061E-2</v>
      </c>
      <c r="C100" s="60">
        <v>75</v>
      </c>
      <c r="D100" s="5">
        <v>84378.66107679058</v>
      </c>
      <c r="I100" s="40"/>
      <c r="J100" s="41"/>
      <c r="K100" s="41" t="str">
        <f t="shared" si="57"/>
        <v/>
      </c>
      <c r="L100" s="42" t="str">
        <f t="shared" si="58"/>
        <v/>
      </c>
      <c r="M100" s="41" t="str">
        <f t="shared" si="59"/>
        <v/>
      </c>
      <c r="N100" s="43">
        <f t="shared" si="31"/>
        <v>0</v>
      </c>
      <c r="O100" s="44">
        <f t="shared" si="32"/>
        <v>0</v>
      </c>
      <c r="P100" s="41" t="str">
        <f t="shared" si="33"/>
        <v/>
      </c>
      <c r="Q100" s="41" t="str">
        <f t="shared" si="34"/>
        <v/>
      </c>
      <c r="R100" s="48"/>
      <c r="S100" s="44" t="str">
        <f t="shared" si="45"/>
        <v/>
      </c>
      <c r="T100" s="52">
        <f t="shared" si="61"/>
        <v>0</v>
      </c>
      <c r="U100" s="53" t="str">
        <f t="shared" si="46"/>
        <v/>
      </c>
      <c r="V100" s="53" t="str">
        <f t="shared" si="47"/>
        <v/>
      </c>
      <c r="W100" s="53" t="str">
        <f t="shared" si="48"/>
        <v/>
      </c>
      <c r="X100" s="46" t="str">
        <f t="shared" si="35"/>
        <v/>
      </c>
      <c r="Y100" s="48"/>
      <c r="Z100" s="41" t="str">
        <f t="shared" si="49"/>
        <v/>
      </c>
      <c r="AA100" s="41" t="str">
        <f t="shared" si="50"/>
        <v/>
      </c>
      <c r="AB100" s="41" t="str">
        <f t="shared" si="36"/>
        <v/>
      </c>
      <c r="AC100" s="41" t="str">
        <f t="shared" si="37"/>
        <v/>
      </c>
      <c r="AD100" s="48"/>
      <c r="AE100" s="41" t="str">
        <f t="shared" si="38"/>
        <v/>
      </c>
      <c r="AF100" s="41"/>
      <c r="AG100" s="41" t="str">
        <f t="shared" si="39"/>
        <v/>
      </c>
      <c r="AH100" s="41" t="str">
        <f t="shared" si="51"/>
        <v/>
      </c>
      <c r="AI100" s="41" t="str">
        <f t="shared" si="52"/>
        <v/>
      </c>
      <c r="AJ100" s="41">
        <f t="shared" si="40"/>
        <v>0</v>
      </c>
      <c r="AK100" s="41" t="str">
        <f t="shared" si="41"/>
        <v/>
      </c>
      <c r="AL100" s="41">
        <f t="shared" si="53"/>
        <v>0</v>
      </c>
      <c r="AM100" s="41">
        <f t="shared" si="42"/>
        <v>0</v>
      </c>
      <c r="AN100" s="41" t="str">
        <f t="shared" si="43"/>
        <v/>
      </c>
      <c r="AO100" s="41">
        <f t="shared" si="60"/>
        <v>0</v>
      </c>
      <c r="AP100" s="48"/>
      <c r="AQ100" s="48"/>
      <c r="AR100" s="48"/>
      <c r="AS100" s="48"/>
      <c r="AT100" s="51">
        <f t="shared" si="54"/>
        <v>96</v>
      </c>
      <c r="AU100" s="49" t="str">
        <f t="shared" si="55"/>
        <v/>
      </c>
      <c r="AV100" s="49" t="str">
        <f t="shared" si="56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3.5833906505717897E-2</v>
      </c>
      <c r="C101" s="60">
        <v>76</v>
      </c>
      <c r="D101" s="5">
        <v>88120.282801276669</v>
      </c>
      <c r="I101" s="40"/>
      <c r="J101" s="41"/>
      <c r="K101" s="41" t="str">
        <f t="shared" si="57"/>
        <v/>
      </c>
      <c r="L101" s="42" t="str">
        <f t="shared" si="58"/>
        <v/>
      </c>
      <c r="M101" s="41" t="str">
        <f t="shared" si="59"/>
        <v/>
      </c>
      <c r="N101" s="43">
        <f t="shared" si="31"/>
        <v>0</v>
      </c>
      <c r="O101" s="44">
        <f t="shared" si="32"/>
        <v>0</v>
      </c>
      <c r="P101" s="41" t="str">
        <f t="shared" si="33"/>
        <v/>
      </c>
      <c r="Q101" s="41" t="str">
        <f t="shared" si="34"/>
        <v/>
      </c>
      <c r="R101" s="48"/>
      <c r="S101" s="44" t="str">
        <f t="shared" si="45"/>
        <v/>
      </c>
      <c r="T101" s="52">
        <f t="shared" si="61"/>
        <v>0</v>
      </c>
      <c r="U101" s="53" t="str">
        <f t="shared" si="46"/>
        <v/>
      </c>
      <c r="V101" s="53" t="str">
        <f t="shared" si="47"/>
        <v/>
      </c>
      <c r="W101" s="53" t="str">
        <f t="shared" si="48"/>
        <v/>
      </c>
      <c r="X101" s="46" t="str">
        <f t="shared" si="35"/>
        <v/>
      </c>
      <c r="Y101" s="48"/>
      <c r="Z101" s="41" t="str">
        <f t="shared" si="49"/>
        <v/>
      </c>
      <c r="AA101" s="41" t="str">
        <f t="shared" si="50"/>
        <v/>
      </c>
      <c r="AB101" s="41" t="str">
        <f t="shared" si="36"/>
        <v/>
      </c>
      <c r="AC101" s="41" t="str">
        <f t="shared" si="37"/>
        <v/>
      </c>
      <c r="AD101" s="48"/>
      <c r="AE101" s="41" t="str">
        <f t="shared" si="38"/>
        <v/>
      </c>
      <c r="AF101" s="41"/>
      <c r="AG101" s="41" t="str">
        <f t="shared" si="39"/>
        <v/>
      </c>
      <c r="AH101" s="41" t="str">
        <f t="shared" si="51"/>
        <v/>
      </c>
      <c r="AI101" s="41" t="str">
        <f t="shared" si="52"/>
        <v/>
      </c>
      <c r="AJ101" s="41">
        <f t="shared" si="40"/>
        <v>0</v>
      </c>
      <c r="AK101" s="41" t="str">
        <f t="shared" si="41"/>
        <v/>
      </c>
      <c r="AL101" s="41">
        <f t="shared" si="53"/>
        <v>0</v>
      </c>
      <c r="AM101" s="41">
        <f t="shared" si="42"/>
        <v>0</v>
      </c>
      <c r="AN101" s="41" t="str">
        <f t="shared" si="43"/>
        <v/>
      </c>
      <c r="AO101" s="41">
        <f t="shared" si="60"/>
        <v>0</v>
      </c>
      <c r="AP101" s="48"/>
      <c r="AQ101" s="48"/>
      <c r="AR101" s="48"/>
      <c r="AS101" s="48"/>
      <c r="AT101" s="51">
        <f t="shared" si="54"/>
        <v>97</v>
      </c>
      <c r="AU101" s="49" t="str">
        <f t="shared" si="55"/>
        <v/>
      </c>
      <c r="AV101" s="49" t="str">
        <f t="shared" si="56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4.0464987995425701E-2</v>
      </c>
      <c r="C102" s="60">
        <v>77</v>
      </c>
      <c r="D102" s="5">
        <v>91946.018449429801</v>
      </c>
      <c r="I102" s="40"/>
      <c r="J102" s="41"/>
      <c r="K102" s="41" t="str">
        <f t="shared" si="57"/>
        <v/>
      </c>
      <c r="L102" s="42" t="str">
        <f t="shared" si="58"/>
        <v/>
      </c>
      <c r="M102" s="41" t="str">
        <f t="shared" si="59"/>
        <v/>
      </c>
      <c r="N102" s="43">
        <f t="shared" si="31"/>
        <v>0</v>
      </c>
      <c r="O102" s="44">
        <f t="shared" si="32"/>
        <v>0</v>
      </c>
      <c r="P102" s="41" t="str">
        <f t="shared" si="33"/>
        <v/>
      </c>
      <c r="Q102" s="41" t="str">
        <f t="shared" si="34"/>
        <v/>
      </c>
      <c r="R102" s="48"/>
      <c r="S102" s="44" t="str">
        <f t="shared" si="45"/>
        <v/>
      </c>
      <c r="T102" s="52">
        <f t="shared" si="61"/>
        <v>0</v>
      </c>
      <c r="U102" s="53" t="str">
        <f t="shared" si="46"/>
        <v/>
      </c>
      <c r="V102" s="53" t="str">
        <f t="shared" si="47"/>
        <v/>
      </c>
      <c r="W102" s="53" t="str">
        <f t="shared" si="48"/>
        <v/>
      </c>
      <c r="X102" s="46" t="str">
        <f t="shared" si="35"/>
        <v/>
      </c>
      <c r="Y102" s="48"/>
      <c r="Z102" s="41" t="str">
        <f t="shared" si="49"/>
        <v/>
      </c>
      <c r="AA102" s="41" t="str">
        <f t="shared" si="50"/>
        <v/>
      </c>
      <c r="AB102" s="41" t="str">
        <f t="shared" si="36"/>
        <v/>
      </c>
      <c r="AC102" s="41" t="str">
        <f t="shared" si="37"/>
        <v/>
      </c>
      <c r="AD102" s="48"/>
      <c r="AE102" s="41" t="str">
        <f t="shared" si="38"/>
        <v/>
      </c>
      <c r="AF102" s="41"/>
      <c r="AG102" s="41" t="str">
        <f t="shared" si="39"/>
        <v/>
      </c>
      <c r="AH102" s="41" t="str">
        <f t="shared" si="51"/>
        <v/>
      </c>
      <c r="AI102" s="41" t="str">
        <f t="shared" si="52"/>
        <v/>
      </c>
      <c r="AJ102" s="41">
        <f t="shared" si="40"/>
        <v>0</v>
      </c>
      <c r="AK102" s="41" t="str">
        <f t="shared" si="41"/>
        <v/>
      </c>
      <c r="AL102" s="41">
        <f t="shared" si="53"/>
        <v>0</v>
      </c>
      <c r="AM102" s="41">
        <f t="shared" si="42"/>
        <v>0</v>
      </c>
      <c r="AN102" s="41" t="str">
        <f t="shared" si="43"/>
        <v/>
      </c>
      <c r="AO102" s="41">
        <f t="shared" si="60"/>
        <v>0</v>
      </c>
      <c r="AP102" s="48"/>
      <c r="AQ102" s="48"/>
      <c r="AR102" s="48"/>
      <c r="AS102" s="48"/>
      <c r="AT102" s="51">
        <f t="shared" si="54"/>
        <v>98</v>
      </c>
      <c r="AU102" s="49" t="str">
        <f t="shared" si="55"/>
        <v/>
      </c>
      <c r="AV102" s="49" t="str">
        <f t="shared" si="56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4.5643336333418001E-2</v>
      </c>
      <c r="C103" s="60">
        <v>78</v>
      </c>
      <c r="D103" s="5">
        <v>95844.840105241761</v>
      </c>
      <c r="I103" s="40"/>
      <c r="J103" s="41"/>
      <c r="K103" s="41" t="str">
        <f t="shared" si="57"/>
        <v/>
      </c>
      <c r="L103" s="42" t="str">
        <f t="shared" si="58"/>
        <v/>
      </c>
      <c r="M103" s="41" t="str">
        <f t="shared" si="59"/>
        <v/>
      </c>
      <c r="N103" s="43">
        <f t="shared" si="31"/>
        <v>0</v>
      </c>
      <c r="O103" s="44">
        <f t="shared" si="32"/>
        <v>0</v>
      </c>
      <c r="P103" s="41" t="str">
        <f t="shared" si="33"/>
        <v/>
      </c>
      <c r="Q103" s="41" t="str">
        <f t="shared" si="34"/>
        <v/>
      </c>
      <c r="R103" s="48"/>
      <c r="S103" s="44" t="str">
        <f t="shared" si="45"/>
        <v/>
      </c>
      <c r="T103" s="52">
        <f t="shared" si="61"/>
        <v>0</v>
      </c>
      <c r="U103" s="53" t="str">
        <f t="shared" si="46"/>
        <v/>
      </c>
      <c r="V103" s="53" t="str">
        <f t="shared" si="47"/>
        <v/>
      </c>
      <c r="W103" s="53" t="str">
        <f t="shared" si="48"/>
        <v/>
      </c>
      <c r="X103" s="46" t="str">
        <f t="shared" si="35"/>
        <v/>
      </c>
      <c r="Y103" s="48"/>
      <c r="Z103" s="41" t="str">
        <f t="shared" si="49"/>
        <v/>
      </c>
      <c r="AA103" s="41" t="str">
        <f t="shared" si="50"/>
        <v/>
      </c>
      <c r="AB103" s="41" t="str">
        <f t="shared" si="36"/>
        <v/>
      </c>
      <c r="AC103" s="41" t="str">
        <f t="shared" si="37"/>
        <v/>
      </c>
      <c r="AD103" s="48"/>
      <c r="AE103" s="41" t="str">
        <f t="shared" si="38"/>
        <v/>
      </c>
      <c r="AF103" s="41"/>
      <c r="AG103" s="41" t="str">
        <f t="shared" si="39"/>
        <v/>
      </c>
      <c r="AH103" s="41" t="str">
        <f t="shared" si="51"/>
        <v/>
      </c>
      <c r="AI103" s="41" t="str">
        <f t="shared" si="52"/>
        <v/>
      </c>
      <c r="AJ103" s="41">
        <f t="shared" si="40"/>
        <v>0</v>
      </c>
      <c r="AK103" s="41" t="str">
        <f t="shared" si="41"/>
        <v/>
      </c>
      <c r="AL103" s="41">
        <f t="shared" si="53"/>
        <v>0</v>
      </c>
      <c r="AM103" s="41">
        <f t="shared" si="42"/>
        <v>0</v>
      </c>
      <c r="AN103" s="41" t="str">
        <f t="shared" si="43"/>
        <v/>
      </c>
      <c r="AO103" s="41">
        <f t="shared" si="60"/>
        <v>0</v>
      </c>
      <c r="AP103" s="48"/>
      <c r="AQ103" s="48"/>
      <c r="AR103" s="48"/>
      <c r="AS103" s="48"/>
      <c r="AT103" s="51">
        <f t="shared" si="54"/>
        <v>99</v>
      </c>
      <c r="AU103" s="49" t="str">
        <f t="shared" si="55"/>
        <v/>
      </c>
      <c r="AV103" s="49" t="str">
        <f t="shared" si="56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5.1405899271918701E-2</v>
      </c>
      <c r="C104" s="60">
        <v>79</v>
      </c>
      <c r="D104" s="5">
        <v>99804.104359815596</v>
      </c>
      <c r="I104" s="40"/>
      <c r="J104" s="41"/>
      <c r="K104" s="41" t="str">
        <f t="shared" si="57"/>
        <v/>
      </c>
      <c r="L104" s="42" t="str">
        <f t="shared" si="58"/>
        <v/>
      </c>
      <c r="M104" s="41" t="str">
        <f t="shared" si="59"/>
        <v/>
      </c>
      <c r="N104" s="43">
        <f t="shared" si="31"/>
        <v>0</v>
      </c>
      <c r="O104" s="44">
        <f t="shared" si="32"/>
        <v>0</v>
      </c>
      <c r="P104" s="41" t="str">
        <f t="shared" si="33"/>
        <v/>
      </c>
      <c r="Q104" s="41" t="str">
        <f t="shared" si="34"/>
        <v/>
      </c>
      <c r="R104" s="48"/>
      <c r="S104" s="44" t="str">
        <f t="shared" si="45"/>
        <v/>
      </c>
      <c r="T104" s="52">
        <f t="shared" si="61"/>
        <v>0</v>
      </c>
      <c r="U104" s="53" t="str">
        <f t="shared" si="46"/>
        <v/>
      </c>
      <c r="V104" s="53" t="str">
        <f t="shared" si="47"/>
        <v/>
      </c>
      <c r="W104" s="53" t="str">
        <f t="shared" si="48"/>
        <v/>
      </c>
      <c r="X104" s="46" t="str">
        <f t="shared" si="35"/>
        <v/>
      </c>
      <c r="Y104" s="48"/>
      <c r="Z104" s="41" t="str">
        <f t="shared" si="49"/>
        <v/>
      </c>
      <c r="AA104" s="41" t="str">
        <f t="shared" si="50"/>
        <v/>
      </c>
      <c r="AB104" s="41" t="str">
        <f t="shared" si="36"/>
        <v/>
      </c>
      <c r="AC104" s="41" t="str">
        <f t="shared" si="37"/>
        <v/>
      </c>
      <c r="AD104" s="48"/>
      <c r="AE104" s="41" t="str">
        <f t="shared" si="38"/>
        <v/>
      </c>
      <c r="AF104" s="41"/>
      <c r="AG104" s="41" t="str">
        <f t="shared" si="39"/>
        <v/>
      </c>
      <c r="AH104" s="41" t="str">
        <f t="shared" si="51"/>
        <v/>
      </c>
      <c r="AI104" s="41" t="str">
        <f t="shared" si="52"/>
        <v/>
      </c>
      <c r="AJ104" s="41">
        <f t="shared" si="40"/>
        <v>0</v>
      </c>
      <c r="AK104" s="41" t="str">
        <f t="shared" si="41"/>
        <v/>
      </c>
      <c r="AL104" s="41">
        <f t="shared" si="53"/>
        <v>0</v>
      </c>
      <c r="AM104" s="41">
        <f t="shared" si="42"/>
        <v>0</v>
      </c>
      <c r="AN104" s="41" t="str">
        <f t="shared" si="43"/>
        <v/>
      </c>
      <c r="AO104" s="41">
        <f t="shared" si="60"/>
        <v>0</v>
      </c>
      <c r="AP104" s="48"/>
      <c r="AQ104" s="48"/>
      <c r="AR104" s="48"/>
      <c r="AS104" s="48"/>
      <c r="AT104" s="51">
        <f t="shared" si="54"/>
        <v>100</v>
      </c>
      <c r="AU104" s="49" t="str">
        <f t="shared" si="55"/>
        <v/>
      </c>
      <c r="AV104" s="49" t="str">
        <f t="shared" si="56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5.76956792289708E-2</v>
      </c>
      <c r="C105" s="60">
        <v>80</v>
      </c>
      <c r="D105" s="5">
        <v>103820.07017884419</v>
      </c>
      <c r="I105" s="40"/>
      <c r="J105" s="41"/>
      <c r="K105" s="41" t="str">
        <f t="shared" si="57"/>
        <v/>
      </c>
      <c r="L105" s="42" t="str">
        <f t="shared" si="58"/>
        <v/>
      </c>
      <c r="M105" s="41" t="str">
        <f t="shared" si="59"/>
        <v/>
      </c>
      <c r="N105" s="43">
        <f t="shared" si="31"/>
        <v>0</v>
      </c>
      <c r="O105" s="44">
        <f t="shared" si="32"/>
        <v>0</v>
      </c>
      <c r="P105" s="41" t="str">
        <f t="shared" si="33"/>
        <v/>
      </c>
      <c r="Q105" s="41" t="str">
        <f t="shared" si="34"/>
        <v/>
      </c>
      <c r="R105" s="48"/>
      <c r="S105" s="44" t="str">
        <f t="shared" si="45"/>
        <v/>
      </c>
      <c r="T105" s="52">
        <f t="shared" si="61"/>
        <v>0</v>
      </c>
      <c r="U105" s="53" t="str">
        <f t="shared" si="46"/>
        <v/>
      </c>
      <c r="V105" s="53" t="str">
        <f t="shared" si="47"/>
        <v/>
      </c>
      <c r="W105" s="53" t="str">
        <f t="shared" si="48"/>
        <v/>
      </c>
      <c r="X105" s="46" t="str">
        <f t="shared" si="35"/>
        <v/>
      </c>
      <c r="Y105" s="48"/>
      <c r="Z105" s="41" t="str">
        <f t="shared" si="49"/>
        <v/>
      </c>
      <c r="AA105" s="41" t="str">
        <f t="shared" si="50"/>
        <v/>
      </c>
      <c r="AB105" s="41" t="str">
        <f t="shared" si="36"/>
        <v/>
      </c>
      <c r="AC105" s="41" t="str">
        <f t="shared" si="37"/>
        <v/>
      </c>
      <c r="AD105" s="48"/>
      <c r="AE105" s="41" t="str">
        <f t="shared" si="38"/>
        <v/>
      </c>
      <c r="AF105" s="41"/>
      <c r="AG105" s="41" t="str">
        <f t="shared" si="39"/>
        <v/>
      </c>
      <c r="AH105" s="41" t="str">
        <f t="shared" si="51"/>
        <v/>
      </c>
      <c r="AI105" s="41" t="str">
        <f t="shared" si="52"/>
        <v/>
      </c>
      <c r="AJ105" s="41">
        <f t="shared" si="40"/>
        <v>0</v>
      </c>
      <c r="AK105" s="41" t="str">
        <f t="shared" si="41"/>
        <v/>
      </c>
      <c r="AL105" s="41">
        <f t="shared" si="53"/>
        <v>0</v>
      </c>
      <c r="AM105" s="41">
        <f t="shared" si="42"/>
        <v>0</v>
      </c>
      <c r="AN105" s="41" t="str">
        <f t="shared" si="43"/>
        <v/>
      </c>
      <c r="AO105" s="41">
        <f t="shared" si="60"/>
        <v>0</v>
      </c>
      <c r="AP105" s="48"/>
      <c r="AQ105" s="48"/>
      <c r="AR105" s="48"/>
      <c r="AS105" s="48"/>
      <c r="AT105" s="51">
        <f t="shared" si="54"/>
        <v>101</v>
      </c>
      <c r="AU105" s="49" t="str">
        <f t="shared" si="55"/>
        <v/>
      </c>
      <c r="AV105" s="49" t="str">
        <f t="shared" si="56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6.4609670970775093E-2</v>
      </c>
      <c r="C106" s="60">
        <v>81</v>
      </c>
      <c r="D106" s="5">
        <v>107934.51095476249</v>
      </c>
      <c r="I106" s="40"/>
      <c r="J106" s="41"/>
      <c r="K106" s="41" t="str">
        <f t="shared" si="57"/>
        <v/>
      </c>
      <c r="L106" s="42" t="str">
        <f t="shared" si="58"/>
        <v/>
      </c>
      <c r="M106" s="41" t="str">
        <f t="shared" si="59"/>
        <v/>
      </c>
      <c r="N106" s="43">
        <f t="shared" si="31"/>
        <v>0</v>
      </c>
      <c r="O106" s="44">
        <f t="shared" si="32"/>
        <v>0</v>
      </c>
      <c r="P106" s="41" t="str">
        <f t="shared" si="33"/>
        <v/>
      </c>
      <c r="Q106" s="41" t="str">
        <f t="shared" si="34"/>
        <v/>
      </c>
      <c r="R106" s="48"/>
      <c r="S106" s="44" t="str">
        <f t="shared" si="45"/>
        <v/>
      </c>
      <c r="T106" s="52">
        <f t="shared" si="61"/>
        <v>0</v>
      </c>
      <c r="U106" s="53" t="str">
        <f t="shared" si="46"/>
        <v/>
      </c>
      <c r="V106" s="53" t="str">
        <f t="shared" si="47"/>
        <v/>
      </c>
      <c r="W106" s="53" t="str">
        <f t="shared" si="48"/>
        <v/>
      </c>
      <c r="X106" s="46" t="str">
        <f t="shared" si="35"/>
        <v/>
      </c>
      <c r="Y106" s="48"/>
      <c r="Z106" s="41" t="str">
        <f t="shared" si="49"/>
        <v/>
      </c>
      <c r="AA106" s="41" t="str">
        <f t="shared" si="50"/>
        <v/>
      </c>
      <c r="AB106" s="41" t="str">
        <f t="shared" si="36"/>
        <v/>
      </c>
      <c r="AC106" s="41" t="str">
        <f t="shared" si="37"/>
        <v/>
      </c>
      <c r="AD106" s="48"/>
      <c r="AE106" s="41" t="str">
        <f t="shared" si="38"/>
        <v/>
      </c>
      <c r="AF106" s="41"/>
      <c r="AG106" s="41" t="str">
        <f t="shared" si="39"/>
        <v/>
      </c>
      <c r="AH106" s="41" t="str">
        <f t="shared" si="51"/>
        <v/>
      </c>
      <c r="AI106" s="41" t="str">
        <f t="shared" si="52"/>
        <v/>
      </c>
      <c r="AJ106" s="41">
        <f t="shared" si="40"/>
        <v>0</v>
      </c>
      <c r="AK106" s="41" t="str">
        <f t="shared" si="41"/>
        <v/>
      </c>
      <c r="AL106" s="41">
        <f t="shared" si="53"/>
        <v>0</v>
      </c>
      <c r="AM106" s="41">
        <f t="shared" si="42"/>
        <v>0</v>
      </c>
      <c r="AN106" s="41" t="str">
        <f t="shared" si="43"/>
        <v/>
      </c>
      <c r="AO106" s="41">
        <f t="shared" si="60"/>
        <v>0</v>
      </c>
      <c r="AP106" s="48"/>
      <c r="AQ106" s="48"/>
      <c r="AR106" s="48"/>
      <c r="AS106" s="48"/>
      <c r="AT106" s="51">
        <f t="shared" si="54"/>
        <v>102</v>
      </c>
      <c r="AU106" s="49" t="str">
        <f t="shared" si="55"/>
        <v/>
      </c>
      <c r="AV106" s="49" t="str">
        <f t="shared" si="56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7.2388298796187994E-2</v>
      </c>
      <c r="C107" s="60">
        <v>82</v>
      </c>
      <c r="D107" s="5">
        <v>112107.23158649888</v>
      </c>
      <c r="I107" s="40"/>
      <c r="J107" s="41"/>
      <c r="K107" s="41" t="str">
        <f t="shared" si="57"/>
        <v/>
      </c>
      <c r="L107" s="42" t="str">
        <f t="shared" si="58"/>
        <v/>
      </c>
      <c r="M107" s="41" t="str">
        <f t="shared" si="59"/>
        <v/>
      </c>
      <c r="N107" s="43">
        <f t="shared" si="31"/>
        <v>0</v>
      </c>
      <c r="O107" s="44">
        <f t="shared" si="32"/>
        <v>0</v>
      </c>
      <c r="P107" s="41" t="str">
        <f t="shared" si="33"/>
        <v/>
      </c>
      <c r="Q107" s="41" t="str">
        <f t="shared" si="34"/>
        <v/>
      </c>
      <c r="R107" s="48"/>
      <c r="S107" s="44" t="str">
        <f t="shared" si="45"/>
        <v/>
      </c>
      <c r="T107" s="52">
        <f t="shared" si="61"/>
        <v>0</v>
      </c>
      <c r="U107" s="53" t="str">
        <f t="shared" si="46"/>
        <v/>
      </c>
      <c r="V107" s="53" t="str">
        <f t="shared" si="47"/>
        <v/>
      </c>
      <c r="W107" s="53" t="str">
        <f t="shared" si="48"/>
        <v/>
      </c>
      <c r="X107" s="46" t="str">
        <f t="shared" si="35"/>
        <v/>
      </c>
      <c r="Y107" s="48"/>
      <c r="Z107" s="41" t="str">
        <f t="shared" si="49"/>
        <v/>
      </c>
      <c r="AA107" s="41" t="str">
        <f t="shared" si="50"/>
        <v/>
      </c>
      <c r="AB107" s="41" t="str">
        <f t="shared" si="36"/>
        <v/>
      </c>
      <c r="AC107" s="41" t="str">
        <f t="shared" si="37"/>
        <v/>
      </c>
      <c r="AD107" s="48"/>
      <c r="AE107" s="41" t="str">
        <f t="shared" si="38"/>
        <v/>
      </c>
      <c r="AF107" s="41"/>
      <c r="AG107" s="41" t="str">
        <f t="shared" si="39"/>
        <v/>
      </c>
      <c r="AH107" s="41" t="str">
        <f t="shared" si="51"/>
        <v/>
      </c>
      <c r="AI107" s="41" t="str">
        <f t="shared" si="52"/>
        <v/>
      </c>
      <c r="AJ107" s="41">
        <f t="shared" si="40"/>
        <v>0</v>
      </c>
      <c r="AK107" s="41" t="str">
        <f t="shared" si="41"/>
        <v/>
      </c>
      <c r="AL107" s="41">
        <f t="shared" si="53"/>
        <v>0</v>
      </c>
      <c r="AM107" s="41">
        <f t="shared" si="42"/>
        <v>0</v>
      </c>
      <c r="AN107" s="41" t="str">
        <f t="shared" si="43"/>
        <v/>
      </c>
      <c r="AO107" s="41">
        <f t="shared" si="60"/>
        <v>0</v>
      </c>
      <c r="AP107" s="48"/>
      <c r="AQ107" s="48"/>
      <c r="AR107" s="48"/>
      <c r="AS107" s="48"/>
      <c r="AT107" s="51">
        <f t="shared" si="54"/>
        <v>103</v>
      </c>
      <c r="AU107" s="49" t="str">
        <f t="shared" si="55"/>
        <v/>
      </c>
      <c r="AV107" s="49" t="str">
        <f t="shared" si="56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8.1128882170520999E-2</v>
      </c>
      <c r="C108" s="60">
        <v>83</v>
      </c>
      <c r="D108" s="5">
        <v>116298.94301111986</v>
      </c>
      <c r="I108" s="40"/>
      <c r="J108" s="41"/>
      <c r="K108" s="41" t="str">
        <f t="shared" si="57"/>
        <v/>
      </c>
      <c r="L108" s="42" t="str">
        <f t="shared" si="58"/>
        <v/>
      </c>
      <c r="M108" s="41" t="str">
        <f t="shared" si="59"/>
        <v/>
      </c>
      <c r="N108" s="43">
        <f t="shared" si="31"/>
        <v>0</v>
      </c>
      <c r="O108" s="44">
        <f t="shared" si="32"/>
        <v>0</v>
      </c>
      <c r="P108" s="41" t="str">
        <f t="shared" si="33"/>
        <v/>
      </c>
      <c r="Q108" s="41" t="str">
        <f t="shared" si="34"/>
        <v/>
      </c>
      <c r="R108" s="48"/>
      <c r="S108" s="44" t="str">
        <f t="shared" si="45"/>
        <v/>
      </c>
      <c r="T108" s="52">
        <f t="shared" si="61"/>
        <v>0</v>
      </c>
      <c r="U108" s="53" t="str">
        <f t="shared" si="46"/>
        <v/>
      </c>
      <c r="V108" s="53" t="str">
        <f t="shared" si="47"/>
        <v/>
      </c>
      <c r="W108" s="53" t="str">
        <f t="shared" si="48"/>
        <v/>
      </c>
      <c r="X108" s="46" t="str">
        <f t="shared" si="35"/>
        <v/>
      </c>
      <c r="Y108" s="48"/>
      <c r="Z108" s="41" t="str">
        <f t="shared" si="49"/>
        <v/>
      </c>
      <c r="AA108" s="41" t="str">
        <f t="shared" si="50"/>
        <v/>
      </c>
      <c r="AB108" s="41" t="str">
        <f t="shared" si="36"/>
        <v/>
      </c>
      <c r="AC108" s="41" t="str">
        <f t="shared" si="37"/>
        <v/>
      </c>
      <c r="AD108" s="48"/>
      <c r="AE108" s="41" t="str">
        <f t="shared" si="38"/>
        <v/>
      </c>
      <c r="AF108" s="41"/>
      <c r="AG108" s="41" t="str">
        <f t="shared" si="39"/>
        <v/>
      </c>
      <c r="AH108" s="41" t="str">
        <f t="shared" si="51"/>
        <v/>
      </c>
      <c r="AI108" s="41" t="str">
        <f t="shared" si="52"/>
        <v/>
      </c>
      <c r="AJ108" s="41">
        <f t="shared" si="40"/>
        <v>0</v>
      </c>
      <c r="AK108" s="41" t="str">
        <f t="shared" si="41"/>
        <v/>
      </c>
      <c r="AL108" s="41">
        <f t="shared" si="53"/>
        <v>0</v>
      </c>
      <c r="AM108" s="41">
        <f t="shared" si="42"/>
        <v>0</v>
      </c>
      <c r="AN108" s="41" t="str">
        <f t="shared" si="43"/>
        <v/>
      </c>
      <c r="AO108" s="41">
        <f t="shared" si="60"/>
        <v>0</v>
      </c>
      <c r="AP108" s="48"/>
      <c r="AQ108" s="48"/>
      <c r="AR108" s="48"/>
      <c r="AS108" s="48"/>
      <c r="AT108" s="51">
        <f t="shared" si="54"/>
        <v>104</v>
      </c>
      <c r="AU108" s="49" t="str">
        <f t="shared" si="55"/>
        <v/>
      </c>
      <c r="AV108" s="49" t="str">
        <f t="shared" si="56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9.0986516077001298E-2</v>
      </c>
      <c r="C109" s="60">
        <v>84</v>
      </c>
      <c r="D109" s="5">
        <v>120470.27116092111</v>
      </c>
      <c r="I109" s="40"/>
      <c r="J109" s="41"/>
      <c r="K109" s="41" t="str">
        <f t="shared" si="57"/>
        <v/>
      </c>
      <c r="L109" s="42" t="str">
        <f t="shared" si="58"/>
        <v/>
      </c>
      <c r="M109" s="41" t="str">
        <f t="shared" si="59"/>
        <v/>
      </c>
      <c r="N109" s="43">
        <f t="shared" si="31"/>
        <v>0</v>
      </c>
      <c r="O109" s="44">
        <f t="shared" si="32"/>
        <v>0</v>
      </c>
      <c r="P109" s="41" t="str">
        <f t="shared" si="33"/>
        <v/>
      </c>
      <c r="Q109" s="41" t="str">
        <f t="shared" si="34"/>
        <v/>
      </c>
      <c r="R109" s="48"/>
      <c r="S109" s="44" t="str">
        <f t="shared" si="45"/>
        <v/>
      </c>
      <c r="T109" s="52">
        <f t="shared" si="61"/>
        <v>0</v>
      </c>
      <c r="U109" s="53" t="str">
        <f t="shared" si="46"/>
        <v/>
      </c>
      <c r="V109" s="53" t="str">
        <f t="shared" si="47"/>
        <v/>
      </c>
      <c r="W109" s="53" t="str">
        <f t="shared" si="48"/>
        <v/>
      </c>
      <c r="X109" s="46" t="str">
        <f t="shared" si="35"/>
        <v/>
      </c>
      <c r="Y109" s="48"/>
      <c r="Z109" s="41" t="str">
        <f t="shared" si="49"/>
        <v/>
      </c>
      <c r="AA109" s="41" t="str">
        <f t="shared" si="50"/>
        <v/>
      </c>
      <c r="AB109" s="41" t="str">
        <f t="shared" si="36"/>
        <v/>
      </c>
      <c r="AC109" s="41" t="str">
        <f t="shared" si="37"/>
        <v/>
      </c>
      <c r="AD109" s="48"/>
      <c r="AE109" s="41" t="str">
        <f t="shared" si="38"/>
        <v/>
      </c>
      <c r="AF109" s="41"/>
      <c r="AG109" s="41" t="str">
        <f t="shared" si="39"/>
        <v/>
      </c>
      <c r="AH109" s="41" t="str">
        <f t="shared" si="51"/>
        <v/>
      </c>
      <c r="AI109" s="41" t="str">
        <f t="shared" si="52"/>
        <v/>
      </c>
      <c r="AJ109" s="41">
        <f t="shared" si="40"/>
        <v>0</v>
      </c>
      <c r="AK109" s="41" t="str">
        <f t="shared" si="41"/>
        <v/>
      </c>
      <c r="AL109" s="41">
        <f t="shared" si="53"/>
        <v>0</v>
      </c>
      <c r="AM109" s="41">
        <f t="shared" si="42"/>
        <v>0</v>
      </c>
      <c r="AN109" s="41" t="str">
        <f t="shared" si="43"/>
        <v/>
      </c>
      <c r="AO109" s="41">
        <f t="shared" si="60"/>
        <v>0</v>
      </c>
      <c r="AP109" s="48"/>
      <c r="AQ109" s="48"/>
      <c r="AR109" s="48"/>
      <c r="AS109" s="48"/>
      <c r="AT109" s="51">
        <f t="shared" si="54"/>
        <v>105</v>
      </c>
      <c r="AU109" s="49" t="str">
        <f t="shared" si="55"/>
        <v/>
      </c>
      <c r="AV109" s="49" t="str">
        <f t="shared" si="56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0.101635660771537</v>
      </c>
      <c r="C110" s="60">
        <v>85</v>
      </c>
      <c r="D110" s="5">
        <v>124607.58853531604</v>
      </c>
      <c r="I110" s="40"/>
      <c r="J110" s="41"/>
      <c r="K110" s="41" t="str">
        <f t="shared" si="57"/>
        <v/>
      </c>
      <c r="L110" s="42" t="str">
        <f t="shared" si="58"/>
        <v/>
      </c>
      <c r="M110" s="41" t="str">
        <f t="shared" si="59"/>
        <v/>
      </c>
      <c r="N110" s="43">
        <f t="shared" si="31"/>
        <v>0</v>
      </c>
      <c r="O110" s="44">
        <f t="shared" si="32"/>
        <v>0</v>
      </c>
      <c r="P110" s="41" t="str">
        <f t="shared" si="33"/>
        <v/>
      </c>
      <c r="Q110" s="41" t="str">
        <f t="shared" si="34"/>
        <v/>
      </c>
      <c r="R110" s="48"/>
      <c r="S110" s="44" t="str">
        <f t="shared" si="45"/>
        <v/>
      </c>
      <c r="T110" s="52">
        <f t="shared" si="61"/>
        <v>0</v>
      </c>
      <c r="U110" s="53" t="str">
        <f t="shared" si="46"/>
        <v/>
      </c>
      <c r="V110" s="53" t="str">
        <f t="shared" si="47"/>
        <v/>
      </c>
      <c r="W110" s="53" t="str">
        <f t="shared" si="48"/>
        <v/>
      </c>
      <c r="X110" s="46" t="str">
        <f t="shared" si="35"/>
        <v/>
      </c>
      <c r="Y110" s="48"/>
      <c r="Z110" s="41" t="str">
        <f t="shared" si="49"/>
        <v/>
      </c>
      <c r="AA110" s="41" t="str">
        <f t="shared" si="50"/>
        <v/>
      </c>
      <c r="AB110" s="41" t="str">
        <f t="shared" si="36"/>
        <v/>
      </c>
      <c r="AC110" s="41" t="str">
        <f t="shared" si="37"/>
        <v/>
      </c>
      <c r="AD110" s="48"/>
      <c r="AE110" s="41" t="str">
        <f t="shared" si="38"/>
        <v/>
      </c>
      <c r="AF110" s="41"/>
      <c r="AG110" s="41" t="str">
        <f t="shared" si="39"/>
        <v/>
      </c>
      <c r="AH110" s="41" t="str">
        <f t="shared" si="51"/>
        <v/>
      </c>
      <c r="AI110" s="41" t="str">
        <f t="shared" si="52"/>
        <v/>
      </c>
      <c r="AJ110" s="41">
        <f t="shared" si="40"/>
        <v>0</v>
      </c>
      <c r="AK110" s="41" t="str">
        <f t="shared" si="41"/>
        <v/>
      </c>
      <c r="AL110" s="41">
        <f t="shared" si="53"/>
        <v>0</v>
      </c>
      <c r="AM110" s="41">
        <f t="shared" si="42"/>
        <v>0</v>
      </c>
      <c r="AN110" s="41" t="str">
        <f t="shared" si="43"/>
        <v/>
      </c>
      <c r="AO110" s="41">
        <f t="shared" si="60"/>
        <v>0</v>
      </c>
      <c r="AP110" s="48"/>
      <c r="AQ110" s="48"/>
      <c r="AR110" s="48"/>
      <c r="AS110" s="48"/>
      <c r="AT110" s="51">
        <f t="shared" si="54"/>
        <v>106</v>
      </c>
      <c r="AU110" s="49" t="str">
        <f t="shared" si="55"/>
        <v/>
      </c>
      <c r="AV110" s="49" t="str">
        <f t="shared" si="56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0.112763425911817</v>
      </c>
      <c r="C111" s="60">
        <v>86</v>
      </c>
      <c r="D111" s="5">
        <v>128771.24378597096</v>
      </c>
      <c r="I111" s="40"/>
      <c r="J111" s="41"/>
      <c r="K111" s="41" t="str">
        <f t="shared" si="57"/>
        <v/>
      </c>
      <c r="L111" s="42" t="str">
        <f t="shared" si="58"/>
        <v/>
      </c>
      <c r="M111" s="41" t="str">
        <f t="shared" si="59"/>
        <v/>
      </c>
      <c r="N111" s="43">
        <f t="shared" si="31"/>
        <v>0</v>
      </c>
      <c r="O111" s="44">
        <f t="shared" si="32"/>
        <v>0</v>
      </c>
      <c r="P111" s="41" t="str">
        <f t="shared" si="33"/>
        <v/>
      </c>
      <c r="Q111" s="41" t="str">
        <f t="shared" si="34"/>
        <v/>
      </c>
      <c r="R111" s="48"/>
      <c r="S111" s="44" t="str">
        <f t="shared" si="45"/>
        <v/>
      </c>
      <c r="T111" s="52">
        <f t="shared" si="61"/>
        <v>0</v>
      </c>
      <c r="U111" s="53" t="str">
        <f t="shared" si="46"/>
        <v/>
      </c>
      <c r="V111" s="53" t="str">
        <f t="shared" si="47"/>
        <v/>
      </c>
      <c r="W111" s="53" t="str">
        <f t="shared" si="48"/>
        <v/>
      </c>
      <c r="X111" s="46" t="str">
        <f t="shared" si="35"/>
        <v/>
      </c>
      <c r="Y111" s="48"/>
      <c r="Z111" s="41" t="str">
        <f t="shared" si="49"/>
        <v/>
      </c>
      <c r="AA111" s="41" t="str">
        <f t="shared" si="50"/>
        <v/>
      </c>
      <c r="AB111" s="41" t="str">
        <f t="shared" si="36"/>
        <v/>
      </c>
      <c r="AC111" s="41" t="str">
        <f t="shared" si="37"/>
        <v/>
      </c>
      <c r="AD111" s="48"/>
      <c r="AE111" s="41" t="str">
        <f t="shared" si="38"/>
        <v/>
      </c>
      <c r="AF111" s="41"/>
      <c r="AG111" s="41" t="str">
        <f t="shared" si="39"/>
        <v/>
      </c>
      <c r="AH111" s="41" t="str">
        <f t="shared" si="51"/>
        <v/>
      </c>
      <c r="AI111" s="41" t="str">
        <f t="shared" si="52"/>
        <v/>
      </c>
      <c r="AJ111" s="41">
        <f t="shared" si="40"/>
        <v>0</v>
      </c>
      <c r="AK111" s="41" t="str">
        <f t="shared" si="41"/>
        <v/>
      </c>
      <c r="AL111" s="41">
        <f t="shared" si="53"/>
        <v>0</v>
      </c>
      <c r="AM111" s="41">
        <f t="shared" si="42"/>
        <v>0</v>
      </c>
      <c r="AN111" s="41" t="str">
        <f t="shared" si="43"/>
        <v/>
      </c>
      <c r="AO111" s="41">
        <f t="shared" si="60"/>
        <v>0</v>
      </c>
      <c r="AP111" s="48"/>
      <c r="AQ111" s="48"/>
      <c r="AR111" s="48"/>
      <c r="AS111" s="48"/>
      <c r="AT111" s="51">
        <f t="shared" si="54"/>
        <v>107</v>
      </c>
      <c r="AU111" s="49" t="str">
        <f t="shared" si="55"/>
        <v/>
      </c>
      <c r="AV111" s="49" t="str">
        <f t="shared" si="56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0.124909652909276</v>
      </c>
      <c r="C112" s="60">
        <v>87</v>
      </c>
      <c r="D112" s="5">
        <v>132942.8870773009</v>
      </c>
      <c r="I112" s="40"/>
      <c r="J112" s="41"/>
      <c r="K112" s="41" t="str">
        <f t="shared" si="57"/>
        <v/>
      </c>
      <c r="L112" s="42" t="str">
        <f t="shared" si="58"/>
        <v/>
      </c>
      <c r="M112" s="41" t="str">
        <f t="shared" si="59"/>
        <v/>
      </c>
      <c r="N112" s="43">
        <f t="shared" si="31"/>
        <v>0</v>
      </c>
      <c r="O112" s="44">
        <f t="shared" si="32"/>
        <v>0</v>
      </c>
      <c r="P112" s="41" t="str">
        <f t="shared" si="33"/>
        <v/>
      </c>
      <c r="Q112" s="41" t="str">
        <f t="shared" si="34"/>
        <v/>
      </c>
      <c r="R112" s="48"/>
      <c r="S112" s="44" t="str">
        <f t="shared" si="45"/>
        <v/>
      </c>
      <c r="T112" s="52">
        <f t="shared" si="61"/>
        <v>0</v>
      </c>
      <c r="U112" s="53" t="str">
        <f t="shared" si="46"/>
        <v/>
      </c>
      <c r="V112" s="53" t="str">
        <f t="shared" si="47"/>
        <v/>
      </c>
      <c r="W112" s="53" t="str">
        <f t="shared" si="48"/>
        <v/>
      </c>
      <c r="X112" s="46" t="str">
        <f t="shared" si="35"/>
        <v/>
      </c>
      <c r="Y112" s="48"/>
      <c r="Z112" s="41" t="str">
        <f t="shared" si="49"/>
        <v/>
      </c>
      <c r="AA112" s="41" t="str">
        <f t="shared" si="50"/>
        <v/>
      </c>
      <c r="AB112" s="41" t="str">
        <f t="shared" si="36"/>
        <v/>
      </c>
      <c r="AC112" s="41" t="str">
        <f t="shared" si="37"/>
        <v/>
      </c>
      <c r="AD112" s="48"/>
      <c r="AE112" s="41" t="str">
        <f t="shared" si="38"/>
        <v/>
      </c>
      <c r="AF112" s="41"/>
      <c r="AG112" s="41" t="str">
        <f t="shared" si="39"/>
        <v/>
      </c>
      <c r="AH112" s="41" t="str">
        <f t="shared" si="51"/>
        <v/>
      </c>
      <c r="AI112" s="41" t="str">
        <f t="shared" si="52"/>
        <v/>
      </c>
      <c r="AJ112" s="41">
        <f t="shared" si="40"/>
        <v>0</v>
      </c>
      <c r="AK112" s="41" t="str">
        <f t="shared" si="41"/>
        <v/>
      </c>
      <c r="AL112" s="41">
        <f t="shared" si="53"/>
        <v>0</v>
      </c>
      <c r="AM112" s="41">
        <f t="shared" si="42"/>
        <v>0</v>
      </c>
      <c r="AN112" s="41" t="str">
        <f t="shared" si="43"/>
        <v/>
      </c>
      <c r="AO112" s="41">
        <f t="shared" si="60"/>
        <v>0</v>
      </c>
      <c r="AP112" s="48"/>
      <c r="AQ112" s="48"/>
      <c r="AR112" s="48"/>
      <c r="AS112" s="48"/>
      <c r="AT112" s="51">
        <f t="shared" si="54"/>
        <v>108</v>
      </c>
      <c r="AU112" s="49" t="str">
        <f t="shared" si="55"/>
        <v/>
      </c>
      <c r="AV112" s="49" t="str">
        <f t="shared" si="56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0.138031273429987</v>
      </c>
      <c r="C113" s="60">
        <v>88</v>
      </c>
      <c r="D113" s="5">
        <v>137079.56055728591</v>
      </c>
      <c r="I113" s="40"/>
      <c r="J113" s="41"/>
      <c r="K113" s="41" t="str">
        <f t="shared" si="57"/>
        <v/>
      </c>
      <c r="L113" s="42" t="str">
        <f t="shared" si="58"/>
        <v/>
      </c>
      <c r="M113" s="41" t="str">
        <f t="shared" si="59"/>
        <v/>
      </c>
      <c r="N113" s="43">
        <f t="shared" si="31"/>
        <v>0</v>
      </c>
      <c r="O113" s="44">
        <f t="shared" si="32"/>
        <v>0</v>
      </c>
      <c r="P113" s="41" t="str">
        <f t="shared" si="33"/>
        <v/>
      </c>
      <c r="Q113" s="41" t="str">
        <f t="shared" si="34"/>
        <v/>
      </c>
      <c r="R113" s="48"/>
      <c r="S113" s="44" t="str">
        <f t="shared" si="45"/>
        <v/>
      </c>
      <c r="T113" s="52">
        <f t="shared" si="61"/>
        <v>0</v>
      </c>
      <c r="U113" s="53" t="str">
        <f t="shared" si="46"/>
        <v/>
      </c>
      <c r="V113" s="53" t="str">
        <f t="shared" si="47"/>
        <v/>
      </c>
      <c r="W113" s="53" t="str">
        <f t="shared" si="48"/>
        <v/>
      </c>
      <c r="X113" s="46" t="str">
        <f t="shared" si="35"/>
        <v/>
      </c>
      <c r="Y113" s="48"/>
      <c r="Z113" s="41" t="str">
        <f t="shared" si="49"/>
        <v/>
      </c>
      <c r="AA113" s="41" t="str">
        <f t="shared" si="50"/>
        <v/>
      </c>
      <c r="AB113" s="41" t="str">
        <f t="shared" si="36"/>
        <v/>
      </c>
      <c r="AC113" s="41" t="str">
        <f t="shared" si="37"/>
        <v/>
      </c>
      <c r="AD113" s="48"/>
      <c r="AE113" s="41" t="str">
        <f t="shared" si="38"/>
        <v/>
      </c>
      <c r="AF113" s="41"/>
      <c r="AG113" s="41" t="str">
        <f t="shared" si="39"/>
        <v/>
      </c>
      <c r="AH113" s="41" t="str">
        <f t="shared" si="51"/>
        <v/>
      </c>
      <c r="AI113" s="41" t="str">
        <f t="shared" si="52"/>
        <v/>
      </c>
      <c r="AJ113" s="41">
        <f t="shared" si="40"/>
        <v>0</v>
      </c>
      <c r="AK113" s="41" t="str">
        <f t="shared" si="41"/>
        <v/>
      </c>
      <c r="AL113" s="41">
        <f t="shared" si="53"/>
        <v>0</v>
      </c>
      <c r="AM113" s="41">
        <f t="shared" si="42"/>
        <v>0</v>
      </c>
      <c r="AN113" s="41" t="str">
        <f t="shared" si="43"/>
        <v/>
      </c>
      <c r="AO113" s="41">
        <f t="shared" si="60"/>
        <v>0</v>
      </c>
      <c r="AP113" s="48"/>
      <c r="AQ113" s="48"/>
      <c r="AR113" s="48"/>
      <c r="AS113" s="48"/>
      <c r="AT113" s="51">
        <f t="shared" si="54"/>
        <v>109</v>
      </c>
      <c r="AU113" s="49" t="str">
        <f t="shared" si="55"/>
        <v/>
      </c>
      <c r="AV113" s="49" t="str">
        <f t="shared" si="56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0.15248948848157601</v>
      </c>
      <c r="C114" s="60">
        <v>89</v>
      </c>
      <c r="D114" s="5">
        <v>141169.67626561678</v>
      </c>
      <c r="I114" s="40"/>
      <c r="J114" s="41"/>
      <c r="K114" s="41" t="str">
        <f t="shared" si="57"/>
        <v/>
      </c>
      <c r="L114" s="42" t="str">
        <f t="shared" si="58"/>
        <v/>
      </c>
      <c r="M114" s="41" t="str">
        <f t="shared" si="59"/>
        <v/>
      </c>
      <c r="N114" s="43">
        <f t="shared" si="31"/>
        <v>0</v>
      </c>
      <c r="O114" s="44">
        <f t="shared" si="32"/>
        <v>0</v>
      </c>
      <c r="P114" s="41" t="str">
        <f t="shared" si="33"/>
        <v/>
      </c>
      <c r="Q114" s="41" t="str">
        <f t="shared" si="34"/>
        <v/>
      </c>
      <c r="R114" s="48"/>
      <c r="S114" s="44" t="str">
        <f t="shared" si="45"/>
        <v/>
      </c>
      <c r="T114" s="52">
        <f t="shared" si="61"/>
        <v>0</v>
      </c>
      <c r="U114" s="53" t="str">
        <f t="shared" si="46"/>
        <v/>
      </c>
      <c r="V114" s="53" t="str">
        <f t="shared" si="47"/>
        <v/>
      </c>
      <c r="W114" s="53" t="str">
        <f t="shared" si="48"/>
        <v/>
      </c>
      <c r="X114" s="46" t="str">
        <f t="shared" si="35"/>
        <v/>
      </c>
      <c r="Y114" s="48"/>
      <c r="Z114" s="41" t="str">
        <f t="shared" si="49"/>
        <v/>
      </c>
      <c r="AA114" s="41" t="str">
        <f t="shared" si="50"/>
        <v/>
      </c>
      <c r="AB114" s="41" t="str">
        <f t="shared" si="36"/>
        <v/>
      </c>
      <c r="AC114" s="41" t="str">
        <f t="shared" si="37"/>
        <v/>
      </c>
      <c r="AD114" s="48"/>
      <c r="AE114" s="41" t="str">
        <f t="shared" si="38"/>
        <v/>
      </c>
      <c r="AF114" s="41"/>
      <c r="AG114" s="41" t="str">
        <f t="shared" si="39"/>
        <v/>
      </c>
      <c r="AH114" s="41" t="str">
        <f t="shared" si="51"/>
        <v/>
      </c>
      <c r="AI114" s="41" t="str">
        <f t="shared" si="52"/>
        <v/>
      </c>
      <c r="AJ114" s="41">
        <f t="shared" si="40"/>
        <v>0</v>
      </c>
      <c r="AK114" s="41" t="str">
        <f t="shared" si="41"/>
        <v/>
      </c>
      <c r="AL114" s="41">
        <f t="shared" si="53"/>
        <v>0</v>
      </c>
      <c r="AM114" s="41">
        <f t="shared" si="42"/>
        <v>0</v>
      </c>
      <c r="AN114" s="41" t="str">
        <f t="shared" si="43"/>
        <v/>
      </c>
      <c r="AO114" s="41">
        <f t="shared" si="60"/>
        <v>0</v>
      </c>
      <c r="AP114" s="48"/>
      <c r="AQ114" s="48"/>
      <c r="AR114" s="48"/>
      <c r="AS114" s="48"/>
      <c r="AT114" s="51">
        <f t="shared" si="54"/>
        <v>110</v>
      </c>
      <c r="AU114" s="49" t="str">
        <f t="shared" si="55"/>
        <v/>
      </c>
      <c r="AV114" s="49" t="str">
        <f t="shared" si="56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0.16847775353087699</v>
      </c>
      <c r="C115" s="60">
        <v>90</v>
      </c>
      <c r="D115" s="5">
        <v>145141.57406972258</v>
      </c>
      <c r="I115" s="40"/>
      <c r="J115" s="41"/>
      <c r="K115" s="41" t="str">
        <f t="shared" si="57"/>
        <v/>
      </c>
      <c r="L115" s="42" t="str">
        <f t="shared" si="58"/>
        <v/>
      </c>
      <c r="M115" s="41" t="str">
        <f t="shared" si="59"/>
        <v/>
      </c>
      <c r="N115" s="43">
        <f t="shared" si="31"/>
        <v>0</v>
      </c>
      <c r="O115" s="44">
        <f t="shared" si="32"/>
        <v>0</v>
      </c>
      <c r="P115" s="41" t="str">
        <f t="shared" si="33"/>
        <v/>
      </c>
      <c r="Q115" s="41" t="str">
        <f t="shared" si="34"/>
        <v/>
      </c>
      <c r="R115" s="48"/>
      <c r="S115" s="44" t="str">
        <f t="shared" si="45"/>
        <v/>
      </c>
      <c r="T115" s="52">
        <f t="shared" si="61"/>
        <v>0</v>
      </c>
      <c r="U115" s="53" t="str">
        <f t="shared" si="46"/>
        <v/>
      </c>
      <c r="V115" s="53" t="str">
        <f t="shared" si="47"/>
        <v/>
      </c>
      <c r="W115" s="53" t="str">
        <f t="shared" si="48"/>
        <v/>
      </c>
      <c r="X115" s="46" t="str">
        <f t="shared" si="35"/>
        <v/>
      </c>
      <c r="Y115" s="48"/>
      <c r="Z115" s="41" t="str">
        <f t="shared" si="49"/>
        <v/>
      </c>
      <c r="AA115" s="41" t="str">
        <f t="shared" si="50"/>
        <v/>
      </c>
      <c r="AB115" s="41" t="str">
        <f t="shared" si="36"/>
        <v/>
      </c>
      <c r="AC115" s="41" t="str">
        <f t="shared" si="37"/>
        <v/>
      </c>
      <c r="AD115" s="48"/>
      <c r="AE115" s="41" t="str">
        <f t="shared" si="38"/>
        <v/>
      </c>
      <c r="AF115" s="41"/>
      <c r="AG115" s="41" t="str">
        <f t="shared" si="39"/>
        <v/>
      </c>
      <c r="AH115" s="41" t="str">
        <f t="shared" si="51"/>
        <v/>
      </c>
      <c r="AI115" s="41" t="str">
        <f t="shared" si="52"/>
        <v/>
      </c>
      <c r="AJ115" s="41">
        <f t="shared" si="40"/>
        <v>0</v>
      </c>
      <c r="AK115" s="41" t="str">
        <f t="shared" si="41"/>
        <v/>
      </c>
      <c r="AL115" s="41">
        <f t="shared" si="53"/>
        <v>0</v>
      </c>
      <c r="AM115" s="41">
        <f t="shared" si="42"/>
        <v>0</v>
      </c>
      <c r="AN115" s="41" t="str">
        <f t="shared" si="43"/>
        <v/>
      </c>
      <c r="AO115" s="41">
        <f t="shared" si="60"/>
        <v>0</v>
      </c>
      <c r="AP115" s="48"/>
      <c r="AQ115" s="48"/>
      <c r="AR115" s="48"/>
      <c r="AS115" s="48"/>
      <c r="AT115" s="51">
        <f t="shared" si="54"/>
        <v>111</v>
      </c>
      <c r="AU115" s="49" t="str">
        <f t="shared" si="55"/>
        <v/>
      </c>
      <c r="AV115" s="49" t="str">
        <f t="shared" si="56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0.184357797808895</v>
      </c>
      <c r="C116" s="60">
        <v>91</v>
      </c>
      <c r="D116" s="5">
        <v>149037.74113906757</v>
      </c>
      <c r="I116" s="40"/>
      <c r="J116" s="41"/>
      <c r="K116" s="41" t="str">
        <f t="shared" si="57"/>
        <v/>
      </c>
      <c r="L116" s="42" t="str">
        <f t="shared" si="58"/>
        <v/>
      </c>
      <c r="M116" s="41" t="str">
        <f t="shared" si="59"/>
        <v/>
      </c>
      <c r="N116" s="43">
        <f t="shared" si="31"/>
        <v>0</v>
      </c>
      <c r="O116" s="44">
        <f t="shared" si="32"/>
        <v>0</v>
      </c>
      <c r="P116" s="41" t="str">
        <f t="shared" si="33"/>
        <v/>
      </c>
      <c r="Q116" s="41" t="str">
        <f t="shared" si="34"/>
        <v/>
      </c>
      <c r="R116" s="48"/>
      <c r="S116" s="44" t="str">
        <f t="shared" si="45"/>
        <v/>
      </c>
      <c r="T116" s="52">
        <f t="shared" si="61"/>
        <v>0</v>
      </c>
      <c r="U116" s="53" t="str">
        <f t="shared" si="46"/>
        <v/>
      </c>
      <c r="V116" s="53" t="str">
        <f t="shared" si="47"/>
        <v/>
      </c>
      <c r="W116" s="53" t="str">
        <f t="shared" si="48"/>
        <v/>
      </c>
      <c r="X116" s="46" t="str">
        <f t="shared" si="35"/>
        <v/>
      </c>
      <c r="Y116" s="48"/>
      <c r="Z116" s="41" t="str">
        <f t="shared" si="49"/>
        <v/>
      </c>
      <c r="AA116" s="41" t="str">
        <f t="shared" si="50"/>
        <v/>
      </c>
      <c r="AB116" s="41" t="str">
        <f t="shared" si="36"/>
        <v/>
      </c>
      <c r="AC116" s="41" t="str">
        <f t="shared" si="37"/>
        <v/>
      </c>
      <c r="AD116" s="48"/>
      <c r="AE116" s="41" t="str">
        <f t="shared" si="38"/>
        <v/>
      </c>
      <c r="AF116" s="41"/>
      <c r="AG116" s="41" t="str">
        <f t="shared" si="39"/>
        <v/>
      </c>
      <c r="AH116" s="41" t="str">
        <f t="shared" si="51"/>
        <v/>
      </c>
      <c r="AI116" s="41" t="str">
        <f t="shared" si="52"/>
        <v/>
      </c>
      <c r="AJ116" s="41">
        <f t="shared" si="40"/>
        <v>0</v>
      </c>
      <c r="AK116" s="41" t="str">
        <f t="shared" si="41"/>
        <v/>
      </c>
      <c r="AL116" s="41">
        <f t="shared" si="53"/>
        <v>0</v>
      </c>
      <c r="AM116" s="41">
        <f t="shared" si="42"/>
        <v>0</v>
      </c>
      <c r="AN116" s="41" t="str">
        <f t="shared" si="43"/>
        <v/>
      </c>
      <c r="AO116" s="41">
        <f t="shared" si="60"/>
        <v>0</v>
      </c>
      <c r="AP116" s="48"/>
      <c r="AQ116" s="48"/>
      <c r="AR116" s="48"/>
      <c r="AS116" s="48"/>
      <c r="AT116" s="51">
        <f t="shared" si="54"/>
        <v>112</v>
      </c>
      <c r="AU116" s="49" t="str">
        <f t="shared" si="55"/>
        <v/>
      </c>
      <c r="AV116" s="49" t="str">
        <f t="shared" si="56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0.20150767026226199</v>
      </c>
      <c r="C117" s="60">
        <v>92</v>
      </c>
      <c r="D117" s="5">
        <v>152840.40231040254</v>
      </c>
      <c r="I117" s="40"/>
      <c r="J117" s="41"/>
      <c r="K117" s="41" t="str">
        <f t="shared" si="57"/>
        <v/>
      </c>
      <c r="L117" s="42" t="str">
        <f t="shared" si="58"/>
        <v/>
      </c>
      <c r="M117" s="41" t="str">
        <f t="shared" si="59"/>
        <v/>
      </c>
      <c r="N117" s="43">
        <f t="shared" si="31"/>
        <v>0</v>
      </c>
      <c r="O117" s="44">
        <f t="shared" si="32"/>
        <v>0</v>
      </c>
      <c r="P117" s="41" t="str">
        <f t="shared" si="33"/>
        <v/>
      </c>
      <c r="Q117" s="41" t="str">
        <f t="shared" si="34"/>
        <v/>
      </c>
      <c r="R117" s="48"/>
      <c r="S117" s="44" t="str">
        <f t="shared" si="45"/>
        <v/>
      </c>
      <c r="T117" s="52">
        <f t="shared" si="61"/>
        <v>0</v>
      </c>
      <c r="U117" s="53" t="str">
        <f t="shared" si="46"/>
        <v/>
      </c>
      <c r="V117" s="53" t="str">
        <f t="shared" si="47"/>
        <v/>
      </c>
      <c r="W117" s="53" t="str">
        <f t="shared" si="48"/>
        <v/>
      </c>
      <c r="X117" s="46" t="str">
        <f t="shared" si="35"/>
        <v/>
      </c>
      <c r="Y117" s="48"/>
      <c r="Z117" s="41" t="str">
        <f t="shared" si="49"/>
        <v/>
      </c>
      <c r="AA117" s="41" t="str">
        <f t="shared" si="50"/>
        <v/>
      </c>
      <c r="AB117" s="41" t="str">
        <f t="shared" si="36"/>
        <v/>
      </c>
      <c r="AC117" s="41" t="str">
        <f t="shared" si="37"/>
        <v/>
      </c>
      <c r="AD117" s="48"/>
      <c r="AE117" s="41" t="str">
        <f t="shared" si="38"/>
        <v/>
      </c>
      <c r="AF117" s="41"/>
      <c r="AG117" s="41" t="str">
        <f t="shared" si="39"/>
        <v/>
      </c>
      <c r="AH117" s="41" t="str">
        <f t="shared" si="51"/>
        <v/>
      </c>
      <c r="AI117" s="41" t="str">
        <f t="shared" si="52"/>
        <v/>
      </c>
      <c r="AJ117" s="41">
        <f t="shared" si="40"/>
        <v>0</v>
      </c>
      <c r="AK117" s="41" t="str">
        <f t="shared" si="41"/>
        <v/>
      </c>
      <c r="AL117" s="41">
        <f t="shared" si="53"/>
        <v>0</v>
      </c>
      <c r="AM117" s="41">
        <f t="shared" si="42"/>
        <v>0</v>
      </c>
      <c r="AN117" s="41" t="str">
        <f t="shared" si="43"/>
        <v/>
      </c>
      <c r="AO117" s="41">
        <f t="shared" si="60"/>
        <v>0</v>
      </c>
      <c r="AP117" s="48"/>
      <c r="AQ117" s="48"/>
      <c r="AR117" s="48"/>
      <c r="AS117" s="48"/>
      <c r="AT117" s="51">
        <f t="shared" si="54"/>
        <v>113</v>
      </c>
      <c r="AU117" s="49" t="str">
        <f t="shared" si="55"/>
        <v/>
      </c>
      <c r="AV117" s="49" t="str">
        <f t="shared" si="56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0.21947818412782699</v>
      </c>
      <c r="C118" s="60">
        <v>93</v>
      </c>
      <c r="D118" s="5">
        <v>156527.89964118422</v>
      </c>
      <c r="I118" s="40"/>
      <c r="J118" s="41"/>
      <c r="K118" s="41" t="str">
        <f t="shared" si="57"/>
        <v/>
      </c>
      <c r="L118" s="42" t="str">
        <f t="shared" si="58"/>
        <v/>
      </c>
      <c r="M118" s="41" t="str">
        <f t="shared" si="59"/>
        <v/>
      </c>
      <c r="N118" s="43">
        <f t="shared" si="31"/>
        <v>0</v>
      </c>
      <c r="O118" s="44">
        <f t="shared" si="32"/>
        <v>0</v>
      </c>
      <c r="P118" s="41" t="str">
        <f t="shared" si="33"/>
        <v/>
      </c>
      <c r="Q118" s="41" t="str">
        <f t="shared" si="34"/>
        <v/>
      </c>
      <c r="R118" s="48"/>
      <c r="S118" s="44" t="str">
        <f t="shared" si="45"/>
        <v/>
      </c>
      <c r="T118" s="52">
        <f t="shared" si="61"/>
        <v>0</v>
      </c>
      <c r="U118" s="53" t="str">
        <f t="shared" si="46"/>
        <v/>
      </c>
      <c r="V118" s="53" t="str">
        <f t="shared" si="47"/>
        <v/>
      </c>
      <c r="W118" s="53" t="str">
        <f t="shared" si="48"/>
        <v/>
      </c>
      <c r="X118" s="46" t="str">
        <f t="shared" si="35"/>
        <v/>
      </c>
      <c r="Y118" s="48"/>
      <c r="Z118" s="41" t="str">
        <f t="shared" si="49"/>
        <v/>
      </c>
      <c r="AA118" s="41" t="str">
        <f t="shared" si="50"/>
        <v/>
      </c>
      <c r="AB118" s="41" t="str">
        <f t="shared" si="36"/>
        <v/>
      </c>
      <c r="AC118" s="41" t="str">
        <f t="shared" si="37"/>
        <v/>
      </c>
      <c r="AD118" s="48"/>
      <c r="AE118" s="41" t="str">
        <f t="shared" si="38"/>
        <v/>
      </c>
      <c r="AF118" s="41"/>
      <c r="AG118" s="41" t="str">
        <f t="shared" si="39"/>
        <v/>
      </c>
      <c r="AH118" s="41" t="str">
        <f t="shared" si="51"/>
        <v/>
      </c>
      <c r="AI118" s="41" t="str">
        <f t="shared" si="52"/>
        <v/>
      </c>
      <c r="AJ118" s="41">
        <f t="shared" si="40"/>
        <v>0</v>
      </c>
      <c r="AK118" s="41" t="str">
        <f t="shared" si="41"/>
        <v/>
      </c>
      <c r="AL118" s="41">
        <f t="shared" si="53"/>
        <v>0</v>
      </c>
      <c r="AM118" s="41">
        <f t="shared" si="42"/>
        <v>0</v>
      </c>
      <c r="AN118" s="41" t="str">
        <f t="shared" si="43"/>
        <v/>
      </c>
      <c r="AO118" s="41">
        <f t="shared" si="60"/>
        <v>0</v>
      </c>
      <c r="AP118" s="48"/>
      <c r="AQ118" s="48"/>
      <c r="AR118" s="48"/>
      <c r="AS118" s="48"/>
      <c r="AT118" s="51">
        <f t="shared" si="54"/>
        <v>114</v>
      </c>
      <c r="AU118" s="49" t="str">
        <f t="shared" si="55"/>
        <v/>
      </c>
      <c r="AV118" s="49" t="str">
        <f t="shared" si="56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0.23804537449478999</v>
      </c>
      <c r="C119" s="60">
        <v>94</v>
      </c>
      <c r="D119" s="5">
        <v>160124.34943359028</v>
      </c>
      <c r="I119" s="40"/>
      <c r="J119" s="41"/>
      <c r="K119" s="41" t="str">
        <f t="shared" si="57"/>
        <v/>
      </c>
      <c r="L119" s="42" t="str">
        <f t="shared" si="58"/>
        <v/>
      </c>
      <c r="M119" s="41" t="str">
        <f t="shared" si="59"/>
        <v/>
      </c>
      <c r="N119" s="43">
        <f t="shared" si="31"/>
        <v>0</v>
      </c>
      <c r="O119" s="44">
        <f t="shared" si="32"/>
        <v>0</v>
      </c>
      <c r="P119" s="41" t="str">
        <f t="shared" si="33"/>
        <v/>
      </c>
      <c r="Q119" s="41" t="str">
        <f t="shared" si="34"/>
        <v/>
      </c>
      <c r="R119" s="48"/>
      <c r="S119" s="44" t="str">
        <f t="shared" si="45"/>
        <v/>
      </c>
      <c r="T119" s="52">
        <f t="shared" si="61"/>
        <v>0</v>
      </c>
      <c r="U119" s="53" t="str">
        <f t="shared" si="46"/>
        <v/>
      </c>
      <c r="V119" s="53" t="str">
        <f t="shared" si="47"/>
        <v/>
      </c>
      <c r="W119" s="53" t="str">
        <f t="shared" si="48"/>
        <v/>
      </c>
      <c r="X119" s="46" t="str">
        <f t="shared" si="35"/>
        <v/>
      </c>
      <c r="Y119" s="48"/>
      <c r="Z119" s="41" t="str">
        <f t="shared" si="49"/>
        <v/>
      </c>
      <c r="AA119" s="41" t="str">
        <f t="shared" si="50"/>
        <v/>
      </c>
      <c r="AB119" s="41" t="str">
        <f t="shared" si="36"/>
        <v/>
      </c>
      <c r="AC119" s="41" t="str">
        <f t="shared" si="37"/>
        <v/>
      </c>
      <c r="AD119" s="48"/>
      <c r="AE119" s="41" t="str">
        <f t="shared" si="38"/>
        <v/>
      </c>
      <c r="AF119" s="41"/>
      <c r="AG119" s="41" t="str">
        <f t="shared" si="39"/>
        <v/>
      </c>
      <c r="AH119" s="41" t="str">
        <f t="shared" si="51"/>
        <v/>
      </c>
      <c r="AI119" s="41" t="str">
        <f t="shared" si="52"/>
        <v/>
      </c>
      <c r="AJ119" s="41">
        <f t="shared" si="40"/>
        <v>0</v>
      </c>
      <c r="AK119" s="41" t="str">
        <f t="shared" si="41"/>
        <v/>
      </c>
      <c r="AL119" s="41">
        <f t="shared" si="53"/>
        <v>0</v>
      </c>
      <c r="AM119" s="41">
        <f t="shared" si="42"/>
        <v>0</v>
      </c>
      <c r="AN119" s="41" t="str">
        <f t="shared" si="43"/>
        <v/>
      </c>
      <c r="AO119" s="41">
        <f t="shared" si="60"/>
        <v>0</v>
      </c>
      <c r="AP119" s="48"/>
      <c r="AQ119" s="48"/>
      <c r="AR119" s="48"/>
      <c r="AS119" s="48"/>
      <c r="AT119" s="51">
        <f t="shared" si="54"/>
        <v>115</v>
      </c>
      <c r="AU119" s="49" t="str">
        <f t="shared" si="55"/>
        <v/>
      </c>
      <c r="AV119" s="49" t="str">
        <f t="shared" si="56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0.25796651698627698</v>
      </c>
      <c r="C120" s="60">
        <v>95</v>
      </c>
      <c r="D120" s="5">
        <v>163589.23165241088</v>
      </c>
      <c r="I120" s="40"/>
      <c r="J120" s="41"/>
      <c r="K120" s="41" t="str">
        <f t="shared" si="57"/>
        <v/>
      </c>
      <c r="L120" s="42" t="str">
        <f t="shared" si="58"/>
        <v/>
      </c>
      <c r="M120" s="41" t="str">
        <f t="shared" si="59"/>
        <v/>
      </c>
      <c r="N120" s="43">
        <f t="shared" si="31"/>
        <v>0</v>
      </c>
      <c r="O120" s="44">
        <f t="shared" si="32"/>
        <v>0</v>
      </c>
      <c r="P120" s="41" t="str">
        <f t="shared" si="33"/>
        <v/>
      </c>
      <c r="Q120" s="41" t="str">
        <f t="shared" si="34"/>
        <v/>
      </c>
      <c r="R120" s="48"/>
      <c r="S120" s="44" t="str">
        <f t="shared" si="45"/>
        <v/>
      </c>
      <c r="T120" s="52">
        <f t="shared" si="61"/>
        <v>0</v>
      </c>
      <c r="U120" s="53" t="str">
        <f t="shared" si="46"/>
        <v/>
      </c>
      <c r="V120" s="53" t="str">
        <f t="shared" si="47"/>
        <v/>
      </c>
      <c r="W120" s="53" t="str">
        <f t="shared" si="48"/>
        <v/>
      </c>
      <c r="X120" s="46" t="str">
        <f t="shared" si="35"/>
        <v/>
      </c>
      <c r="Y120" s="48"/>
      <c r="Z120" s="41" t="str">
        <f t="shared" si="49"/>
        <v/>
      </c>
      <c r="AA120" s="41" t="str">
        <f t="shared" si="50"/>
        <v/>
      </c>
      <c r="AB120" s="41" t="str">
        <f t="shared" si="36"/>
        <v/>
      </c>
      <c r="AC120" s="41" t="str">
        <f t="shared" si="37"/>
        <v/>
      </c>
      <c r="AD120" s="48"/>
      <c r="AE120" s="41" t="str">
        <f t="shared" si="38"/>
        <v/>
      </c>
      <c r="AF120" s="41"/>
      <c r="AG120" s="41" t="str">
        <f t="shared" si="39"/>
        <v/>
      </c>
      <c r="AH120" s="41" t="str">
        <f t="shared" si="51"/>
        <v/>
      </c>
      <c r="AI120" s="41" t="str">
        <f t="shared" si="52"/>
        <v/>
      </c>
      <c r="AJ120" s="41">
        <f t="shared" si="40"/>
        <v>0</v>
      </c>
      <c r="AK120" s="41" t="str">
        <f t="shared" si="41"/>
        <v/>
      </c>
      <c r="AL120" s="41">
        <f t="shared" si="53"/>
        <v>0</v>
      </c>
      <c r="AM120" s="41">
        <f t="shared" si="42"/>
        <v>0</v>
      </c>
      <c r="AN120" s="41" t="str">
        <f t="shared" si="43"/>
        <v/>
      </c>
      <c r="AO120" s="41">
        <f t="shared" si="60"/>
        <v>0</v>
      </c>
      <c r="AP120" s="48"/>
      <c r="AQ120" s="48"/>
      <c r="AR120" s="48"/>
      <c r="AS120" s="48"/>
      <c r="AT120" s="51">
        <f t="shared" si="54"/>
        <v>116</v>
      </c>
      <c r="AU120" s="49" t="str">
        <f t="shared" si="55"/>
        <v/>
      </c>
      <c r="AV120" s="49" t="str">
        <f t="shared" si="56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0.278455403956544</v>
      </c>
      <c r="C121" s="60">
        <v>96</v>
      </c>
      <c r="D121" s="5">
        <v>166941.08669346452</v>
      </c>
      <c r="I121" s="40"/>
      <c r="J121" s="41"/>
      <c r="K121" s="41" t="str">
        <f t="shared" si="57"/>
        <v/>
      </c>
      <c r="L121" s="42" t="str">
        <f t="shared" si="58"/>
        <v/>
      </c>
      <c r="M121" s="41" t="str">
        <f t="shared" si="59"/>
        <v/>
      </c>
      <c r="N121" s="43">
        <f t="shared" si="31"/>
        <v>0</v>
      </c>
      <c r="O121" s="44">
        <f t="shared" si="32"/>
        <v>0</v>
      </c>
      <c r="P121" s="41" t="str">
        <f t="shared" si="33"/>
        <v/>
      </c>
      <c r="Q121" s="41" t="str">
        <f t="shared" si="34"/>
        <v/>
      </c>
      <c r="R121" s="48"/>
      <c r="S121" s="44" t="str">
        <f t="shared" si="45"/>
        <v/>
      </c>
      <c r="T121" s="52">
        <f t="shared" si="61"/>
        <v>0</v>
      </c>
      <c r="U121" s="53" t="str">
        <f t="shared" si="46"/>
        <v/>
      </c>
      <c r="V121" s="53" t="str">
        <f t="shared" si="47"/>
        <v/>
      </c>
      <c r="W121" s="53" t="str">
        <f t="shared" si="48"/>
        <v/>
      </c>
      <c r="X121" s="46" t="str">
        <f t="shared" si="35"/>
        <v/>
      </c>
      <c r="Y121" s="48"/>
      <c r="Z121" s="41" t="str">
        <f t="shared" si="49"/>
        <v/>
      </c>
      <c r="AA121" s="41" t="str">
        <f t="shared" si="50"/>
        <v/>
      </c>
      <c r="AB121" s="41" t="str">
        <f t="shared" si="36"/>
        <v/>
      </c>
      <c r="AC121" s="41" t="str">
        <f t="shared" si="37"/>
        <v/>
      </c>
      <c r="AD121" s="48"/>
      <c r="AE121" s="41" t="str">
        <f t="shared" si="38"/>
        <v/>
      </c>
      <c r="AF121" s="41"/>
      <c r="AG121" s="41" t="str">
        <f t="shared" si="39"/>
        <v/>
      </c>
      <c r="AH121" s="41" t="str">
        <f t="shared" si="51"/>
        <v/>
      </c>
      <c r="AI121" s="41" t="str">
        <f t="shared" si="52"/>
        <v/>
      </c>
      <c r="AJ121" s="41">
        <f t="shared" si="40"/>
        <v>0</v>
      </c>
      <c r="AK121" s="41" t="str">
        <f t="shared" si="41"/>
        <v/>
      </c>
      <c r="AL121" s="41">
        <f t="shared" si="53"/>
        <v>0</v>
      </c>
      <c r="AM121" s="41">
        <f t="shared" si="42"/>
        <v>0</v>
      </c>
      <c r="AN121" s="41" t="str">
        <f t="shared" si="43"/>
        <v/>
      </c>
      <c r="AO121" s="41">
        <f t="shared" si="60"/>
        <v>0</v>
      </c>
      <c r="AP121" s="48"/>
      <c r="AQ121" s="48"/>
      <c r="AR121" s="48"/>
      <c r="AS121" s="48"/>
      <c r="AT121" s="51">
        <f t="shared" si="54"/>
        <v>117</v>
      </c>
      <c r="AU121" s="49" t="str">
        <f t="shared" si="55"/>
        <v/>
      </c>
      <c r="AV121" s="49" t="str">
        <f t="shared" si="56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0.30015508886632802</v>
      </c>
      <c r="C122" s="60">
        <v>97</v>
      </c>
      <c r="D122" s="5">
        <v>170158.12771444043</v>
      </c>
      <c r="I122" s="40"/>
      <c r="J122" s="41"/>
      <c r="K122" s="41" t="str">
        <f t="shared" si="57"/>
        <v/>
      </c>
      <c r="L122" s="42" t="str">
        <f t="shared" si="58"/>
        <v/>
      </c>
      <c r="M122" s="41" t="str">
        <f t="shared" si="59"/>
        <v/>
      </c>
      <c r="N122" s="43">
        <f t="shared" si="31"/>
        <v>0</v>
      </c>
      <c r="O122" s="44">
        <f t="shared" si="32"/>
        <v>0</v>
      </c>
      <c r="P122" s="41" t="str">
        <f t="shared" si="33"/>
        <v/>
      </c>
      <c r="Q122" s="41" t="str">
        <f t="shared" si="34"/>
        <v/>
      </c>
      <c r="R122" s="48"/>
      <c r="S122" s="44" t="str">
        <f t="shared" si="45"/>
        <v/>
      </c>
      <c r="T122" s="52">
        <f t="shared" si="61"/>
        <v>0</v>
      </c>
      <c r="U122" s="53" t="str">
        <f t="shared" si="46"/>
        <v/>
      </c>
      <c r="V122" s="53" t="str">
        <f t="shared" si="47"/>
        <v/>
      </c>
      <c r="W122" s="53" t="str">
        <f t="shared" si="48"/>
        <v/>
      </c>
      <c r="X122" s="46" t="str">
        <f t="shared" si="35"/>
        <v/>
      </c>
      <c r="Y122" s="48"/>
      <c r="Z122" s="41" t="str">
        <f t="shared" si="49"/>
        <v/>
      </c>
      <c r="AA122" s="41" t="str">
        <f t="shared" si="50"/>
        <v/>
      </c>
      <c r="AB122" s="41" t="str">
        <f t="shared" si="36"/>
        <v/>
      </c>
      <c r="AC122" s="41" t="str">
        <f t="shared" si="37"/>
        <v/>
      </c>
      <c r="AD122" s="48"/>
      <c r="AE122" s="41" t="str">
        <f t="shared" si="38"/>
        <v/>
      </c>
      <c r="AF122" s="41"/>
      <c r="AG122" s="41" t="str">
        <f t="shared" si="39"/>
        <v/>
      </c>
      <c r="AH122" s="41" t="str">
        <f t="shared" si="51"/>
        <v/>
      </c>
      <c r="AI122" s="41" t="str">
        <f t="shared" si="52"/>
        <v/>
      </c>
      <c r="AJ122" s="41">
        <f t="shared" si="40"/>
        <v>0</v>
      </c>
      <c r="AK122" s="41" t="str">
        <f t="shared" si="41"/>
        <v/>
      </c>
      <c r="AL122" s="41">
        <f t="shared" si="53"/>
        <v>0</v>
      </c>
      <c r="AM122" s="41">
        <f t="shared" si="42"/>
        <v>0</v>
      </c>
      <c r="AN122" s="41" t="str">
        <f t="shared" si="43"/>
        <v/>
      </c>
      <c r="AO122" s="41">
        <f t="shared" si="60"/>
        <v>0</v>
      </c>
      <c r="AP122" s="48"/>
      <c r="AQ122" s="48"/>
      <c r="AR122" s="48"/>
      <c r="AS122" s="48"/>
      <c r="AT122" s="51">
        <f t="shared" si="54"/>
        <v>118</v>
      </c>
      <c r="AU122" s="49" t="str">
        <f t="shared" si="55"/>
        <v/>
      </c>
      <c r="AV122" s="49" t="str">
        <f t="shared" si="56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0.32312675535603602</v>
      </c>
      <c r="C123" s="60">
        <v>98</v>
      </c>
      <c r="D123" s="5">
        <v>173204.37968521329</v>
      </c>
      <c r="I123" s="40"/>
      <c r="J123" s="41"/>
      <c r="K123" s="41" t="str">
        <f t="shared" si="57"/>
        <v/>
      </c>
      <c r="L123" s="42" t="str">
        <f t="shared" si="58"/>
        <v/>
      </c>
      <c r="M123" s="41" t="str">
        <f t="shared" si="59"/>
        <v/>
      </c>
      <c r="N123" s="43">
        <f t="shared" si="31"/>
        <v>0</v>
      </c>
      <c r="O123" s="44">
        <f t="shared" si="32"/>
        <v>0</v>
      </c>
      <c r="P123" s="41" t="str">
        <f t="shared" si="33"/>
        <v/>
      </c>
      <c r="Q123" s="41" t="str">
        <f t="shared" si="34"/>
        <v/>
      </c>
      <c r="R123" s="48"/>
      <c r="S123" s="44" t="str">
        <f t="shared" si="45"/>
        <v/>
      </c>
      <c r="T123" s="52">
        <f t="shared" si="61"/>
        <v>0</v>
      </c>
      <c r="U123" s="53" t="str">
        <f t="shared" si="46"/>
        <v/>
      </c>
      <c r="V123" s="53" t="str">
        <f t="shared" si="47"/>
        <v/>
      </c>
      <c r="W123" s="53" t="str">
        <f t="shared" si="48"/>
        <v/>
      </c>
      <c r="X123" s="46" t="str">
        <f t="shared" si="35"/>
        <v/>
      </c>
      <c r="Y123" s="48"/>
      <c r="Z123" s="41" t="str">
        <f t="shared" si="49"/>
        <v/>
      </c>
      <c r="AA123" s="41" t="str">
        <f t="shared" si="50"/>
        <v/>
      </c>
      <c r="AB123" s="41" t="str">
        <f t="shared" si="36"/>
        <v/>
      </c>
      <c r="AC123" s="41" t="str">
        <f t="shared" si="37"/>
        <v/>
      </c>
      <c r="AD123" s="48"/>
      <c r="AE123" s="41" t="str">
        <f t="shared" si="38"/>
        <v/>
      </c>
      <c r="AF123" s="41"/>
      <c r="AG123" s="41" t="str">
        <f t="shared" si="39"/>
        <v/>
      </c>
      <c r="AH123" s="41" t="str">
        <f t="shared" si="51"/>
        <v/>
      </c>
      <c r="AI123" s="41" t="str">
        <f t="shared" si="52"/>
        <v/>
      </c>
      <c r="AJ123" s="41">
        <f t="shared" si="40"/>
        <v>0</v>
      </c>
      <c r="AK123" s="41" t="str">
        <f t="shared" si="41"/>
        <v/>
      </c>
      <c r="AL123" s="41">
        <f t="shared" si="53"/>
        <v>0</v>
      </c>
      <c r="AM123" s="41">
        <f t="shared" si="42"/>
        <v>0</v>
      </c>
      <c r="AN123" s="41" t="str">
        <f t="shared" si="43"/>
        <v/>
      </c>
      <c r="AO123" s="41">
        <f t="shared" si="60"/>
        <v>0</v>
      </c>
      <c r="AP123" s="48"/>
      <c r="AQ123" s="48"/>
      <c r="AR123" s="48"/>
      <c r="AS123" s="48"/>
      <c r="AT123" s="51">
        <f t="shared" si="54"/>
        <v>119</v>
      </c>
      <c r="AU123" s="49" t="str">
        <f t="shared" si="55"/>
        <v/>
      </c>
      <c r="AV123" s="49" t="str">
        <f t="shared" si="56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0.34652291522744599</v>
      </c>
      <c r="C124" s="60">
        <v>99</v>
      </c>
      <c r="D124" s="5">
        <v>176097.35899288929</v>
      </c>
      <c r="I124" s="40"/>
      <c r="J124" s="41"/>
      <c r="K124" s="41" t="str">
        <f t="shared" si="57"/>
        <v/>
      </c>
      <c r="L124" s="42" t="str">
        <f t="shared" si="58"/>
        <v/>
      </c>
      <c r="M124" s="41" t="str">
        <f t="shared" si="59"/>
        <v/>
      </c>
      <c r="N124" s="43">
        <f>AX124</f>
        <v>0</v>
      </c>
      <c r="O124" s="44">
        <f>AW124</f>
        <v>0</v>
      </c>
      <c r="P124" s="41" t="str">
        <f t="shared" si="33"/>
        <v/>
      </c>
      <c r="Q124" s="41" t="str">
        <f t="shared" si="34"/>
        <v/>
      </c>
      <c r="R124" s="48"/>
      <c r="S124" s="44" t="str">
        <f t="shared" si="45"/>
        <v/>
      </c>
      <c r="T124" s="52">
        <f t="shared" si="61"/>
        <v>0</v>
      </c>
      <c r="U124" s="53" t="str">
        <f t="shared" si="46"/>
        <v/>
      </c>
      <c r="V124" s="53" t="str">
        <f t="shared" si="47"/>
        <v/>
      </c>
      <c r="W124" s="53" t="str">
        <f t="shared" si="48"/>
        <v/>
      </c>
      <c r="X124" s="46" t="str">
        <f t="shared" si="35"/>
        <v/>
      </c>
      <c r="Y124" s="48"/>
      <c r="Z124" s="41" t="str">
        <f t="shared" si="49"/>
        <v/>
      </c>
      <c r="AA124" s="41" t="str">
        <f t="shared" si="50"/>
        <v/>
      </c>
      <c r="AB124" s="41" t="str">
        <f t="shared" si="36"/>
        <v/>
      </c>
      <c r="AC124" s="41" t="str">
        <f t="shared" si="37"/>
        <v/>
      </c>
      <c r="AD124" s="48"/>
      <c r="AE124" s="41" t="str">
        <f t="shared" si="38"/>
        <v/>
      </c>
      <c r="AF124" s="41"/>
      <c r="AG124" s="41" t="str">
        <f t="shared" si="39"/>
        <v/>
      </c>
      <c r="AH124" s="41" t="str">
        <f t="shared" si="51"/>
        <v/>
      </c>
      <c r="AI124" s="41" t="str">
        <f t="shared" si="52"/>
        <v/>
      </c>
      <c r="AJ124" s="41">
        <f t="shared" si="40"/>
        <v>0</v>
      </c>
      <c r="AK124" s="41" t="str">
        <f t="shared" si="41"/>
        <v/>
      </c>
      <c r="AL124" s="41">
        <f t="shared" si="53"/>
        <v>0</v>
      </c>
      <c r="AM124" s="41">
        <f t="shared" si="42"/>
        <v>0</v>
      </c>
      <c r="AN124" s="41" t="str">
        <f t="shared" si="43"/>
        <v/>
      </c>
      <c r="AO124" s="41">
        <f t="shared" si="60"/>
        <v>0</v>
      </c>
      <c r="AP124" s="48"/>
      <c r="AQ124" s="48"/>
      <c r="AR124" s="48"/>
      <c r="AS124" s="48"/>
      <c r="AT124" s="51">
        <f t="shared" si="54"/>
        <v>120</v>
      </c>
      <c r="AU124" s="49" t="str">
        <f t="shared" si="55"/>
        <v/>
      </c>
      <c r="AV124" s="49" t="str">
        <f t="shared" si="56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0.37097341737992401</v>
      </c>
      <c r="C125" s="60">
        <v>100</v>
      </c>
      <c r="D125" s="5">
        <v>178801.97457277481</v>
      </c>
    </row>
    <row r="126" spans="1:50" x14ac:dyDescent="0.2">
      <c r="A126">
        <v>101</v>
      </c>
      <c r="B126">
        <v>0.39558799944950401</v>
      </c>
      <c r="C126" s="60">
        <v>101</v>
      </c>
      <c r="D126" s="5">
        <v>181327.59795504398</v>
      </c>
      <c r="K126" s="11"/>
    </row>
    <row r="127" spans="1:50" x14ac:dyDescent="0.2">
      <c r="A127">
        <v>102</v>
      </c>
      <c r="B127">
        <v>0.41980049707080103</v>
      </c>
      <c r="C127" s="60">
        <v>102</v>
      </c>
      <c r="D127" s="5">
        <v>183728.02464732356</v>
      </c>
      <c r="S127" s="58"/>
    </row>
    <row r="128" spans="1:50" x14ac:dyDescent="0.2">
      <c r="A128">
        <v>103</v>
      </c>
      <c r="B128">
        <v>0.44459121840721699</v>
      </c>
      <c r="C128" s="60">
        <v>103</v>
      </c>
      <c r="D128" s="5">
        <v>186000.7682110146</v>
      </c>
    </row>
    <row r="129" spans="1:41" ht="15" x14ac:dyDescent="0.25">
      <c r="A129">
        <v>104</v>
      </c>
      <c r="B129">
        <v>0.46981582329306198</v>
      </c>
      <c r="C129" s="60">
        <v>104</v>
      </c>
      <c r="D129" s="5">
        <v>188145.69906033773</v>
      </c>
      <c r="AD129" s="56" t="s">
        <v>56</v>
      </c>
      <c r="AE129" s="57" t="e">
        <f t="shared" ref="AE129:AO129" si="62">SUM(AE4:AE124)</f>
        <v>#REF!</v>
      </c>
      <c r="AF129" s="57" t="e">
        <f t="shared" si="62"/>
        <v>#REF!</v>
      </c>
      <c r="AG129" s="57" t="e">
        <f t="shared" si="62"/>
        <v>#REF!</v>
      </c>
      <c r="AH129" s="57">
        <f t="shared" si="62"/>
        <v>0</v>
      </c>
      <c r="AI129" s="57">
        <f t="shared" si="62"/>
        <v>0</v>
      </c>
      <c r="AJ129" s="57" t="e">
        <f t="shared" si="62"/>
        <v>#REF!</v>
      </c>
      <c r="AK129" s="57" t="e">
        <f t="shared" si="62"/>
        <v>#REF!</v>
      </c>
      <c r="AL129" s="57">
        <f t="shared" si="62"/>
        <v>0</v>
      </c>
      <c r="AM129" s="57" t="e">
        <f t="shared" si="62"/>
        <v>#REF!</v>
      </c>
      <c r="AN129" s="57" t="e">
        <f t="shared" si="62"/>
        <v>#REF!</v>
      </c>
      <c r="AO129" s="57" t="e">
        <f t="shared" si="62"/>
        <v>#REF!</v>
      </c>
    </row>
    <row r="130" spans="1:41" ht="15" x14ac:dyDescent="0.25">
      <c r="A130">
        <v>105</v>
      </c>
      <c r="B130">
        <v>0.49531220556264299</v>
      </c>
      <c r="C130" s="60">
        <v>105</v>
      </c>
      <c r="D130" s="5">
        <v>190166.83202317849</v>
      </c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0.52091825905026701</v>
      </c>
      <c r="C131" s="60">
        <v>106</v>
      </c>
      <c r="D131" s="5">
        <v>192076.11800224485</v>
      </c>
      <c r="AD131" s="56" t="str">
        <f>"Present Value at "&amp;TEXT(D6,"0.00%")&amp;":"</f>
        <v>Present Value at 5.50%:</v>
      </c>
      <c r="AE131" s="57" t="e">
        <f t="shared" ref="AE131:AO131" si="63">AE4+NPV($D$6,AE5:AE124)</f>
        <v>#REF!</v>
      </c>
      <c r="AF131" s="57" t="e">
        <f t="shared" si="63"/>
        <v>#REF!</v>
      </c>
      <c r="AG131" s="57" t="e">
        <f t="shared" si="63"/>
        <v>#REF!</v>
      </c>
      <c r="AH131" s="57">
        <f t="shared" si="63"/>
        <v>0</v>
      </c>
      <c r="AI131" s="57">
        <f t="shared" si="63"/>
        <v>0</v>
      </c>
      <c r="AJ131" s="57" t="e">
        <f t="shared" si="63"/>
        <v>#REF!</v>
      </c>
      <c r="AK131" s="57" t="e">
        <f t="shared" si="63"/>
        <v>#REF!</v>
      </c>
      <c r="AL131" s="57">
        <f t="shared" si="63"/>
        <v>0</v>
      </c>
      <c r="AM131" s="57" t="e">
        <f t="shared" si="63"/>
        <v>#REF!</v>
      </c>
      <c r="AN131" s="57" t="e">
        <f t="shared" si="63"/>
        <v>#REF!</v>
      </c>
      <c r="AO131" s="57" t="e">
        <f t="shared" si="63"/>
        <v>#REF!</v>
      </c>
    </row>
    <row r="132" spans="1:41" ht="15" x14ac:dyDescent="0.25">
      <c r="A132">
        <v>107</v>
      </c>
      <c r="B132">
        <v>0.54665980912289702</v>
      </c>
      <c r="C132" s="60">
        <v>107</v>
      </c>
      <c r="D132" s="5">
        <v>193885.22419441625</v>
      </c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0.57258531688320202</v>
      </c>
      <c r="C133" s="60">
        <v>108</v>
      </c>
      <c r="D133" s="5">
        <v>195604.91637429362</v>
      </c>
      <c r="AD133" s="56" t="str">
        <f>"Present Value at "&amp;TEXT(D7,"0.00%")&amp;":"</f>
        <v>Present Value at 12.00%:</v>
      </c>
      <c r="AE133" s="57" t="e">
        <f t="shared" ref="AE133:AO133" si="64">AE4+NPV($D$7,AE5:AE124)</f>
        <v>#REF!</v>
      </c>
      <c r="AF133" s="57" t="e">
        <f t="shared" si="64"/>
        <v>#REF!</v>
      </c>
      <c r="AG133" s="57" t="e">
        <f t="shared" si="64"/>
        <v>#REF!</v>
      </c>
      <c r="AH133" s="57">
        <f t="shared" si="64"/>
        <v>0</v>
      </c>
      <c r="AI133" s="57">
        <f t="shared" si="64"/>
        <v>0</v>
      </c>
      <c r="AJ133" s="57" t="e">
        <f t="shared" si="64"/>
        <v>#REF!</v>
      </c>
      <c r="AK133" s="57" t="e">
        <f t="shared" si="64"/>
        <v>#REF!</v>
      </c>
      <c r="AL133" s="57">
        <f t="shared" si="64"/>
        <v>0</v>
      </c>
      <c r="AM133" s="57" t="e">
        <f t="shared" si="64"/>
        <v>#REF!</v>
      </c>
      <c r="AN133" s="57" t="e">
        <f t="shared" si="64"/>
        <v>#REF!</v>
      </c>
      <c r="AO133" s="57" t="e">
        <f t="shared" si="64"/>
        <v>#REF!</v>
      </c>
    </row>
    <row r="134" spans="1:41" x14ac:dyDescent="0.2">
      <c r="A134">
        <v>109</v>
      </c>
      <c r="B134">
        <v>0.59854572710932696</v>
      </c>
      <c r="C134" s="60">
        <v>109</v>
      </c>
      <c r="D134" s="5">
        <v>197268.09167627251</v>
      </c>
    </row>
    <row r="135" spans="1:41" x14ac:dyDescent="0.2">
      <c r="A135">
        <v>110</v>
      </c>
      <c r="B135">
        <v>0.62439216023913602</v>
      </c>
      <c r="C135" s="60">
        <v>110</v>
      </c>
      <c r="D135" s="5">
        <v>198985.96133835288</v>
      </c>
    </row>
    <row r="136" spans="1:41" x14ac:dyDescent="0.2">
      <c r="A136">
        <v>111</v>
      </c>
      <c r="B136">
        <v>0.654399119391055</v>
      </c>
      <c r="C136" s="60">
        <v>111</v>
      </c>
      <c r="D136" s="5">
        <v>200590.47677640087</v>
      </c>
    </row>
    <row r="137" spans="1:41" x14ac:dyDescent="0.2">
      <c r="A137">
        <v>112</v>
      </c>
      <c r="B137">
        <v>0.68424289066266797</v>
      </c>
      <c r="C137" s="60">
        <v>112</v>
      </c>
      <c r="D137" s="5">
        <v>202090.4214327459</v>
      </c>
    </row>
    <row r="138" spans="1:41" x14ac:dyDescent="0.2">
      <c r="A138">
        <v>113</v>
      </c>
      <c r="B138">
        <v>0.71388658551268103</v>
      </c>
      <c r="C138" s="60">
        <v>113</v>
      </c>
      <c r="D138" s="5">
        <v>203493.88431050809</v>
      </c>
    </row>
    <row r="139" spans="1:41" x14ac:dyDescent="0.2">
      <c r="A139">
        <v>114</v>
      </c>
      <c r="B139">
        <v>0.74329384237895801</v>
      </c>
      <c r="C139" s="60">
        <v>114</v>
      </c>
      <c r="D139" s="5">
        <v>204809.08403319586</v>
      </c>
    </row>
    <row r="140" spans="1:41" x14ac:dyDescent="0.2">
      <c r="A140">
        <v>115</v>
      </c>
      <c r="B140">
        <v>0.772428124039644</v>
      </c>
      <c r="C140" s="60">
        <v>115</v>
      </c>
      <c r="D140" s="5">
        <v>206048.84577242262</v>
      </c>
    </row>
    <row r="141" spans="1:41" x14ac:dyDescent="0.2">
      <c r="A141">
        <v>116</v>
      </c>
      <c r="B141">
        <v>0.80141379757682396</v>
      </c>
      <c r="C141" s="60">
        <v>116</v>
      </c>
      <c r="D141" s="5">
        <v>207227.62711091328</v>
      </c>
    </row>
    <row r="142" spans="1:41" x14ac:dyDescent="0.2">
      <c r="A142">
        <v>117</v>
      </c>
      <c r="B142">
        <v>0.83039947111400303</v>
      </c>
      <c r="C142" s="60">
        <v>117</v>
      </c>
      <c r="D142" s="5">
        <v>208384.12698855437</v>
      </c>
    </row>
    <row r="143" spans="1:41" x14ac:dyDescent="0.2">
      <c r="A143">
        <v>118</v>
      </c>
      <c r="B143">
        <v>0.85938514465118199</v>
      </c>
      <c r="C143" s="60">
        <v>118</v>
      </c>
      <c r="D143" s="5">
        <v>209950.0432602131</v>
      </c>
    </row>
    <row r="144" spans="1:41" x14ac:dyDescent="0.2">
      <c r="A144">
        <v>119</v>
      </c>
      <c r="B144">
        <v>0.88837081818836094</v>
      </c>
      <c r="C144" s="60">
        <v>119</v>
      </c>
      <c r="D144" s="5">
        <v>226452.02877875473</v>
      </c>
    </row>
    <row r="145" spans="1:2" x14ac:dyDescent="0.2">
      <c r="A145">
        <v>120</v>
      </c>
      <c r="B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A3B4A-FB08-48A1-98C3-9FE6E36A4907}">
  <sheetPr codeName="Sheet1">
    <tabColor rgb="FFFF0000"/>
  </sheetPr>
  <dimension ref="A1"/>
  <sheetViews>
    <sheetView workbookViewId="0">
      <selection activeCell="J39" sqref="J39"/>
    </sheetView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546A7-68A8-4543-9379-047A9CF3BF69}">
  <sheetPr codeName="Sheet13"/>
  <dimension ref="A1:BB145"/>
  <sheetViews>
    <sheetView workbookViewId="0">
      <pane ySplit="3" topLeftCell="A9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4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AU$5+NPV($AT1,AU$6:AU$124)</f>
        <v>13.122305948875182</v>
      </c>
      <c r="AV1" s="35">
        <f>NPV($AT1,AV$5:AV$79)</f>
        <v>0.49529592504326192</v>
      </c>
      <c r="AW1" s="34">
        <f>0.85*AV1*1000/AU1</f>
        <v>32.082892894511424</v>
      </c>
    </row>
    <row r="2" spans="1:54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AU$5+NPV($AT2,AU$6:AU$124)</f>
        <v>11.215216090084578</v>
      </c>
      <c r="AV2" s="35">
        <f>NPV($AT2,AV$5:AV$79)</f>
        <v>0.36517644773106145</v>
      </c>
      <c r="AW2" s="34">
        <f>1.05*AV2*1000/(AU2-1)</f>
        <v>37.53569838721247</v>
      </c>
    </row>
    <row r="3" spans="1:54" ht="38.25" x14ac:dyDescent="0.2">
      <c r="G3" t="s">
        <v>16</v>
      </c>
      <c r="H3">
        <v>1589070.2693368909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4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60">_xlfn.SEQUENCE(MAX(A26:A145)-D4+2,1,0,1)</f>
        <v>0</v>
      </c>
      <c r="J4" s="41">
        <f>$H$3</f>
        <v>1589070.2693368909</v>
      </c>
      <c r="K4" s="41">
        <f>J4*C16</f>
        <v>476721.08080106723</v>
      </c>
      <c r="L4" s="42">
        <f>C20</f>
        <v>200</v>
      </c>
      <c r="M4" s="41">
        <f t="shared" ref="M4:M5" si="0">$E$11</f>
        <v>2000000</v>
      </c>
      <c r="N4" s="43">
        <f>AX4</f>
        <v>0</v>
      </c>
      <c r="O4" s="44">
        <f>AW4</f>
        <v>74.293999999999997</v>
      </c>
      <c r="P4" s="41">
        <f>IF(I4&lt;&gt;"", M4*N4/1000, "")</f>
        <v>0</v>
      </c>
      <c r="Q4" s="41">
        <f>IF(I4&lt;&gt;"", M4*O4/1000, "")</f>
        <v>148588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148588</v>
      </c>
      <c r="AC4" s="41">
        <f>IF(I4&lt;&gt;"", $H$14*M4*X4, "")</f>
        <v>20000</v>
      </c>
      <c r="AD4" s="47"/>
      <c r="AE4" s="41">
        <f>IF(I4&lt;&gt;"", $X4*J4, "")</f>
        <v>1589070.2693368909</v>
      </c>
      <c r="AF4" s="41">
        <f>IF(I4&lt;&gt;"", -$X4*K4, "")</f>
        <v>-476721.08080106723</v>
      </c>
      <c r="AG4" s="41">
        <f>IF(I4&lt;&gt;"", -$X4*L4, "")</f>
        <v>-200</v>
      </c>
      <c r="AH4" s="41"/>
      <c r="AI4" s="41"/>
      <c r="AJ4" s="41">
        <f>SUM(AE4:AI4)</f>
        <v>1112149.1885358237</v>
      </c>
      <c r="AK4" s="41">
        <f>IF(I4&lt;&gt;"", Z4-AB4, "")</f>
        <v>-148588</v>
      </c>
      <c r="AL4" s="41"/>
      <c r="AM4" s="41">
        <f>SUM(AJ4:AL4)</f>
        <v>963561.18853582372</v>
      </c>
      <c r="AN4" s="41">
        <f>IF(I4&lt;&gt;"", AA4-AC4, "")</f>
        <v>-20000</v>
      </c>
      <c r="AO4" s="41">
        <f>SUM(AM4:AN4)</f>
        <v>943561.18853582372</v>
      </c>
      <c r="AP4" s="45"/>
      <c r="AQ4" s="41">
        <f>AM133</f>
        <v>47672.114406303386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74.293999999999997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4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102.39100000000001</v>
      </c>
      <c r="P5" s="41">
        <f t="shared" ref="P5:P68" si="3">IF(I5&lt;&gt;"", M5*N5/1000, "")</f>
        <v>0</v>
      </c>
      <c r="Q5" s="41">
        <f t="shared" ref="Q5:Q68" si="4">IF(I5&lt;&gt;"", M5*O5/1000, "")</f>
        <v>204782</v>
      </c>
      <c r="R5" s="44"/>
      <c r="S5" s="44">
        <f>IF(I5&lt;&gt;"",_xlfn.XLOOKUP(D$4+I4,A$26:A$145,$B$26:$B$145,0) * 1000,"")</f>
        <v>9.1815528447021197</v>
      </c>
      <c r="T5" s="52">
        <f>C10</f>
        <v>0</v>
      </c>
      <c r="U5" s="53">
        <f>IF(I5&lt;&gt;"", X4, "")</f>
        <v>1</v>
      </c>
      <c r="V5" s="53">
        <f>IF(I5&lt;&gt;"", S5*U5/1000, "")</f>
        <v>9.1815528447021198E-3</v>
      </c>
      <c r="W5" s="53">
        <f>IF(I5&lt;&gt;"", MIN(T5*U5,U5-V5), "")</f>
        <v>0</v>
      </c>
      <c r="X5" s="46">
        <f t="shared" ref="X5:X68" si="5">IF(I5&lt;&gt;"", U5-SUM(V5:W5), "")</f>
        <v>0.99081844715529788</v>
      </c>
      <c r="Y5" s="54"/>
      <c r="Z5" s="41">
        <f>IF(I5&lt;&gt;"",AB4,"")</f>
        <v>148588</v>
      </c>
      <c r="AA5" s="41">
        <f>IF(I5&lt;&gt;"", AC4, "")</f>
        <v>20000</v>
      </c>
      <c r="AB5" s="41">
        <f t="shared" ref="AB5:AB68" si="6">IF(I5&lt;&gt;"", Q5*X5, "" )</f>
        <v>202901.7832453562</v>
      </c>
      <c r="AC5" s="41">
        <f t="shared" ref="AC5:AC68" si="7">IF(I5&lt;&gt;"", $H$14*M5*X5, "")</f>
        <v>19816.368943105957</v>
      </c>
      <c r="AD5" s="54"/>
      <c r="AE5" s="41">
        <f>IF(I5&lt;&gt;"", $X5*J5, "")</f>
        <v>0</v>
      </c>
      <c r="AF5" s="41"/>
      <c r="AG5" s="41">
        <f t="shared" ref="AG5:AG68" si="8">IF(I5&lt;&gt;"", -$X5*L5, "")</f>
        <v>0</v>
      </c>
      <c r="AH5" s="41">
        <f>IF(I5&lt;&gt;"",-M5*V5,"")</f>
        <v>-18363.105689404241</v>
      </c>
      <c r="AI5" s="41">
        <f>IF(I5 &lt;&gt; "", -P5*W5, "")</f>
        <v>0</v>
      </c>
      <c r="AJ5" s="41">
        <f t="shared" ref="AJ5:AJ68" si="9">SUM(AE5:AI5)</f>
        <v>-18363.105689404241</v>
      </c>
      <c r="AK5" s="41">
        <f t="shared" ref="AK5:AK68" si="10">IF(I5&lt;&gt;"", Z5-AB5, "")</f>
        <v>-54313.7832453562</v>
      </c>
      <c r="AL5" s="41">
        <f>$D$6*SUM(Z5:AA5,AE5:AF5)</f>
        <v>6743.52</v>
      </c>
      <c r="AM5" s="41">
        <f t="shared" ref="AM5:AM68" si="11">SUM(AJ5:AL5)</f>
        <v>-65933.368934760438</v>
      </c>
      <c r="AN5" s="41">
        <f t="shared" ref="AN5:AN68" si="12">IF(I5&lt;&gt;"", AA5-AC5, "")</f>
        <v>183.63105689404256</v>
      </c>
      <c r="AO5" s="41">
        <f t="shared" ref="AO5:AO68" si="13">SUM(AM5:AN5)</f>
        <v>-65749.737877866399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9.1815528447021198E-3</v>
      </c>
      <c r="AW5" s="50">
        <f xml:space="preserve"> IF(ISERROR(ROUND((1000*NPV($AT$1,$AV6:$AV$124)-$AW$1*($AU6+NPV($AT$1,$AU7:$AU$124)))/AU6,3)), 0, ROUND((1000*NPV($AT$1,$AV6:$AV$124)-$AW$1*($AU6+NPV($AT$1,$AU7:$AU$124)))/AU6,3))</f>
        <v>102.39100000000001</v>
      </c>
      <c r="AX5" s="50">
        <f>IF(ISERROR(ROUND(MAX(0,1000*NPV($AT$2,$AV6:$AV$124)-$AW$2*($AU6+NPV($AT$2,$AU7:$AU$124)))/AU6,3)), 0, ROUND(MAX(0,1000*NPV($AT$2,$AV6:$AV$124)-$AW$2*($AU6+NPV($AT$2,$AU7:$AU$124)))/AU6,3))</f>
        <v>0</v>
      </c>
      <c r="AY5" s="75" t="s">
        <v>79</v>
      </c>
      <c r="AZ5" s="11">
        <f>AM133</f>
        <v>47672.114406303386</v>
      </c>
    </row>
    <row r="6" spans="1:54" ht="15" x14ac:dyDescent="0.25">
      <c r="A6" s="12" t="s">
        <v>14</v>
      </c>
      <c r="B6" s="12"/>
      <c r="C6" s="12"/>
      <c r="D6" s="16">
        <v>0.04</v>
      </c>
      <c r="E6" s="6"/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129.71899999999999</v>
      </c>
      <c r="P6" s="41">
        <f t="shared" si="3"/>
        <v>0</v>
      </c>
      <c r="Q6" s="41">
        <f t="shared" si="4"/>
        <v>259438</v>
      </c>
      <c r="R6" s="44"/>
      <c r="S6" s="44">
        <f t="shared" ref="S6:S69" si="14">IF(I6&lt;&gt;"",_xlfn.XLOOKUP(D$4+I5,A$26:A$145,$B$26:$B$145,0) * 1000,"")</f>
        <v>11.644701667791701</v>
      </c>
      <c r="T6" s="52">
        <f>$C$11</f>
        <v>0</v>
      </c>
      <c r="U6" s="53">
        <f t="shared" ref="U6:U69" si="15">IF(I6&lt;&gt;"", X5, "")</f>
        <v>0.99081844715529788</v>
      </c>
      <c r="V6" s="53">
        <f t="shared" ref="V6:V69" si="16">IF(I6&lt;&gt;"", S6*U6/1000, "")</f>
        <v>1.153778522406808E-2</v>
      </c>
      <c r="W6" s="53">
        <f t="shared" ref="W6:W69" si="17">IF(I6&lt;&gt;"", MIN(T6*U6,U6-V6), "")</f>
        <v>0</v>
      </c>
      <c r="X6" s="46">
        <f t="shared" si="5"/>
        <v>0.97928066193122976</v>
      </c>
      <c r="Y6" s="54"/>
      <c r="Z6" s="41">
        <f t="shared" ref="Z6:Z69" si="18">IF(I6&lt;&gt;"",AB5,"")</f>
        <v>202901.7832453562</v>
      </c>
      <c r="AA6" s="41">
        <f t="shared" ref="AA6:AA69" si="19">IF(I6&lt;&gt;"", AC5, "")</f>
        <v>19816.368943105957</v>
      </c>
      <c r="AB6" s="41">
        <f t="shared" si="6"/>
        <v>254062.61637011438</v>
      </c>
      <c r="AC6" s="41">
        <f t="shared" si="7"/>
        <v>19585.613238624595</v>
      </c>
      <c r="AD6" s="54"/>
      <c r="AE6" s="41">
        <f t="shared" ref="AE5:AE68" si="20">IF(I6&lt;&gt;"", $X6*J6, "")</f>
        <v>0</v>
      </c>
      <c r="AF6" s="41"/>
      <c r="AG6" s="41">
        <f>IF(I6&lt;&gt;"", -$X6*L6, "")</f>
        <v>-24.482016548280743</v>
      </c>
      <c r="AH6" s="41">
        <f t="shared" ref="AH6:AH69" si="21">IF(I6&lt;&gt;"",-M6*V6,"")</f>
        <v>-23075.570448136161</v>
      </c>
      <c r="AI6" s="41">
        <f t="shared" ref="AI6:AI69" si="22">IF(I6 &lt;&gt; "", -P6*W6, "")</f>
        <v>0</v>
      </c>
      <c r="AJ6" s="41">
        <f t="shared" si="9"/>
        <v>-23100.052464684442</v>
      </c>
      <c r="AK6" s="41">
        <f t="shared" si="10"/>
        <v>-51160.833124758181</v>
      </c>
      <c r="AL6" s="41">
        <f t="shared" ref="AL6:AL69" si="23">$D$6*SUM(Z6:AA6,AE6:AF6)</f>
        <v>8908.7260875384854</v>
      </c>
      <c r="AM6" s="41">
        <f t="shared" si="11"/>
        <v>-65352.159501904142</v>
      </c>
      <c r="AN6" s="41">
        <f t="shared" si="12"/>
        <v>230.75570448136205</v>
      </c>
      <c r="AO6" s="41">
        <f t="shared" si="13"/>
        <v>-65121.403797422783</v>
      </c>
      <c r="AP6" s="45"/>
      <c r="AQ6" s="41">
        <f>AO133</f>
        <v>39340.130204169429</v>
      </c>
      <c r="AR6" s="48"/>
      <c r="AS6" s="48"/>
      <c r="AT6" s="51">
        <f t="shared" ref="AT6:AT69" si="24">AT5+1</f>
        <v>2</v>
      </c>
      <c r="AU6" s="49">
        <f t="shared" ref="AU6:AU69" si="25">IF(I6&lt;&gt;"", AU5-AV5, "")</f>
        <v>0.99081844715529788</v>
      </c>
      <c r="AV6" s="49">
        <f t="shared" ref="AV6:AV69" si="26">IF(I6&lt;&gt;"", S6*AU6/1000, "")</f>
        <v>1.153778522406808E-2</v>
      </c>
      <c r="AW6" s="50">
        <f xml:space="preserve"> IF(ISERROR(ROUND((1000*NPV($AT$1,$AV7:$AV$124)-$AW$1*($AU7+NPV($AT$1,$AU8:$AU$124)))/AU7,3)), 0, ROUND((1000*NPV($AT$1,$AV7:$AV$124)-$AW$1*($AU7+NPV($AT$1,$AU8:$AU$124)))/AU7,3))</f>
        <v>129.71899999999999</v>
      </c>
      <c r="AX6" s="50">
        <f>IF(ISERROR(ROUND(MAX(0,1000*NPV($AT$2,$AV7:$AV$124)-$AW$2*($AU7+NPV($AT$2,$AU8:$AU$124)))/AU7,3)), 0, ROUND(MAX(0,1000*NPV($AT$2,$AV7:$AV$124)-$AW$2*($AU7+NPV($AT$2,$AU8:$AU$124)))/AU7,3))</f>
        <v>0</v>
      </c>
      <c r="AY6" s="75" t="s">
        <v>80</v>
      </c>
    </row>
    <row r="7" spans="1:54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7">IF(J7&lt;&gt;"",J7*$C$17,"")</f>
        <v/>
      </c>
      <c r="L7" s="42">
        <f t="shared" ref="L7:L70" si="28">IF(I7&lt;&gt;"",$C$21,"")</f>
        <v>25</v>
      </c>
      <c r="M7" s="41">
        <f t="shared" ref="M7:M70" si="29">IF(I7&lt;&gt;"",$E$11,"")</f>
        <v>2000000</v>
      </c>
      <c r="N7" s="43">
        <f t="shared" si="1"/>
        <v>24.789000000000001</v>
      </c>
      <c r="O7" s="44">
        <f t="shared" si="2"/>
        <v>157.52600000000001</v>
      </c>
      <c r="P7" s="41">
        <f t="shared" si="3"/>
        <v>49578</v>
      </c>
      <c r="Q7" s="41">
        <f t="shared" si="4"/>
        <v>315052</v>
      </c>
      <c r="R7" s="44"/>
      <c r="S7" s="44">
        <f t="shared" si="14"/>
        <v>12.7568609079478</v>
      </c>
      <c r="T7" s="52">
        <f>$C$11</f>
        <v>0</v>
      </c>
      <c r="U7" s="53">
        <f t="shared" si="15"/>
        <v>0.97928066193122976</v>
      </c>
      <c r="V7" s="53">
        <f t="shared" si="16"/>
        <v>1.249254719409975E-2</v>
      </c>
      <c r="W7" s="53">
        <f t="shared" si="17"/>
        <v>0</v>
      </c>
      <c r="X7" s="46">
        <f t="shared" si="5"/>
        <v>0.96678811473713</v>
      </c>
      <c r="Y7" s="54"/>
      <c r="Z7" s="41">
        <f t="shared" si="18"/>
        <v>254062.61637011438</v>
      </c>
      <c r="AA7" s="41">
        <f t="shared" si="19"/>
        <v>19585.613238624595</v>
      </c>
      <c r="AB7" s="41">
        <f t="shared" si="6"/>
        <v>304588.52912416228</v>
      </c>
      <c r="AC7" s="41">
        <f t="shared" si="7"/>
        <v>19335.762294742599</v>
      </c>
      <c r="AD7" s="54"/>
      <c r="AE7" s="41">
        <f t="shared" si="20"/>
        <v>0</v>
      </c>
      <c r="AF7" s="41"/>
      <c r="AG7" s="41">
        <f t="shared" si="8"/>
        <v>-24.169702868428249</v>
      </c>
      <c r="AH7" s="41">
        <f t="shared" si="21"/>
        <v>-24985.094388199501</v>
      </c>
      <c r="AI7" s="41">
        <f t="shared" si="22"/>
        <v>0</v>
      </c>
      <c r="AJ7" s="41">
        <f t="shared" si="9"/>
        <v>-25009.264091067929</v>
      </c>
      <c r="AK7" s="41">
        <f t="shared" si="10"/>
        <v>-50525.912754047895</v>
      </c>
      <c r="AL7" s="41">
        <f t="shared" si="23"/>
        <v>10945.929184349559</v>
      </c>
      <c r="AM7" s="41">
        <f t="shared" si="11"/>
        <v>-64589.247660766268</v>
      </c>
      <c r="AN7" s="41">
        <f t="shared" si="12"/>
        <v>249.8509438819965</v>
      </c>
      <c r="AO7" s="41">
        <f>SUM(AM7:AN7)</f>
        <v>-64339.396716884272</v>
      </c>
      <c r="AP7" s="45"/>
      <c r="AQ7" s="45"/>
      <c r="AR7" s="48"/>
      <c r="AS7" s="48"/>
      <c r="AT7" s="51">
        <f t="shared" si="24"/>
        <v>3</v>
      </c>
      <c r="AU7" s="49">
        <f t="shared" si="25"/>
        <v>0.97928066193122976</v>
      </c>
      <c r="AV7" s="49">
        <f t="shared" si="26"/>
        <v>1.249254719409975E-2</v>
      </c>
      <c r="AW7" s="50">
        <f xml:space="preserve"> IF(ISERROR(ROUND((1000*NPV($AT$1,$AV8:$AV$124)-$AW$1*($AU8+NPV($AT$1,$AU9:$AU$124)))/AU8,3)), 0, ROUND((1000*NPV($AT$1,$AV8:$AV$124)-$AW$1*($AU8+NPV($AT$1,$AU9:$AU$124)))/AU8,3))</f>
        <v>157.52600000000001</v>
      </c>
      <c r="AX7" s="50">
        <f>IF(ISERROR(ROUND(MAX(0,1000*NPV($AT$2,$AV8:$AV$124)-$AW$2*($AU8+NPV($AT$2,$AU9:$AU$124)))/AU8,3)), 0, ROUND(MAX(0,1000*NPV($AT$2,$AV8:$AV$124)-$AW$2*($AU8+NPV($AT$2,$AU9:$AU$124)))/AU8,3))</f>
        <v>24.789000000000001</v>
      </c>
      <c r="AY7" s="75" t="s">
        <v>81</v>
      </c>
      <c r="AZ7" s="65">
        <f>AZ5/AE133</f>
        <v>3.0000003981067912E-2</v>
      </c>
      <c r="BB7" s="75" t="s">
        <v>82</v>
      </c>
    </row>
    <row r="8" spans="1:54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7"/>
        <v/>
      </c>
      <c r="L8" s="42">
        <f t="shared" si="28"/>
        <v>25</v>
      </c>
      <c r="M8" s="41">
        <f t="shared" si="29"/>
        <v>2000000</v>
      </c>
      <c r="N8" s="43">
        <f t="shared" si="1"/>
        <v>52.860999999999997</v>
      </c>
      <c r="O8" s="44">
        <f t="shared" si="2"/>
        <v>185.84399999999999</v>
      </c>
      <c r="P8" s="41">
        <f t="shared" si="3"/>
        <v>105722</v>
      </c>
      <c r="Q8" s="41">
        <f t="shared" si="4"/>
        <v>371688</v>
      </c>
      <c r="R8" s="44"/>
      <c r="S8" s="44">
        <f t="shared" si="14"/>
        <v>13.939992286071499</v>
      </c>
      <c r="T8" s="52">
        <f>$C$11</f>
        <v>0</v>
      </c>
      <c r="U8" s="53">
        <f t="shared" si="15"/>
        <v>0.96678811473713</v>
      </c>
      <c r="V8" s="53">
        <f t="shared" si="16"/>
        <v>1.34770188617012E-2</v>
      </c>
      <c r="W8" s="53">
        <f t="shared" si="17"/>
        <v>0</v>
      </c>
      <c r="X8" s="46">
        <f t="shared" si="5"/>
        <v>0.95331109587542884</v>
      </c>
      <c r="Y8" s="54"/>
      <c r="Z8" s="41">
        <f t="shared" si="18"/>
        <v>304588.52912416228</v>
      </c>
      <c r="AA8" s="41">
        <f t="shared" si="19"/>
        <v>19335.762294742599</v>
      </c>
      <c r="AB8" s="41">
        <f t="shared" si="6"/>
        <v>354334.29460374638</v>
      </c>
      <c r="AC8" s="41">
        <f t="shared" si="7"/>
        <v>19066.221917508577</v>
      </c>
      <c r="AD8" s="54"/>
      <c r="AE8" s="41">
        <f t="shared" si="20"/>
        <v>0</v>
      </c>
      <c r="AF8" s="41"/>
      <c r="AG8" s="41">
        <f t="shared" si="8"/>
        <v>-23.832777396885721</v>
      </c>
      <c r="AH8" s="41">
        <f t="shared" si="21"/>
        <v>-26954.037723402402</v>
      </c>
      <c r="AI8" s="41">
        <f t="shared" si="22"/>
        <v>0</v>
      </c>
      <c r="AJ8" s="41">
        <f t="shared" si="9"/>
        <v>-26977.870500799287</v>
      </c>
      <c r="AK8" s="41">
        <f t="shared" si="10"/>
        <v>-49745.765479584108</v>
      </c>
      <c r="AL8" s="41">
        <f t="shared" si="23"/>
        <v>12956.971656756197</v>
      </c>
      <c r="AM8" s="41">
        <f t="shared" si="11"/>
        <v>-63766.664323627192</v>
      </c>
      <c r="AN8" s="41">
        <f t="shared" si="12"/>
        <v>269.54037723402143</v>
      </c>
      <c r="AO8" s="41">
        <f t="shared" si="13"/>
        <v>-63497.123946393171</v>
      </c>
      <c r="AP8" s="45"/>
      <c r="AQ8" s="45"/>
      <c r="AR8" s="48"/>
      <c r="AS8" s="48"/>
      <c r="AT8" s="51">
        <f t="shared" si="24"/>
        <v>4</v>
      </c>
      <c r="AU8" s="49">
        <f t="shared" si="25"/>
        <v>0.96678811473713</v>
      </c>
      <c r="AV8" s="49">
        <f>IF(I8&lt;&gt;"", S8*AU8/1000, "")</f>
        <v>1.34770188617012E-2</v>
      </c>
      <c r="AW8" s="50">
        <f xml:space="preserve"> IF(ISERROR(ROUND((1000*NPV($AT$1,$AV9:$AV$124)-$AW$1*($AU9+NPV($AT$1,$AU10:$AU$124)))/AU9,3)), 0, ROUND((1000*NPV($AT$1,$AV9:$AV$124)-$AW$1*($AU9+NPV($AT$1,$AU10:$AU$124)))/AU9,3))</f>
        <v>185.84399999999999</v>
      </c>
      <c r="AX8" s="50">
        <f>IF(ISERROR(ROUND(MAX(0,1000*NPV($AT$2,$AV9:$AV$124)-$AW$2*($AU9+NPV($AT$2,$AU10:$AU$124)))/AU9,3)), 0, ROUND(MAX(0,1000*NPV($AT$2,$AV9:$AV$124)-$AW$2*($AU9+NPV($AT$2,$AU10:$AU$124)))/AU9,3))</f>
        <v>52.860999999999997</v>
      </c>
      <c r="AY8" s="59"/>
    </row>
    <row r="9" spans="1:54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7"/>
        <v/>
      </c>
      <c r="L9" s="42">
        <f t="shared" si="28"/>
        <v>25</v>
      </c>
      <c r="M9" s="41">
        <f t="shared" si="29"/>
        <v>2000000</v>
      </c>
      <c r="N9" s="43">
        <f t="shared" si="1"/>
        <v>81.798000000000002</v>
      </c>
      <c r="O9" s="44">
        <f t="shared" si="2"/>
        <v>214.65</v>
      </c>
      <c r="P9" s="41">
        <f t="shared" si="3"/>
        <v>163596</v>
      </c>
      <c r="Q9" s="41">
        <f t="shared" si="4"/>
        <v>429300</v>
      </c>
      <c r="R9" s="44"/>
      <c r="S9" s="44">
        <f t="shared" si="14"/>
        <v>15.271830096403301</v>
      </c>
      <c r="T9" s="52">
        <f>$C$11</f>
        <v>0</v>
      </c>
      <c r="U9" s="53">
        <f t="shared" si="15"/>
        <v>0.95331109587542884</v>
      </c>
      <c r="V9" s="53">
        <f t="shared" si="16"/>
        <v>1.4558805085225586E-2</v>
      </c>
      <c r="W9" s="53">
        <f t="shared" si="17"/>
        <v>0</v>
      </c>
      <c r="X9" s="46">
        <f t="shared" si="5"/>
        <v>0.93875229079020328</v>
      </c>
      <c r="Y9" s="54"/>
      <c r="Z9" s="41">
        <f t="shared" si="18"/>
        <v>354334.29460374638</v>
      </c>
      <c r="AA9" s="41">
        <f t="shared" si="19"/>
        <v>19066.221917508577</v>
      </c>
      <c r="AB9" s="41">
        <f t="shared" si="6"/>
        <v>403006.3584362343</v>
      </c>
      <c r="AC9" s="41">
        <f t="shared" si="7"/>
        <v>18775.045815804067</v>
      </c>
      <c r="AD9" s="54"/>
      <c r="AE9" s="41">
        <f t="shared" si="20"/>
        <v>0</v>
      </c>
      <c r="AF9" s="41"/>
      <c r="AG9" s="41">
        <f t="shared" si="8"/>
        <v>-23.468807269755082</v>
      </c>
      <c r="AH9" s="41">
        <f t="shared" si="21"/>
        <v>-29117.610170451171</v>
      </c>
      <c r="AI9" s="41">
        <f t="shared" si="22"/>
        <v>0</v>
      </c>
      <c r="AJ9" s="41">
        <f t="shared" si="9"/>
        <v>-29141.078977720925</v>
      </c>
      <c r="AK9" s="41">
        <f t="shared" si="10"/>
        <v>-48672.063832487911</v>
      </c>
      <c r="AL9" s="41">
        <f t="shared" si="23"/>
        <v>14936.020660850199</v>
      </c>
      <c r="AM9" s="41">
        <f t="shared" si="11"/>
        <v>-62877.122149358642</v>
      </c>
      <c r="AN9" s="41">
        <f t="shared" si="12"/>
        <v>291.17610170451007</v>
      </c>
      <c r="AO9" s="41">
        <f t="shared" si="13"/>
        <v>-62585.946047654128</v>
      </c>
      <c r="AP9" s="45"/>
      <c r="AQ9" s="45"/>
      <c r="AR9" s="48"/>
      <c r="AS9" s="48"/>
      <c r="AT9" s="51">
        <f t="shared" si="24"/>
        <v>5</v>
      </c>
      <c r="AU9" s="49">
        <f t="shared" si="25"/>
        <v>0.95331109587542884</v>
      </c>
      <c r="AV9" s="49">
        <f t="shared" si="26"/>
        <v>1.4558805085225586E-2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214.65</v>
      </c>
      <c r="AX9" s="50">
        <f>IF(ISERROR(ROUND(MAX(0,1000*NPV($AT$2,$AV10:$AV$124)-$AW$2*($AU10+NPV($AT$2,$AU11:$AU$124)))/AU10,3)), 0, ROUND(MAX(0,1000*NPV($AT$2,$AV10:$AV$124)-$AW$2*($AU10+NPV($AT$2,$AU11:$AU$124)))/AU10,3))</f>
        <v>81.798000000000002</v>
      </c>
    </row>
    <row r="10" spans="1:54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7"/>
        <v/>
      </c>
      <c r="L10" s="42">
        <f t="shared" si="28"/>
        <v>25</v>
      </c>
      <c r="M10" s="41">
        <f t="shared" si="29"/>
        <v>2000000</v>
      </c>
      <c r="N10" s="43">
        <f>AX10</f>
        <v>111.592</v>
      </c>
      <c r="O10" s="44">
        <f t="shared" si="2"/>
        <v>243.92099999999999</v>
      </c>
      <c r="P10" s="41">
        <f t="shared" si="3"/>
        <v>223184</v>
      </c>
      <c r="Q10" s="41">
        <f t="shared" si="4"/>
        <v>487842</v>
      </c>
      <c r="R10" s="44"/>
      <c r="S10" s="44">
        <f t="shared" si="14"/>
        <v>16.773476255652501</v>
      </c>
      <c r="T10" s="52">
        <f>$C$12</f>
        <v>0</v>
      </c>
      <c r="U10" s="53">
        <f t="shared" si="15"/>
        <v>0.93875229079020328</v>
      </c>
      <c r="V10" s="53">
        <f t="shared" si="16"/>
        <v>1.5746139259508869E-2</v>
      </c>
      <c r="W10" s="53">
        <f t="shared" si="17"/>
        <v>0</v>
      </c>
      <c r="X10" s="46">
        <f t="shared" si="5"/>
        <v>0.92300615153069443</v>
      </c>
      <c r="Y10" s="54"/>
      <c r="Z10" s="41">
        <f t="shared" si="18"/>
        <v>403006.3584362343</v>
      </c>
      <c r="AA10" s="41">
        <f t="shared" si="19"/>
        <v>18775.045815804067</v>
      </c>
      <c r="AB10" s="41">
        <f t="shared" si="6"/>
        <v>450281.16697503702</v>
      </c>
      <c r="AC10" s="41">
        <f t="shared" si="7"/>
        <v>18460.12303061389</v>
      </c>
      <c r="AD10" s="54"/>
      <c r="AE10" s="41">
        <f t="shared" si="20"/>
        <v>0</v>
      </c>
      <c r="AF10" s="41"/>
      <c r="AG10" s="41">
        <f t="shared" si="8"/>
        <v>-23.075153788267361</v>
      </c>
      <c r="AH10" s="41">
        <f t="shared" si="21"/>
        <v>-31492.278519017738</v>
      </c>
      <c r="AI10" s="41">
        <f t="shared" si="22"/>
        <v>0</v>
      </c>
      <c r="AJ10" s="41">
        <f t="shared" si="9"/>
        <v>-31515.353672806006</v>
      </c>
      <c r="AK10" s="41">
        <f t="shared" si="10"/>
        <v>-47274.808538802725</v>
      </c>
      <c r="AL10" s="41">
        <f t="shared" si="23"/>
        <v>16871.256170081535</v>
      </c>
      <c r="AM10" s="41">
        <f t="shared" si="11"/>
        <v>-61918.906041527189</v>
      </c>
      <c r="AN10" s="41">
        <f t="shared" si="12"/>
        <v>314.92278519017782</v>
      </c>
      <c r="AO10" s="41">
        <f t="shared" si="13"/>
        <v>-61603.983256337015</v>
      </c>
      <c r="AP10" s="45"/>
      <c r="AQ10" s="45"/>
      <c r="AR10" s="48"/>
      <c r="AS10" s="48"/>
      <c r="AT10" s="51">
        <f t="shared" si="24"/>
        <v>6</v>
      </c>
      <c r="AU10" s="49">
        <f t="shared" si="25"/>
        <v>0.93875229079020328</v>
      </c>
      <c r="AV10" s="49">
        <f t="shared" si="26"/>
        <v>1.5746139259508869E-2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243.92099999999999</v>
      </c>
      <c r="AX10" s="50">
        <f>IF(ISERROR(ROUND(MAX(0,1000*NPV($AT$2,$AV11:$AV$124)-$AW$2*($AU11+NPV($AT$2,$AU12:$AU$124)))/AU11,3)), 0, ROUND(MAX(0,1000*NPV($AT$2,$AV11:$AV$124)-$AW$2*($AU11+NPV($AT$2,$AU12:$AU$124)))/AU11,3))</f>
        <v>111.592</v>
      </c>
    </row>
    <row r="11" spans="1:54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7"/>
        <v/>
      </c>
      <c r="L11" s="42">
        <f t="shared" si="28"/>
        <v>25</v>
      </c>
      <c r="M11" s="41">
        <f t="shared" si="29"/>
        <v>2000000</v>
      </c>
      <c r="N11" s="43">
        <f t="shared" si="1"/>
        <v>142.21199999999999</v>
      </c>
      <c r="O11" s="44">
        <f>AW11</f>
        <v>273.61</v>
      </c>
      <c r="P11" s="41">
        <f t="shared" si="3"/>
        <v>284424</v>
      </c>
      <c r="Q11" s="41">
        <f t="shared" si="4"/>
        <v>547220</v>
      </c>
      <c r="R11" s="44"/>
      <c r="S11" s="44">
        <f t="shared" si="14"/>
        <v>18.493601439473299</v>
      </c>
      <c r="T11" s="52">
        <f>$C$12</f>
        <v>0</v>
      </c>
      <c r="U11" s="53">
        <f t="shared" si="15"/>
        <v>0.92300615153069443</v>
      </c>
      <c r="V11" s="53">
        <f t="shared" si="16"/>
        <v>1.7069707892590758E-2</v>
      </c>
      <c r="W11" s="53">
        <f t="shared" si="17"/>
        <v>0</v>
      </c>
      <c r="X11" s="46">
        <f t="shared" si="5"/>
        <v>0.90593644363810366</v>
      </c>
      <c r="Y11" s="54"/>
      <c r="Z11" s="41">
        <f t="shared" si="18"/>
        <v>450281.16697503702</v>
      </c>
      <c r="AA11" s="41">
        <f t="shared" si="19"/>
        <v>18460.12303061389</v>
      </c>
      <c r="AB11" s="41">
        <f t="shared" si="6"/>
        <v>495746.54068764311</v>
      </c>
      <c r="AC11" s="41">
        <f t="shared" si="7"/>
        <v>18118.728872762073</v>
      </c>
      <c r="AD11" s="54"/>
      <c r="AE11" s="41">
        <f t="shared" si="20"/>
        <v>0</v>
      </c>
      <c r="AF11" s="41"/>
      <c r="AG11" s="41">
        <f t="shared" si="8"/>
        <v>-22.648411090952592</v>
      </c>
      <c r="AH11" s="41">
        <f t="shared" si="21"/>
        <v>-34139.415785181518</v>
      </c>
      <c r="AI11" s="41">
        <f t="shared" si="22"/>
        <v>0</v>
      </c>
      <c r="AJ11" s="41">
        <f t="shared" si="9"/>
        <v>-34162.064196272469</v>
      </c>
      <c r="AK11" s="41">
        <f t="shared" si="10"/>
        <v>-45465.373712606088</v>
      </c>
      <c r="AL11" s="41">
        <f t="shared" si="23"/>
        <v>18749.651600226036</v>
      </c>
      <c r="AM11" s="41">
        <f t="shared" si="11"/>
        <v>-60877.786308652518</v>
      </c>
      <c r="AN11" s="41">
        <f t="shared" si="12"/>
        <v>341.394157851817</v>
      </c>
      <c r="AO11" s="41">
        <f t="shared" si="13"/>
        <v>-60536.392150800704</v>
      </c>
      <c r="AP11" s="45"/>
      <c r="AQ11" s="45"/>
      <c r="AR11" s="48"/>
      <c r="AS11" s="48"/>
      <c r="AT11" s="51">
        <f t="shared" si="24"/>
        <v>7</v>
      </c>
      <c r="AU11" s="49">
        <f t="shared" si="25"/>
        <v>0.92300615153069443</v>
      </c>
      <c r="AV11" s="49">
        <f t="shared" si="26"/>
        <v>1.7069707892590758E-2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273.61</v>
      </c>
      <c r="AX11" s="50">
        <f>IF(ISERROR(ROUND(MAX(0,1000*NPV($AT$2,$AV12:$AV$124)-$AW$2*($AU12+NPV($AT$2,$AU13:$AU$124)))/AU12,3)), 0, ROUND(MAX(0,1000*NPV($AT$2,$AV12:$AV$124)-$AW$2*($AU12+NPV($AT$2,$AU13:$AU$124)))/AU12,3))</f>
        <v>142.21199999999999</v>
      </c>
    </row>
    <row r="12" spans="1:54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7"/>
        <v/>
      </c>
      <c r="L12" s="42">
        <f t="shared" si="28"/>
        <v>25</v>
      </c>
      <c r="M12" s="41">
        <f t="shared" si="29"/>
        <v>2000000</v>
      </c>
      <c r="N12" s="43">
        <f>AX12</f>
        <v>173.61</v>
      </c>
      <c r="O12" s="44">
        <f t="shared" si="2"/>
        <v>303.661</v>
      </c>
      <c r="P12" s="41">
        <f t="shared" si="3"/>
        <v>347220</v>
      </c>
      <c r="Q12" s="41">
        <f t="shared" si="4"/>
        <v>607322</v>
      </c>
      <c r="R12" s="44"/>
      <c r="S12" s="44">
        <f t="shared" si="14"/>
        <v>20.477517472598997</v>
      </c>
      <c r="T12" s="52">
        <f>$C$12</f>
        <v>0</v>
      </c>
      <c r="U12" s="53">
        <f t="shared" si="15"/>
        <v>0.90593644363810366</v>
      </c>
      <c r="V12" s="53">
        <f t="shared" si="16"/>
        <v>1.8551329353663465E-2</v>
      </c>
      <c r="W12" s="53">
        <f t="shared" si="17"/>
        <v>0</v>
      </c>
      <c r="X12" s="46">
        <f t="shared" si="5"/>
        <v>0.88738511428444022</v>
      </c>
      <c r="Y12" s="54"/>
      <c r="Z12" s="41">
        <f t="shared" si="18"/>
        <v>495746.54068764311</v>
      </c>
      <c r="AA12" s="41">
        <f t="shared" si="19"/>
        <v>18118.728872762073</v>
      </c>
      <c r="AB12" s="41">
        <f t="shared" si="6"/>
        <v>538928.50237745477</v>
      </c>
      <c r="AC12" s="41">
        <f t="shared" si="7"/>
        <v>17747.702285688803</v>
      </c>
      <c r="AD12" s="54"/>
      <c r="AE12" s="41">
        <f t="shared" si="20"/>
        <v>0</v>
      </c>
      <c r="AF12" s="41"/>
      <c r="AG12" s="41">
        <f t="shared" si="8"/>
        <v>-22.184627857111007</v>
      </c>
      <c r="AH12" s="41">
        <f t="shared" si="21"/>
        <v>-37102.658707326933</v>
      </c>
      <c r="AI12" s="41">
        <f t="shared" si="22"/>
        <v>0</v>
      </c>
      <c r="AJ12" s="41">
        <f t="shared" si="9"/>
        <v>-37124.843335184043</v>
      </c>
      <c r="AK12" s="41">
        <f t="shared" si="10"/>
        <v>-43181.961689811666</v>
      </c>
      <c r="AL12" s="41">
        <f t="shared" si="23"/>
        <v>20554.610782416206</v>
      </c>
      <c r="AM12" s="41">
        <f t="shared" si="11"/>
        <v>-59752.194242579499</v>
      </c>
      <c r="AN12" s="41">
        <f t="shared" si="12"/>
        <v>371.02658707326918</v>
      </c>
      <c r="AO12" s="41">
        <f t="shared" si="13"/>
        <v>-59381.167655506229</v>
      </c>
      <c r="AP12" s="45"/>
      <c r="AQ12" s="45"/>
      <c r="AR12" s="48"/>
      <c r="AS12" s="48"/>
      <c r="AT12" s="51">
        <f t="shared" si="24"/>
        <v>8</v>
      </c>
      <c r="AU12" s="49">
        <f t="shared" si="25"/>
        <v>0.90593644363810366</v>
      </c>
      <c r="AV12" s="49">
        <f t="shared" si="26"/>
        <v>1.8551329353663465E-2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303.661</v>
      </c>
      <c r="AX12" s="50">
        <f>IF(ISERROR(ROUND(MAX(0,1000*NPV($AT$2,$AV13:$AV$124)-$AW$2*($AU13+NPV($AT$2,$AU14:$AU$124)))/AU13,3)), 0, ROUND(MAX(0,1000*NPV($AT$2,$AV13:$AV$124)-$AW$2*($AU13+NPV($AT$2,$AU14:$AU$124)))/AU13,3))</f>
        <v>173.61</v>
      </c>
    </row>
    <row r="13" spans="1:54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7"/>
        <v/>
      </c>
      <c r="L13" s="42">
        <f t="shared" si="28"/>
        <v>25</v>
      </c>
      <c r="M13" s="41">
        <f t="shared" si="29"/>
        <v>2000000</v>
      </c>
      <c r="N13" s="43">
        <f t="shared" si="1"/>
        <v>205.732</v>
      </c>
      <c r="O13" s="44">
        <f t="shared" si="2"/>
        <v>334.012</v>
      </c>
      <c r="P13" s="41">
        <f t="shared" si="3"/>
        <v>411464</v>
      </c>
      <c r="Q13" s="41">
        <f t="shared" si="4"/>
        <v>668024</v>
      </c>
      <c r="R13" s="44"/>
      <c r="S13" s="44">
        <f t="shared" si="14"/>
        <v>22.766625658052398</v>
      </c>
      <c r="T13" s="52">
        <f>$C$12</f>
        <v>0</v>
      </c>
      <c r="U13" s="53">
        <f t="shared" si="15"/>
        <v>0.88738511428444022</v>
      </c>
      <c r="V13" s="53">
        <f t="shared" si="16"/>
        <v>2.0202764711441897E-2</v>
      </c>
      <c r="W13" s="53">
        <f t="shared" si="17"/>
        <v>0</v>
      </c>
      <c r="X13" s="46">
        <f t="shared" si="5"/>
        <v>0.86718234957299833</v>
      </c>
      <c r="Y13" s="54"/>
      <c r="Z13" s="41">
        <f t="shared" si="18"/>
        <v>538928.50237745477</v>
      </c>
      <c r="AA13" s="41">
        <f t="shared" si="19"/>
        <v>17747.702285688803</v>
      </c>
      <c r="AB13" s="41">
        <f t="shared" si="6"/>
        <v>579298.6218911527</v>
      </c>
      <c r="AC13" s="41">
        <f t="shared" si="7"/>
        <v>17343.646991459966</v>
      </c>
      <c r="AD13" s="54"/>
      <c r="AE13" s="41">
        <f t="shared" si="20"/>
        <v>0</v>
      </c>
      <c r="AF13" s="41"/>
      <c r="AG13" s="41">
        <f t="shared" si="8"/>
        <v>-21.679558739324957</v>
      </c>
      <c r="AH13" s="41">
        <f t="shared" si="21"/>
        <v>-40405.529422883796</v>
      </c>
      <c r="AI13" s="41">
        <f t="shared" si="22"/>
        <v>0</v>
      </c>
      <c r="AJ13" s="41">
        <f>SUM(AE13:AI13)</f>
        <v>-40427.208981623124</v>
      </c>
      <c r="AK13" s="41">
        <f t="shared" si="10"/>
        <v>-40370.119513697922</v>
      </c>
      <c r="AL13" s="41">
        <f t="shared" si="23"/>
        <v>22267.048186525746</v>
      </c>
      <c r="AM13" s="41">
        <f t="shared" si="11"/>
        <v>-58530.280308795293</v>
      </c>
      <c r="AN13" s="41">
        <f t="shared" si="12"/>
        <v>404.05529422883774</v>
      </c>
      <c r="AO13" s="41">
        <f t="shared" si="13"/>
        <v>-58126.225014566458</v>
      </c>
      <c r="AP13" s="45"/>
      <c r="AQ13" s="45"/>
      <c r="AR13" s="48"/>
      <c r="AS13" s="48"/>
      <c r="AT13" s="51">
        <f t="shared" si="24"/>
        <v>9</v>
      </c>
      <c r="AU13" s="49">
        <f t="shared" si="25"/>
        <v>0.88738511428444022</v>
      </c>
      <c r="AV13" s="49">
        <f t="shared" si="26"/>
        <v>2.0202764711441897E-2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334.012</v>
      </c>
      <c r="AX13" s="50">
        <f>IF(ISERROR(ROUND(MAX(0,1000*NPV($AT$2,$AV14:$AV$124)-$AW$2*($AU14+NPV($AT$2,$AU15:$AU$124)))/AU14,3)), 0, ROUND(MAX(0,1000*NPV($AT$2,$AV14:$AV$124)-$AW$2*($AU14+NPV($AT$2,$AU15:$AU$124)))/AU14,3))</f>
        <v>205.732</v>
      </c>
    </row>
    <row r="14" spans="1:54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7"/>
        <v/>
      </c>
      <c r="L14" s="42">
        <f t="shared" si="28"/>
        <v>25</v>
      </c>
      <c r="M14" s="41">
        <f t="shared" si="29"/>
        <v>2000000</v>
      </c>
      <c r="N14" s="43">
        <f t="shared" si="1"/>
        <v>238.44900000000001</v>
      </c>
      <c r="O14" s="44">
        <f t="shared" si="2"/>
        <v>364.53800000000001</v>
      </c>
      <c r="P14" s="41">
        <f t="shared" si="3"/>
        <v>476898</v>
      </c>
      <c r="Q14" s="41">
        <f t="shared" si="4"/>
        <v>729076</v>
      </c>
      <c r="R14" s="44"/>
      <c r="S14" s="44">
        <f t="shared" si="14"/>
        <v>25.4936301166078</v>
      </c>
      <c r="T14" s="52">
        <f>$C$12</f>
        <v>0</v>
      </c>
      <c r="U14" s="53">
        <f t="shared" si="15"/>
        <v>0.86718234957299833</v>
      </c>
      <c r="V14" s="53">
        <f t="shared" si="16"/>
        <v>2.2107626063664901E-2</v>
      </c>
      <c r="W14" s="53">
        <f t="shared" si="17"/>
        <v>0</v>
      </c>
      <c r="X14" s="46">
        <f t="shared" si="5"/>
        <v>0.84507472350933344</v>
      </c>
      <c r="Y14" s="54"/>
      <c r="Z14" s="41">
        <f t="shared" si="18"/>
        <v>579298.6218911527</v>
      </c>
      <c r="AA14" s="41">
        <f t="shared" si="19"/>
        <v>17343.646991459966</v>
      </c>
      <c r="AB14" s="41">
        <f t="shared" si="6"/>
        <v>616123.69911729079</v>
      </c>
      <c r="AC14" s="41">
        <f t="shared" si="7"/>
        <v>16901.49447018667</v>
      </c>
      <c r="AD14" s="54"/>
      <c r="AE14" s="41">
        <f t="shared" si="20"/>
        <v>0</v>
      </c>
      <c r="AF14" s="41"/>
      <c r="AG14" s="41">
        <f t="shared" si="8"/>
        <v>-21.126868087733335</v>
      </c>
      <c r="AH14" s="41">
        <f t="shared" si="21"/>
        <v>-44215.252127329804</v>
      </c>
      <c r="AI14" s="41">
        <f t="shared" si="22"/>
        <v>0</v>
      </c>
      <c r="AJ14" s="41">
        <f t="shared" si="9"/>
        <v>-44236.378995417537</v>
      </c>
      <c r="AK14" s="41">
        <f t="shared" si="10"/>
        <v>-36825.077226138092</v>
      </c>
      <c r="AL14" s="41">
        <f>$D$6*SUM(Z14:AA14,AE14:AF14)</f>
        <v>23865.690755304509</v>
      </c>
      <c r="AM14" s="41">
        <f t="shared" si="11"/>
        <v>-57195.765466251112</v>
      </c>
      <c r="AN14" s="41">
        <f t="shared" si="12"/>
        <v>442.15252127329586</v>
      </c>
      <c r="AO14" s="41">
        <f t="shared" si="13"/>
        <v>-56753.612944977816</v>
      </c>
      <c r="AP14" s="45"/>
      <c r="AQ14" s="45"/>
      <c r="AR14" s="48"/>
      <c r="AS14" s="48"/>
      <c r="AT14" s="51">
        <f t="shared" si="24"/>
        <v>10</v>
      </c>
      <c r="AU14" s="49">
        <f t="shared" si="25"/>
        <v>0.86718234957299833</v>
      </c>
      <c r="AV14" s="49">
        <f t="shared" si="26"/>
        <v>2.2107626063664901E-2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364.53800000000001</v>
      </c>
      <c r="AX14" s="50">
        <f>IF(ISERROR(ROUND(MAX(0,1000*NPV($AT$2,$AV15:$AV$124)-$AW$2*($AU15+NPV($AT$2,$AU16:$AU$124)))/AU15,3)), 0, ROUND(MAX(0,1000*NPV($AT$2,$AV15:$AV$124)-$AW$2*($AU15+NPV($AT$2,$AU16:$AU$124)))/AU15,3))</f>
        <v>238.44900000000001</v>
      </c>
    </row>
    <row r="15" spans="1:54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7"/>
        <v/>
      </c>
      <c r="L15" s="42">
        <f t="shared" si="28"/>
        <v>25</v>
      </c>
      <c r="M15" s="41">
        <f t="shared" si="29"/>
        <v>2000000</v>
      </c>
      <c r="N15" s="43">
        <f t="shared" si="1"/>
        <v>271.685</v>
      </c>
      <c r="O15" s="44">
        <f t="shared" si="2"/>
        <v>395.16399999999999</v>
      </c>
      <c r="P15" s="41">
        <f t="shared" si="3"/>
        <v>543370</v>
      </c>
      <c r="Q15" s="41">
        <f t="shared" si="4"/>
        <v>790328</v>
      </c>
      <c r="R15" s="44"/>
      <c r="S15" s="44">
        <f t="shared" si="14"/>
        <v>28.6394680231145</v>
      </c>
      <c r="T15" s="52">
        <f>$C$13</f>
        <v>0</v>
      </c>
      <c r="U15" s="53">
        <f t="shared" si="15"/>
        <v>0.84507472350933344</v>
      </c>
      <c r="V15" s="53">
        <f t="shared" si="16"/>
        <v>2.4202490521087881E-2</v>
      </c>
      <c r="W15" s="53">
        <f t="shared" si="17"/>
        <v>0</v>
      </c>
      <c r="X15" s="46">
        <f t="shared" si="5"/>
        <v>0.82087223298824552</v>
      </c>
      <c r="Y15" s="54"/>
      <c r="Z15" s="41">
        <f t="shared" si="18"/>
        <v>616123.69911729079</v>
      </c>
      <c r="AA15" s="41">
        <f t="shared" si="19"/>
        <v>16901.49447018667</v>
      </c>
      <c r="AB15" s="41">
        <f t="shared" si="6"/>
        <v>648758.31015313405</v>
      </c>
      <c r="AC15" s="41">
        <f t="shared" si="7"/>
        <v>16417.444659764911</v>
      </c>
      <c r="AD15" s="54"/>
      <c r="AE15" s="41">
        <f t="shared" si="20"/>
        <v>0</v>
      </c>
      <c r="AF15" s="41"/>
      <c r="AG15" s="41">
        <f t="shared" si="8"/>
        <v>-20.521805824706139</v>
      </c>
      <c r="AH15" s="41">
        <f t="shared" si="21"/>
        <v>-48404.981042175765</v>
      </c>
      <c r="AI15" s="41">
        <f t="shared" si="22"/>
        <v>0</v>
      </c>
      <c r="AJ15" s="41">
        <f t="shared" si="9"/>
        <v>-48425.502848000469</v>
      </c>
      <c r="AK15" s="41">
        <f t="shared" si="10"/>
        <v>-32634.611035843263</v>
      </c>
      <c r="AL15" s="41">
        <f t="shared" si="23"/>
        <v>25321.007743499096</v>
      </c>
      <c r="AM15" s="41">
        <f t="shared" si="11"/>
        <v>-55739.106140344637</v>
      </c>
      <c r="AN15" s="41">
        <f t="shared" si="12"/>
        <v>484.04981042175859</v>
      </c>
      <c r="AO15" s="41">
        <f t="shared" si="13"/>
        <v>-55255.056329922882</v>
      </c>
      <c r="AP15" s="45"/>
      <c r="AQ15" s="45"/>
      <c r="AR15" s="48"/>
      <c r="AS15" s="48"/>
      <c r="AT15" s="51">
        <f t="shared" si="24"/>
        <v>11</v>
      </c>
      <c r="AU15" s="49">
        <f t="shared" si="25"/>
        <v>0.84507472350933344</v>
      </c>
      <c r="AV15" s="49">
        <f t="shared" si="26"/>
        <v>2.4202490521087881E-2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395.16399999999999</v>
      </c>
      <c r="AX15" s="50">
        <f>IF(ISERROR(ROUND(MAX(0,1000*NPV($AT$2,$AV16:$AV$124)-$AW$2*($AU16+NPV($AT$2,$AU17:$AU$124)))/AU16,3)), 0, ROUND(MAX(0,1000*NPV($AT$2,$AV16:$AV$124)-$AW$2*($AU16+NPV($AT$2,$AU17:$AU$124)))/AU16,3))</f>
        <v>271.685</v>
      </c>
    </row>
    <row r="16" spans="1:54" ht="15" x14ac:dyDescent="0.25">
      <c r="A16" s="15"/>
      <c r="B16" s="19">
        <v>1</v>
      </c>
      <c r="C16" s="18">
        <v>0.3</v>
      </c>
      <c r="D16" s="1"/>
      <c r="E16" s="19" t="s">
        <v>69</v>
      </c>
      <c r="F16" s="7">
        <v>0.06</v>
      </c>
      <c r="G16" s="5"/>
      <c r="H16" s="1"/>
      <c r="I16" s="51">
        <v>12</v>
      </c>
      <c r="J16" s="41"/>
      <c r="K16" s="41" t="str">
        <f t="shared" si="27"/>
        <v/>
      </c>
      <c r="L16" s="42">
        <f t="shared" si="28"/>
        <v>25</v>
      </c>
      <c r="M16" s="41">
        <f t="shared" si="29"/>
        <v>2000000</v>
      </c>
      <c r="N16" s="43">
        <f t="shared" si="1"/>
        <v>301.96600000000001</v>
      </c>
      <c r="O16" s="44">
        <f t="shared" si="2"/>
        <v>423.00400000000002</v>
      </c>
      <c r="P16" s="41">
        <f t="shared" si="3"/>
        <v>603932</v>
      </c>
      <c r="Q16" s="41">
        <f t="shared" si="4"/>
        <v>846008</v>
      </c>
      <c r="R16" s="44"/>
      <c r="S16" s="44">
        <f t="shared" si="14"/>
        <v>36.972147468375503</v>
      </c>
      <c r="T16" s="52">
        <f t="shared" ref="T16:T80" si="30">$C$13</f>
        <v>0</v>
      </c>
      <c r="U16" s="53">
        <f t="shared" si="15"/>
        <v>0.82087223298824552</v>
      </c>
      <c r="V16" s="53">
        <f t="shared" si="16"/>
        <v>3.034940925073611E-2</v>
      </c>
      <c r="W16" s="53">
        <f t="shared" si="17"/>
        <v>0</v>
      </c>
      <c r="X16" s="46">
        <f t="shared" si="5"/>
        <v>0.79052282373750937</v>
      </c>
      <c r="Y16" s="54"/>
      <c r="Z16" s="41">
        <f t="shared" si="18"/>
        <v>648758.31015313405</v>
      </c>
      <c r="AA16" s="41">
        <f t="shared" si="19"/>
        <v>16417.444659764911</v>
      </c>
      <c r="AB16" s="41">
        <f t="shared" si="6"/>
        <v>668788.63306452287</v>
      </c>
      <c r="AC16" s="41">
        <f t="shared" si="7"/>
        <v>15810.456474750188</v>
      </c>
      <c r="AD16" s="54"/>
      <c r="AE16" s="41">
        <f t="shared" si="20"/>
        <v>0</v>
      </c>
      <c r="AF16" s="41"/>
      <c r="AG16" s="41">
        <f t="shared" si="8"/>
        <v>-19.763070593437735</v>
      </c>
      <c r="AH16" s="41">
        <f t="shared" si="21"/>
        <v>-60698.818501472218</v>
      </c>
      <c r="AI16" s="41">
        <f t="shared" si="22"/>
        <v>0</v>
      </c>
      <c r="AJ16" s="41">
        <f t="shared" si="9"/>
        <v>-60718.581572065654</v>
      </c>
      <c r="AK16" s="41">
        <f t="shared" si="10"/>
        <v>-20030.322911388823</v>
      </c>
      <c r="AL16" s="41">
        <f t="shared" si="23"/>
        <v>26607.030192515958</v>
      </c>
      <c r="AM16" s="41">
        <f t="shared" si="11"/>
        <v>-54141.874290938518</v>
      </c>
      <c r="AN16" s="41">
        <f t="shared" si="12"/>
        <v>606.98818501472306</v>
      </c>
      <c r="AO16" s="41">
        <f t="shared" si="13"/>
        <v>-53534.886105923797</v>
      </c>
      <c r="AP16" s="45"/>
      <c r="AQ16" s="45"/>
      <c r="AR16" s="48"/>
      <c r="AS16" s="48"/>
      <c r="AT16" s="51">
        <f t="shared" si="24"/>
        <v>12</v>
      </c>
      <c r="AU16" s="49">
        <f t="shared" si="25"/>
        <v>0.82087223298824552</v>
      </c>
      <c r="AV16" s="49">
        <f t="shared" si="26"/>
        <v>3.034940925073611E-2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423.00400000000002</v>
      </c>
      <c r="AX16" s="50">
        <f>IF(ISERROR(ROUND(MAX(0,1000*NPV($AT$2,$AV17:$AV$124)-$AW$2*($AU17+NPV($AT$2,$AU18:$AU$124)))/AU17,3)), 0, ROUND(MAX(0,1000*NPV($AT$2,$AV17:$AV$124)-$AW$2*($AU17+NPV($AT$2,$AU18:$AU$124)))/AU17,3))</f>
        <v>301.96600000000001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7"/>
        <v/>
      </c>
      <c r="L17" s="42">
        <f t="shared" si="28"/>
        <v>25</v>
      </c>
      <c r="M17" s="41">
        <f t="shared" si="29"/>
        <v>2000000</v>
      </c>
      <c r="N17" s="43">
        <f t="shared" si="1"/>
        <v>331.98399999999998</v>
      </c>
      <c r="O17" s="44">
        <f t="shared" si="2"/>
        <v>450.34300000000002</v>
      </c>
      <c r="P17" s="41">
        <f t="shared" si="3"/>
        <v>663968</v>
      </c>
      <c r="Q17" s="41">
        <f t="shared" si="4"/>
        <v>900686</v>
      </c>
      <c r="R17" s="44"/>
      <c r="S17" s="44">
        <f t="shared" si="14"/>
        <v>41.747121772914802</v>
      </c>
      <c r="T17" s="52">
        <f t="shared" si="30"/>
        <v>0</v>
      </c>
      <c r="U17" s="53">
        <f t="shared" si="15"/>
        <v>0.79052282373750937</v>
      </c>
      <c r="V17" s="53">
        <f t="shared" si="16"/>
        <v>3.3002052586838269E-2</v>
      </c>
      <c r="W17" s="53">
        <f t="shared" si="17"/>
        <v>0</v>
      </c>
      <c r="X17" s="46">
        <f t="shared" si="5"/>
        <v>0.75752077115067107</v>
      </c>
      <c r="Y17" s="54"/>
      <c r="Z17" s="41">
        <f t="shared" si="18"/>
        <v>668788.63306452287</v>
      </c>
      <c r="AA17" s="41">
        <f t="shared" si="19"/>
        <v>15810.456474750188</v>
      </c>
      <c r="AB17" s="41">
        <f t="shared" si="6"/>
        <v>682288.35328461335</v>
      </c>
      <c r="AC17" s="41">
        <f t="shared" si="7"/>
        <v>15150.415423013421</v>
      </c>
      <c r="AD17" s="54"/>
      <c r="AE17" s="41">
        <f t="shared" si="20"/>
        <v>0</v>
      </c>
      <c r="AF17" s="41"/>
      <c r="AG17" s="41">
        <f t="shared" si="8"/>
        <v>-18.938019278766777</v>
      </c>
      <c r="AH17" s="41">
        <f t="shared" si="21"/>
        <v>-66004.105173676537</v>
      </c>
      <c r="AI17" s="41">
        <f t="shared" si="22"/>
        <v>0</v>
      </c>
      <c r="AJ17" s="41">
        <f t="shared" si="9"/>
        <v>-66023.043192955301</v>
      </c>
      <c r="AK17" s="41">
        <f t="shared" si="10"/>
        <v>-13499.720220090472</v>
      </c>
      <c r="AL17" s="41">
        <f t="shared" si="23"/>
        <v>27383.963581570923</v>
      </c>
      <c r="AM17" s="41">
        <f t="shared" si="11"/>
        <v>-52138.799831474855</v>
      </c>
      <c r="AN17" s="41">
        <f t="shared" si="12"/>
        <v>660.04105173676726</v>
      </c>
      <c r="AO17" s="41">
        <f t="shared" si="13"/>
        <v>-51478.758779738084</v>
      </c>
      <c r="AP17" s="45"/>
      <c r="AQ17" s="45"/>
      <c r="AR17" s="48"/>
      <c r="AS17" s="48"/>
      <c r="AT17" s="51">
        <f t="shared" si="24"/>
        <v>13</v>
      </c>
      <c r="AU17" s="49">
        <f t="shared" si="25"/>
        <v>0.79052282373750937</v>
      </c>
      <c r="AV17" s="49">
        <f t="shared" si="26"/>
        <v>3.3002052586838269E-2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450.34300000000002</v>
      </c>
      <c r="AX17" s="50">
        <f>IF(ISERROR(ROUND(MAX(0,1000*NPV($AT$2,$AV18:$AV$124)-$AW$2*($AU18+NPV($AT$2,$AU19:$AU$124)))/AU18,3)), 0, ROUND(MAX(0,1000*NPV($AT$2,$AV18:$AV$124)-$AW$2*($AU18+NPV($AT$2,$AU19:$AU$124)))/AU18,3))</f>
        <v>331.98399999999998</v>
      </c>
    </row>
    <row r="18" spans="1:50" ht="15" x14ac:dyDescent="0.25">
      <c r="A18" s="12" t="s">
        <v>10</v>
      </c>
      <c r="B18" s="14"/>
      <c r="C18" s="3"/>
      <c r="D18" s="1"/>
      <c r="E18" s="1" t="s">
        <v>75</v>
      </c>
      <c r="F18" s="7">
        <v>0.05</v>
      </c>
      <c r="G18" s="1"/>
      <c r="H18" s="1"/>
      <c r="I18" s="51">
        <v>14</v>
      </c>
      <c r="J18" s="41"/>
      <c r="K18" s="41" t="str">
        <f t="shared" si="27"/>
        <v/>
      </c>
      <c r="L18" s="42">
        <f t="shared" si="28"/>
        <v>25</v>
      </c>
      <c r="M18" s="41">
        <f t="shared" si="29"/>
        <v>2000000</v>
      </c>
      <c r="N18" s="43">
        <f t="shared" si="1"/>
        <v>361.63299999999998</v>
      </c>
      <c r="O18" s="44">
        <f t="shared" si="2"/>
        <v>477.10300000000001</v>
      </c>
      <c r="P18" s="41">
        <f t="shared" si="3"/>
        <v>723266</v>
      </c>
      <c r="Q18" s="41">
        <f t="shared" si="4"/>
        <v>954206</v>
      </c>
      <c r="R18" s="44"/>
      <c r="S18" s="44">
        <f t="shared" si="14"/>
        <v>47.085483572676203</v>
      </c>
      <c r="T18" s="52">
        <f t="shared" si="30"/>
        <v>0</v>
      </c>
      <c r="U18" s="53">
        <f t="shared" si="15"/>
        <v>0.75752077115067107</v>
      </c>
      <c r="V18" s="53">
        <f t="shared" si="16"/>
        <v>3.5668231825975928E-2</v>
      </c>
      <c r="W18" s="53">
        <f t="shared" si="17"/>
        <v>0</v>
      </c>
      <c r="X18" s="46">
        <f t="shared" si="5"/>
        <v>0.72185253932469517</v>
      </c>
      <c r="Y18" s="54"/>
      <c r="Z18" s="41">
        <f t="shared" si="18"/>
        <v>682288.35328461335</v>
      </c>
      <c r="AA18" s="41">
        <f t="shared" si="19"/>
        <v>15150.415423013421</v>
      </c>
      <c r="AB18" s="41">
        <f t="shared" si="6"/>
        <v>688796.02413886006</v>
      </c>
      <c r="AC18" s="41">
        <f t="shared" si="7"/>
        <v>14437.050786493903</v>
      </c>
      <c r="AD18" s="54"/>
      <c r="AE18" s="41">
        <f t="shared" si="20"/>
        <v>0</v>
      </c>
      <c r="AF18" s="41"/>
      <c r="AG18" s="41">
        <f t="shared" si="8"/>
        <v>-18.04631348311738</v>
      </c>
      <c r="AH18" s="41">
        <f t="shared" si="21"/>
        <v>-71336.463651951854</v>
      </c>
      <c r="AI18" s="41">
        <f t="shared" si="22"/>
        <v>0</v>
      </c>
      <c r="AJ18" s="41">
        <f t="shared" si="9"/>
        <v>-71354.509965434976</v>
      </c>
      <c r="AK18" s="41">
        <f t="shared" si="10"/>
        <v>-6507.6708542467095</v>
      </c>
      <c r="AL18" s="41">
        <f t="shared" si="23"/>
        <v>27897.550748305071</v>
      </c>
      <c r="AM18" s="41">
        <f t="shared" si="11"/>
        <v>-49964.63007137661</v>
      </c>
      <c r="AN18" s="41">
        <f t="shared" si="12"/>
        <v>713.36463651951817</v>
      </c>
      <c r="AO18" s="41">
        <f t="shared" si="13"/>
        <v>-49251.265434857094</v>
      </c>
      <c r="AP18" s="45"/>
      <c r="AQ18" s="45"/>
      <c r="AR18" s="48"/>
      <c r="AS18" s="48"/>
      <c r="AT18" s="51">
        <f t="shared" si="24"/>
        <v>14</v>
      </c>
      <c r="AU18" s="49">
        <f t="shared" si="25"/>
        <v>0.75752077115067107</v>
      </c>
      <c r="AV18" s="49">
        <f t="shared" si="26"/>
        <v>3.5668231825975928E-2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477.10300000000001</v>
      </c>
      <c r="AX18" s="50">
        <f>IF(ISERROR(ROUND(MAX(0,1000*NPV($AT$2,$AV19:$AV$124)-$AW$2*($AU19+NPV($AT$2,$AU20:$AU$124)))/AU19,3)), 0, ROUND(MAX(0,1000*NPV($AT$2,$AV19:$AV$124)-$AW$2*($AU19+NPV($AT$2,$AU20:$AU$124)))/AU19,3))</f>
        <v>361.63299999999998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7"/>
        <v/>
      </c>
      <c r="L19" s="42">
        <f t="shared" si="28"/>
        <v>25</v>
      </c>
      <c r="M19" s="41">
        <f t="shared" si="29"/>
        <v>2000000</v>
      </c>
      <c r="N19" s="43">
        <f t="shared" si="1"/>
        <v>390.81700000000001</v>
      </c>
      <c r="O19" s="44">
        <f t="shared" si="2"/>
        <v>503.21100000000001</v>
      </c>
      <c r="P19" s="41">
        <f t="shared" si="3"/>
        <v>781634</v>
      </c>
      <c r="Q19" s="41">
        <f t="shared" si="4"/>
        <v>1006422</v>
      </c>
      <c r="R19" s="44"/>
      <c r="S19" s="44">
        <f t="shared" si="14"/>
        <v>53.025010084243995</v>
      </c>
      <c r="T19" s="52">
        <f t="shared" si="30"/>
        <v>0</v>
      </c>
      <c r="U19" s="53">
        <f t="shared" si="15"/>
        <v>0.72185253932469517</v>
      </c>
      <c r="V19" s="53">
        <f t="shared" si="16"/>
        <v>3.8276238177029097E-2</v>
      </c>
      <c r="W19" s="53">
        <f t="shared" si="17"/>
        <v>0</v>
      </c>
      <c r="X19" s="46">
        <f t="shared" si="5"/>
        <v>0.6835763011476661</v>
      </c>
      <c r="Y19" s="54"/>
      <c r="Z19" s="41">
        <f t="shared" si="18"/>
        <v>688796.02413886006</v>
      </c>
      <c r="AA19" s="41">
        <f t="shared" si="19"/>
        <v>14437.050786493903</v>
      </c>
      <c r="AB19" s="41">
        <f t="shared" si="6"/>
        <v>687966.22815363645</v>
      </c>
      <c r="AC19" s="41">
        <f t="shared" si="7"/>
        <v>13671.526022953321</v>
      </c>
      <c r="AD19" s="54"/>
      <c r="AE19" s="41">
        <f t="shared" si="20"/>
        <v>0</v>
      </c>
      <c r="AF19" s="41"/>
      <c r="AG19" s="41">
        <f t="shared" si="8"/>
        <v>-17.089407528691652</v>
      </c>
      <c r="AH19" s="41">
        <f t="shared" si="21"/>
        <v>-76552.476354058192</v>
      </c>
      <c r="AI19" s="41">
        <f t="shared" si="22"/>
        <v>0</v>
      </c>
      <c r="AJ19" s="41">
        <f t="shared" si="9"/>
        <v>-76569.565761586884</v>
      </c>
      <c r="AK19" s="41">
        <f t="shared" si="10"/>
        <v>829.79598522360902</v>
      </c>
      <c r="AL19" s="41">
        <f t="shared" si="23"/>
        <v>28129.322997014158</v>
      </c>
      <c r="AM19" s="41">
        <f t="shared" si="11"/>
        <v>-47610.44677934912</v>
      </c>
      <c r="AN19" s="41">
        <f t="shared" si="12"/>
        <v>765.52476354058126</v>
      </c>
      <c r="AO19" s="41">
        <f t="shared" si="13"/>
        <v>-46844.922015808537</v>
      </c>
      <c r="AP19" s="45"/>
      <c r="AQ19" s="45"/>
      <c r="AR19" s="48"/>
      <c r="AS19" s="48"/>
      <c r="AT19" s="51">
        <f t="shared" si="24"/>
        <v>15</v>
      </c>
      <c r="AU19" s="49">
        <f t="shared" si="25"/>
        <v>0.72185253932469517</v>
      </c>
      <c r="AV19" s="49">
        <f t="shared" si="26"/>
        <v>3.8276238177029097E-2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503.21100000000001</v>
      </c>
      <c r="AX19" s="50">
        <f>IF(ISERROR(ROUND(MAX(0,1000*NPV($AT$2,$AV20:$AV$124)-$AW$2*($AU20+NPV($AT$2,$AU21:$AU$124)))/AU20,3)), 0, ROUND(MAX(0,1000*NPV($AT$2,$AV20:$AV$124)-$AW$2*($AU20+NPV($AT$2,$AU21:$AU$124)))/AU20,3))</f>
        <v>390.81700000000001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>
        <v>5</v>
      </c>
      <c r="G20" s="1"/>
      <c r="H20" s="1"/>
      <c r="I20" s="51">
        <v>16</v>
      </c>
      <c r="J20" s="41"/>
      <c r="K20" s="41" t="str">
        <f t="shared" si="27"/>
        <v/>
      </c>
      <c r="L20" s="42">
        <f t="shared" si="28"/>
        <v>25</v>
      </c>
      <c r="M20" s="41">
        <f t="shared" si="29"/>
        <v>2000000</v>
      </c>
      <c r="N20" s="43">
        <f t="shared" si="1"/>
        <v>419.51100000000002</v>
      </c>
      <c r="O20" s="44">
        <f t="shared" si="2"/>
        <v>528.65700000000004</v>
      </c>
      <c r="P20" s="41">
        <f t="shared" si="3"/>
        <v>839022</v>
      </c>
      <c r="Q20" s="41">
        <f t="shared" si="4"/>
        <v>1057314.0000000002</v>
      </c>
      <c r="R20" s="44"/>
      <c r="S20" s="44">
        <f t="shared" si="14"/>
        <v>59.506610754154494</v>
      </c>
      <c r="T20" s="52">
        <f t="shared" si="30"/>
        <v>0</v>
      </c>
      <c r="U20" s="53">
        <f t="shared" si="15"/>
        <v>0.6835763011476661</v>
      </c>
      <c r="V20" s="53">
        <f t="shared" si="16"/>
        <v>4.067730887315886E-2</v>
      </c>
      <c r="W20" s="53">
        <f t="shared" si="17"/>
        <v>0</v>
      </c>
      <c r="X20" s="46">
        <f t="shared" si="5"/>
        <v>0.6428989922745072</v>
      </c>
      <c r="Y20" s="54"/>
      <c r="Z20" s="41">
        <f t="shared" si="18"/>
        <v>687966.22815363645</v>
      </c>
      <c r="AA20" s="41">
        <f t="shared" si="19"/>
        <v>13671.526022953321</v>
      </c>
      <c r="AB20" s="41">
        <f t="shared" si="6"/>
        <v>679746.10511772847</v>
      </c>
      <c r="AC20" s="41">
        <f t="shared" si="7"/>
        <v>12857.979845490145</v>
      </c>
      <c r="AD20" s="54"/>
      <c r="AE20" s="41">
        <f t="shared" si="20"/>
        <v>0</v>
      </c>
      <c r="AF20" s="41"/>
      <c r="AG20" s="41">
        <f t="shared" si="8"/>
        <v>-16.072474806862679</v>
      </c>
      <c r="AH20" s="41">
        <f t="shared" si="21"/>
        <v>-81354.617746317716</v>
      </c>
      <c r="AI20" s="41">
        <f t="shared" si="22"/>
        <v>0</v>
      </c>
      <c r="AJ20" s="41">
        <f t="shared" si="9"/>
        <v>-81370.690221124576</v>
      </c>
      <c r="AK20" s="41">
        <f t="shared" si="10"/>
        <v>8220.1230359079782</v>
      </c>
      <c r="AL20" s="41">
        <f t="shared" si="23"/>
        <v>28065.510167063592</v>
      </c>
      <c r="AM20" s="41">
        <f t="shared" si="11"/>
        <v>-45085.057018153006</v>
      </c>
      <c r="AN20" s="41">
        <f t="shared" si="12"/>
        <v>813.54617746317672</v>
      </c>
      <c r="AO20" s="41">
        <f t="shared" si="13"/>
        <v>-44271.510840689829</v>
      </c>
      <c r="AP20" s="45"/>
      <c r="AQ20" s="45"/>
      <c r="AR20" s="48"/>
      <c r="AS20" s="48"/>
      <c r="AT20" s="51">
        <f t="shared" si="24"/>
        <v>16</v>
      </c>
      <c r="AU20" s="49">
        <f t="shared" si="25"/>
        <v>0.6835763011476661</v>
      </c>
      <c r="AV20" s="49">
        <f t="shared" si="26"/>
        <v>4.067730887315886E-2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528.65700000000004</v>
      </c>
      <c r="AX20" s="50">
        <f>IF(ISERROR(ROUND(MAX(0,1000*NPV($AT$2,$AV21:$AV$124)-$AW$2*($AU21+NPV($AT$2,$AU22:$AU$124)))/AU21,3)), 0, ROUND(MAX(0,1000*NPV($AT$2,$AV21:$AV$124)-$AW$2*($AU21+NPV($AT$2,$AU22:$AU$124)))/AU21,3))</f>
        <v>419.51100000000002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7"/>
        <v/>
      </c>
      <c r="L21" s="42">
        <f t="shared" si="28"/>
        <v>25</v>
      </c>
      <c r="M21" s="41">
        <f t="shared" si="29"/>
        <v>2000000</v>
      </c>
      <c r="N21" s="43">
        <f t="shared" si="1"/>
        <v>447.66800000000001</v>
      </c>
      <c r="O21" s="44">
        <f t="shared" si="2"/>
        <v>553.41399999999999</v>
      </c>
      <c r="P21" s="41">
        <f t="shared" si="3"/>
        <v>895336</v>
      </c>
      <c r="Q21" s="41">
        <f t="shared" si="4"/>
        <v>1106828</v>
      </c>
      <c r="R21" s="44"/>
      <c r="S21" s="44">
        <f t="shared" si="14"/>
        <v>66.629843904551592</v>
      </c>
      <c r="T21" s="52">
        <f t="shared" si="30"/>
        <v>0</v>
      </c>
      <c r="U21" s="53">
        <f t="shared" si="15"/>
        <v>0.6428989922745072</v>
      </c>
      <c r="V21" s="53">
        <f t="shared" si="16"/>
        <v>4.2836259501643936E-2</v>
      </c>
      <c r="W21" s="53">
        <f t="shared" si="17"/>
        <v>0</v>
      </c>
      <c r="X21" s="46">
        <f t="shared" si="5"/>
        <v>0.60006273277286326</v>
      </c>
      <c r="Y21" s="54"/>
      <c r="Z21" s="41">
        <f t="shared" si="18"/>
        <v>679746.10511772847</v>
      </c>
      <c r="AA21" s="41">
        <f t="shared" si="19"/>
        <v>12857.979845490145</v>
      </c>
      <c r="AB21" s="41">
        <f t="shared" si="6"/>
        <v>664166.23438952269</v>
      </c>
      <c r="AC21" s="41">
        <f t="shared" si="7"/>
        <v>12001.254655457265</v>
      </c>
      <c r="AD21" s="54"/>
      <c r="AE21" s="41">
        <f t="shared" si="20"/>
        <v>0</v>
      </c>
      <c r="AF21" s="41"/>
      <c r="AG21" s="41">
        <f t="shared" si="8"/>
        <v>-15.001568319321581</v>
      </c>
      <c r="AH21" s="41">
        <f t="shared" si="21"/>
        <v>-85672.519003287875</v>
      </c>
      <c r="AI21" s="41">
        <f t="shared" si="22"/>
        <v>0</v>
      </c>
      <c r="AJ21" s="41">
        <f t="shared" si="9"/>
        <v>-85687.520571607194</v>
      </c>
      <c r="AK21" s="41">
        <f t="shared" si="10"/>
        <v>15579.870728205773</v>
      </c>
      <c r="AL21" s="41">
        <f t="shared" si="23"/>
        <v>27704.163398528748</v>
      </c>
      <c r="AM21" s="41">
        <f t="shared" si="11"/>
        <v>-42403.486444872673</v>
      </c>
      <c r="AN21" s="41">
        <f t="shared" si="12"/>
        <v>856.72519003287925</v>
      </c>
      <c r="AO21" s="41">
        <f t="shared" si="13"/>
        <v>-41546.761254839796</v>
      </c>
      <c r="AP21" s="45"/>
      <c r="AQ21" s="45"/>
      <c r="AR21" s="48"/>
      <c r="AS21" s="48"/>
      <c r="AT21" s="51">
        <f t="shared" si="24"/>
        <v>17</v>
      </c>
      <c r="AU21" s="49">
        <f t="shared" si="25"/>
        <v>0.6428989922745072</v>
      </c>
      <c r="AV21" s="49">
        <f t="shared" si="26"/>
        <v>4.2836259501643936E-2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553.41399999999999</v>
      </c>
      <c r="AX21" s="50">
        <f>IF(ISERROR(ROUND(MAX(0,1000*NPV($AT$2,$AV22:$AV$124)-$AW$2*($AU22+NPV($AT$2,$AU23:$AU$124)))/AU22,3)), 0, ROUND(MAX(0,1000*NPV($AT$2,$AV22:$AV$124)-$AW$2*($AU22+NPV($AT$2,$AU23:$AU$124)))/AU22,3))</f>
        <v>447.66800000000001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7"/>
        <v/>
      </c>
      <c r="L22" s="42">
        <f t="shared" si="28"/>
        <v>25</v>
      </c>
      <c r="M22" s="41">
        <f t="shared" si="29"/>
        <v>2000000</v>
      </c>
      <c r="N22" s="43">
        <f t="shared" si="1"/>
        <v>475.13900000000001</v>
      </c>
      <c r="O22" s="44">
        <f t="shared" si="2"/>
        <v>577.37099999999998</v>
      </c>
      <c r="P22" s="41">
        <f t="shared" si="3"/>
        <v>950278</v>
      </c>
      <c r="Q22" s="41">
        <f t="shared" si="4"/>
        <v>1154742</v>
      </c>
      <c r="R22" s="44"/>
      <c r="S22" s="44">
        <f t="shared" si="14"/>
        <v>74.6418422641935</v>
      </c>
      <c r="T22" s="52">
        <f t="shared" si="30"/>
        <v>0</v>
      </c>
      <c r="U22" s="53">
        <f t="shared" si="15"/>
        <v>0.60006273277286326</v>
      </c>
      <c r="V22" s="53">
        <f t="shared" si="16"/>
        <v>4.4789787848252959E-2</v>
      </c>
      <c r="W22" s="53">
        <f t="shared" si="17"/>
        <v>0</v>
      </c>
      <c r="X22" s="46">
        <f t="shared" si="5"/>
        <v>0.55527294492461032</v>
      </c>
      <c r="Y22" s="54"/>
      <c r="Z22" s="41">
        <f t="shared" si="18"/>
        <v>664166.23438952269</v>
      </c>
      <c r="AA22" s="41">
        <f t="shared" si="19"/>
        <v>12001.254655457265</v>
      </c>
      <c r="AB22" s="41">
        <f t="shared" si="6"/>
        <v>641196.99096813437</v>
      </c>
      <c r="AC22" s="41">
        <f t="shared" si="7"/>
        <v>11105.458898492207</v>
      </c>
      <c r="AD22" s="54"/>
      <c r="AE22" s="41">
        <f t="shared" si="20"/>
        <v>0</v>
      </c>
      <c r="AF22" s="41"/>
      <c r="AG22" s="41">
        <f t="shared" si="8"/>
        <v>-13.881823623115258</v>
      </c>
      <c r="AH22" s="41">
        <f t="shared" si="21"/>
        <v>-89579.575696505912</v>
      </c>
      <c r="AI22" s="41">
        <f t="shared" si="22"/>
        <v>0</v>
      </c>
      <c r="AJ22" s="41">
        <f t="shared" si="9"/>
        <v>-89593.457520129028</v>
      </c>
      <c r="AK22" s="41">
        <f t="shared" si="10"/>
        <v>22969.243421388324</v>
      </c>
      <c r="AL22" s="41">
        <f t="shared" si="23"/>
        <v>27046.699561799196</v>
      </c>
      <c r="AM22" s="41">
        <f t="shared" si="11"/>
        <v>-39577.514536941511</v>
      </c>
      <c r="AN22" s="41">
        <f t="shared" si="12"/>
        <v>895.7957569650589</v>
      </c>
      <c r="AO22" s="41">
        <f t="shared" si="13"/>
        <v>-38681.718779976451</v>
      </c>
      <c r="AP22" s="45"/>
      <c r="AQ22" s="45"/>
      <c r="AR22" s="48"/>
      <c r="AS22" s="48"/>
      <c r="AT22" s="51">
        <f t="shared" si="24"/>
        <v>18</v>
      </c>
      <c r="AU22" s="49">
        <f t="shared" si="25"/>
        <v>0.60006273277286326</v>
      </c>
      <c r="AV22" s="49">
        <f t="shared" si="26"/>
        <v>4.4789787848252959E-2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577.37099999999998</v>
      </c>
      <c r="AX22" s="50">
        <f>IF(ISERROR(ROUND(MAX(0,1000*NPV($AT$2,$AV23:$AV$124)-$AW$2*($AU23+NPV($AT$2,$AU24:$AU$124)))/AU23,3)), 0, ROUND(MAX(0,1000*NPV($AT$2,$AV23:$AV$124)-$AW$2*($AU23+NPV($AT$2,$AU24:$AU$124)))/AU23,3))</f>
        <v>475.13900000000001</v>
      </c>
    </row>
    <row r="23" spans="1:50" ht="15" x14ac:dyDescent="0.25">
      <c r="B23" s="1"/>
      <c r="C23" s="1"/>
      <c r="D23" s="1"/>
      <c r="F23" s="1"/>
      <c r="G23" s="1"/>
      <c r="H23" s="1"/>
      <c r="I23" s="51">
        <v>19</v>
      </c>
      <c r="J23" s="41"/>
      <c r="K23" s="41" t="str">
        <f t="shared" si="27"/>
        <v/>
      </c>
      <c r="L23" s="42">
        <f t="shared" si="28"/>
        <v>25</v>
      </c>
      <c r="M23" s="41">
        <f t="shared" si="29"/>
        <v>2000000</v>
      </c>
      <c r="N23" s="43">
        <f t="shared" si="1"/>
        <v>501.76100000000002</v>
      </c>
      <c r="O23" s="44">
        <f t="shared" si="2"/>
        <v>600.40899999999999</v>
      </c>
      <c r="P23" s="41">
        <f t="shared" si="3"/>
        <v>1003522</v>
      </c>
      <c r="Q23" s="41">
        <f t="shared" si="4"/>
        <v>1200818</v>
      </c>
      <c r="R23" s="44"/>
      <c r="S23" s="44">
        <f t="shared" si="14"/>
        <v>83.64206086360899</v>
      </c>
      <c r="T23" s="52">
        <f t="shared" si="30"/>
        <v>0</v>
      </c>
      <c r="U23" s="53">
        <f t="shared" si="15"/>
        <v>0.55527294492461032</v>
      </c>
      <c r="V23" s="53">
        <f t="shared" si="16"/>
        <v>4.6444173455299664E-2</v>
      </c>
      <c r="W23" s="53">
        <f t="shared" si="17"/>
        <v>0</v>
      </c>
      <c r="X23" s="46">
        <f t="shared" si="5"/>
        <v>0.50882877146931071</v>
      </c>
      <c r="Y23" s="54"/>
      <c r="Z23" s="41">
        <f t="shared" si="18"/>
        <v>641196.99096813437</v>
      </c>
      <c r="AA23" s="41">
        <f t="shared" si="19"/>
        <v>11105.458898492207</v>
      </c>
      <c r="AB23" s="41">
        <f t="shared" si="6"/>
        <v>611010.74769823474</v>
      </c>
      <c r="AC23" s="41">
        <f t="shared" si="7"/>
        <v>10176.575429386214</v>
      </c>
      <c r="AD23" s="54"/>
      <c r="AE23" s="41">
        <f t="shared" si="20"/>
        <v>0</v>
      </c>
      <c r="AF23" s="41"/>
      <c r="AG23" s="41">
        <f t="shared" si="8"/>
        <v>-12.720719286732768</v>
      </c>
      <c r="AH23" s="41">
        <f t="shared" si="21"/>
        <v>-92888.346910599328</v>
      </c>
      <c r="AI23" s="41">
        <f t="shared" si="22"/>
        <v>0</v>
      </c>
      <c r="AJ23" s="41">
        <f t="shared" si="9"/>
        <v>-92901.067629886064</v>
      </c>
      <c r="AK23" s="41">
        <f t="shared" si="10"/>
        <v>30186.243269899627</v>
      </c>
      <c r="AL23" s="41">
        <f t="shared" si="23"/>
        <v>26092.097994665062</v>
      </c>
      <c r="AM23" s="41">
        <f t="shared" si="11"/>
        <v>-36622.726365321374</v>
      </c>
      <c r="AN23" s="41">
        <f t="shared" si="12"/>
        <v>928.88346910599284</v>
      </c>
      <c r="AO23" s="41">
        <f t="shared" si="13"/>
        <v>-35693.842896215385</v>
      </c>
      <c r="AP23" s="45"/>
      <c r="AQ23" s="45"/>
      <c r="AR23" s="48"/>
      <c r="AS23" s="48"/>
      <c r="AT23" s="51">
        <f t="shared" si="24"/>
        <v>19</v>
      </c>
      <c r="AU23" s="49">
        <f t="shared" si="25"/>
        <v>0.55527294492461032</v>
      </c>
      <c r="AV23" s="49">
        <f t="shared" si="26"/>
        <v>4.6444173455299664E-2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600.40899999999999</v>
      </c>
      <c r="AX23" s="50">
        <f>IF(ISERROR(ROUND(MAX(0,1000*NPV($AT$2,$AV24:$AV$124)-$AW$2*($AU24+NPV($AT$2,$AU25:$AU$124)))/AU24,3)), 0, ROUND(MAX(0,1000*NPV($AT$2,$AV24:$AV$124)-$AW$2*($AU24+NPV($AT$2,$AU25:$AU$124)))/AU24,3))</f>
        <v>501.76100000000002</v>
      </c>
    </row>
    <row r="24" spans="1:50" ht="15" x14ac:dyDescent="0.25">
      <c r="A24" t="s">
        <v>64</v>
      </c>
      <c r="B24" s="1"/>
      <c r="C24" s="1"/>
      <c r="D24" s="1"/>
      <c r="E24" s="75" t="s">
        <v>83</v>
      </c>
      <c r="F24" s="1"/>
      <c r="G24" s="1"/>
      <c r="H24" s="1"/>
      <c r="I24" s="51">
        <v>20</v>
      </c>
      <c r="J24" s="41"/>
      <c r="K24" s="41" t="str">
        <f t="shared" si="27"/>
        <v/>
      </c>
      <c r="L24" s="42">
        <f t="shared" si="28"/>
        <v>25</v>
      </c>
      <c r="M24" s="41">
        <f t="shared" si="29"/>
        <v>2000000</v>
      </c>
      <c r="N24" s="43">
        <f t="shared" si="1"/>
        <v>527.32299999999998</v>
      </c>
      <c r="O24" s="44">
        <f t="shared" si="2"/>
        <v>622.37400000000002</v>
      </c>
      <c r="P24" s="41">
        <f t="shared" si="3"/>
        <v>1054646</v>
      </c>
      <c r="Q24" s="41">
        <f t="shared" si="4"/>
        <v>1244748</v>
      </c>
      <c r="R24" s="44"/>
      <c r="S24" s="44">
        <f t="shared" si="14"/>
        <v>93.789185454894707</v>
      </c>
      <c r="T24" s="52">
        <f t="shared" si="30"/>
        <v>0</v>
      </c>
      <c r="U24" s="53">
        <f t="shared" si="15"/>
        <v>0.50882877146931071</v>
      </c>
      <c r="V24" s="53">
        <f t="shared" si="16"/>
        <v>4.7722636012121421E-2</v>
      </c>
      <c r="W24" s="53">
        <f t="shared" si="17"/>
        <v>0</v>
      </c>
      <c r="X24" s="46">
        <f t="shared" si="5"/>
        <v>0.46110613545718931</v>
      </c>
      <c r="Y24" s="54"/>
      <c r="Z24" s="41">
        <f t="shared" si="18"/>
        <v>611010.74769823474</v>
      </c>
      <c r="AA24" s="41">
        <f t="shared" si="19"/>
        <v>10176.575429386214</v>
      </c>
      <c r="AB24" s="41">
        <f t="shared" si="6"/>
        <v>573960.93989806552</v>
      </c>
      <c r="AC24" s="41">
        <f t="shared" si="7"/>
        <v>9222.1227091437868</v>
      </c>
      <c r="AD24" s="54"/>
      <c r="AE24" s="41">
        <f t="shared" si="20"/>
        <v>0</v>
      </c>
      <c r="AF24" s="41"/>
      <c r="AG24" s="41">
        <f t="shared" si="8"/>
        <v>-11.527653386429733</v>
      </c>
      <c r="AH24" s="41">
        <f t="shared" si="21"/>
        <v>-95445.272024242848</v>
      </c>
      <c r="AI24" s="41">
        <f t="shared" si="22"/>
        <v>0</v>
      </c>
      <c r="AJ24" s="41">
        <f t="shared" si="9"/>
        <v>-95456.799677629271</v>
      </c>
      <c r="AK24" s="41">
        <f t="shared" si="10"/>
        <v>37049.807800169219</v>
      </c>
      <c r="AL24" s="41">
        <f t="shared" si="23"/>
        <v>24847.492925104838</v>
      </c>
      <c r="AM24" s="41">
        <f t="shared" si="11"/>
        <v>-33559.498952355214</v>
      </c>
      <c r="AN24" s="41">
        <f t="shared" si="12"/>
        <v>954.45272024242695</v>
      </c>
      <c r="AO24" s="41">
        <f t="shared" si="13"/>
        <v>-32605.046232112785</v>
      </c>
      <c r="AP24" s="45"/>
      <c r="AQ24" s="45"/>
      <c r="AR24" s="48"/>
      <c r="AS24" s="48"/>
      <c r="AT24" s="51">
        <f t="shared" si="24"/>
        <v>20</v>
      </c>
      <c r="AU24" s="49">
        <f t="shared" si="25"/>
        <v>0.50882877146931071</v>
      </c>
      <c r="AV24" s="49">
        <f t="shared" si="26"/>
        <v>4.7722636012121421E-2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622.37400000000002</v>
      </c>
      <c r="AX24" s="50">
        <f>IF(ISERROR(ROUND(MAX(0,1000*NPV($AT$2,$AV25:$AV$124)-$AW$2*($AU25+NPV($AT$2,$AU26:$AU$124)))/AU25,3)), 0, ROUND(MAX(0,1000*NPV($AT$2,$AV25:$AV$124)-$AW$2*($AU25+NPV($AT$2,$AU26:$AU$124)))/AU25,3))</f>
        <v>527.32299999999998</v>
      </c>
    </row>
    <row r="25" spans="1:50" ht="15" x14ac:dyDescent="0.25">
      <c r="A25" t="s">
        <v>65</v>
      </c>
      <c r="B25" t="s">
        <v>67</v>
      </c>
      <c r="C25" t="s">
        <v>73</v>
      </c>
      <c r="D25" s="60">
        <v>35</v>
      </c>
      <c r="E25">
        <v>589618.79104990081</v>
      </c>
      <c r="F25" s="5">
        <v>17688.535132366291</v>
      </c>
      <c r="G25" s="5"/>
      <c r="H25" s="4"/>
      <c r="I25" s="51">
        <v>21</v>
      </c>
      <c r="J25" s="41"/>
      <c r="K25" s="41" t="str">
        <f t="shared" si="27"/>
        <v/>
      </c>
      <c r="L25" s="42">
        <f t="shared" si="28"/>
        <v>25</v>
      </c>
      <c r="M25" s="41">
        <f t="shared" si="29"/>
        <v>2000000</v>
      </c>
      <c r="N25" s="43">
        <f t="shared" si="1"/>
        <v>551.803</v>
      </c>
      <c r="O25" s="44">
        <f t="shared" si="2"/>
        <v>643.26900000000001</v>
      </c>
      <c r="P25" s="41">
        <f t="shared" si="3"/>
        <v>1103606</v>
      </c>
      <c r="Q25" s="41">
        <f t="shared" si="4"/>
        <v>1286538</v>
      </c>
      <c r="R25" s="44"/>
      <c r="S25" s="44">
        <f t="shared" si="14"/>
        <v>104.7470622921</v>
      </c>
      <c r="T25" s="52">
        <f t="shared" si="30"/>
        <v>0</v>
      </c>
      <c r="U25" s="53">
        <f t="shared" si="15"/>
        <v>0.46110613545718931</v>
      </c>
      <c r="V25" s="53">
        <f t="shared" si="16"/>
        <v>4.829951309400371E-2</v>
      </c>
      <c r="W25" s="53">
        <f t="shared" si="17"/>
        <v>0</v>
      </c>
      <c r="X25" s="46">
        <f t="shared" si="5"/>
        <v>0.4128066223631856</v>
      </c>
      <c r="Y25" s="54"/>
      <c r="Z25" s="41">
        <f t="shared" si="18"/>
        <v>573960.93989806552</v>
      </c>
      <c r="AA25" s="41">
        <f t="shared" si="19"/>
        <v>9222.1227091437868</v>
      </c>
      <c r="AB25" s="41">
        <f t="shared" si="6"/>
        <v>531091.40632188809</v>
      </c>
      <c r="AC25" s="41">
        <f t="shared" si="7"/>
        <v>8256.1324472637116</v>
      </c>
      <c r="AD25" s="54"/>
      <c r="AE25" s="41">
        <f t="shared" si="20"/>
        <v>0</v>
      </c>
      <c r="AF25" s="41"/>
      <c r="AG25" s="41">
        <f t="shared" si="8"/>
        <v>-10.320165559079641</v>
      </c>
      <c r="AH25" s="41">
        <f t="shared" si="21"/>
        <v>-96599.026188007425</v>
      </c>
      <c r="AI25" s="41">
        <f t="shared" si="22"/>
        <v>0</v>
      </c>
      <c r="AJ25" s="41">
        <f t="shared" si="9"/>
        <v>-96609.346353566507</v>
      </c>
      <c r="AK25" s="41">
        <f t="shared" si="10"/>
        <v>42869.533576177433</v>
      </c>
      <c r="AL25" s="41">
        <f t="shared" si="23"/>
        <v>23327.322504288371</v>
      </c>
      <c r="AM25" s="41">
        <f t="shared" si="11"/>
        <v>-30412.490273100702</v>
      </c>
      <c r="AN25" s="41">
        <f t="shared" si="12"/>
        <v>965.9902618800752</v>
      </c>
      <c r="AO25" s="41">
        <f t="shared" si="13"/>
        <v>-29446.500011220625</v>
      </c>
      <c r="AP25" s="45"/>
      <c r="AQ25" s="55"/>
      <c r="AR25" s="48"/>
      <c r="AS25" s="48"/>
      <c r="AT25" s="51">
        <f>AT24+1</f>
        <v>21</v>
      </c>
      <c r="AU25" s="49">
        <f t="shared" si="25"/>
        <v>0.46110613545718931</v>
      </c>
      <c r="AV25" s="49">
        <f t="shared" si="26"/>
        <v>4.829951309400371E-2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643.26900000000001</v>
      </c>
      <c r="AX25" s="50">
        <f>IF(ISERROR(ROUND(MAX(0,1000*NPV($AT$2,$AV26:$AV$124)-$AW$2*($AU26+NPV($AT$2,$AU27:$AU$124)))/AU26,3)), 0, ROUND(MAX(0,1000*NPV($AT$2,$AV26:$AV$124)-$AW$2*($AU26+NPV($AT$2,$AU27:$AU$124)))/AU26,3))</f>
        <v>551.803</v>
      </c>
    </row>
    <row r="26" spans="1:50" ht="15" x14ac:dyDescent="0.25">
      <c r="A26">
        <v>1</v>
      </c>
      <c r="B26">
        <v>3.9277641812704997E-3</v>
      </c>
      <c r="C26">
        <f>B26*(1-$F$16)</f>
        <v>3.6920983303942697E-3</v>
      </c>
      <c r="D26" s="60">
        <v>36</v>
      </c>
      <c r="E26">
        <v>611464.96225241397</v>
      </c>
      <c r="F26" s="5">
        <v>18343.949180616939</v>
      </c>
      <c r="G26" s="8"/>
      <c r="H26" s="4"/>
      <c r="I26" s="51">
        <v>22</v>
      </c>
      <c r="J26" s="41"/>
      <c r="K26" s="41" t="str">
        <f t="shared" si="27"/>
        <v/>
      </c>
      <c r="L26" s="42">
        <f t="shared" si="28"/>
        <v>25</v>
      </c>
      <c r="M26" s="41">
        <f t="shared" si="29"/>
        <v>2000000</v>
      </c>
      <c r="N26" s="43">
        <f t="shared" si="1"/>
        <v>575.35799999999995</v>
      </c>
      <c r="O26" s="44">
        <f t="shared" si="2"/>
        <v>663.23599999999999</v>
      </c>
      <c r="P26" s="41">
        <f t="shared" si="3"/>
        <v>1150716</v>
      </c>
      <c r="Q26" s="41">
        <f t="shared" si="4"/>
        <v>1326472</v>
      </c>
      <c r="R26" s="44"/>
      <c r="S26" s="44">
        <f t="shared" si="14"/>
        <v>116.19294297081601</v>
      </c>
      <c r="T26" s="52">
        <f t="shared" si="30"/>
        <v>0</v>
      </c>
      <c r="U26" s="53">
        <f t="shared" si="15"/>
        <v>0.4128066223631856</v>
      </c>
      <c r="V26" s="53">
        <f t="shared" si="16"/>
        <v>4.7965216330220807E-2</v>
      </c>
      <c r="W26" s="53">
        <f t="shared" si="17"/>
        <v>0</v>
      </c>
      <c r="X26" s="46">
        <f t="shared" si="5"/>
        <v>0.36484140603296478</v>
      </c>
      <c r="Y26" s="54"/>
      <c r="Z26" s="41">
        <f t="shared" si="18"/>
        <v>531091.40632188809</v>
      </c>
      <c r="AA26" s="41">
        <f t="shared" si="19"/>
        <v>8256.1324472637116</v>
      </c>
      <c r="AB26" s="41">
        <f t="shared" si="6"/>
        <v>483951.90954335884</v>
      </c>
      <c r="AC26" s="41">
        <f t="shared" si="7"/>
        <v>7296.8281206592956</v>
      </c>
      <c r="AD26" s="54"/>
      <c r="AE26" s="41">
        <f t="shared" si="20"/>
        <v>0</v>
      </c>
      <c r="AF26" s="41"/>
      <c r="AG26" s="41">
        <f t="shared" si="8"/>
        <v>-9.1210351508241203</v>
      </c>
      <c r="AH26" s="41">
        <f t="shared" si="21"/>
        <v>-95930.432660441613</v>
      </c>
      <c r="AI26" s="41">
        <f t="shared" si="22"/>
        <v>0</v>
      </c>
      <c r="AJ26" s="41">
        <f t="shared" si="9"/>
        <v>-95939.553695592433</v>
      </c>
      <c r="AK26" s="41">
        <f t="shared" si="10"/>
        <v>47139.496778529254</v>
      </c>
      <c r="AL26" s="41">
        <f t="shared" si="23"/>
        <v>21573.901550766073</v>
      </c>
      <c r="AM26" s="41">
        <f t="shared" si="11"/>
        <v>-27226.155366297106</v>
      </c>
      <c r="AN26" s="41">
        <f t="shared" si="12"/>
        <v>959.30432660441602</v>
      </c>
      <c r="AO26" s="41">
        <f t="shared" si="13"/>
        <v>-26266.85103969269</v>
      </c>
      <c r="AP26" s="45"/>
      <c r="AQ26" s="55"/>
      <c r="AR26" s="48"/>
      <c r="AS26" s="48"/>
      <c r="AT26" s="51">
        <f t="shared" si="24"/>
        <v>22</v>
      </c>
      <c r="AU26" s="49">
        <f t="shared" si="25"/>
        <v>0.4128066223631856</v>
      </c>
      <c r="AV26" s="49">
        <f t="shared" si="26"/>
        <v>4.7965216330220807E-2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663.23599999999999</v>
      </c>
      <c r="AX26" s="50">
        <f>IF(ISERROR(ROUND(MAX(0,1000*NPV($AT$2,$AV27:$AV$124)-$AW$2*($AU27+NPV($AT$2,$AU28:$AU$124)))/AU27,3)), 0, ROUND(MAX(0,1000*NPV($AT$2,$AV27:$AV$124)-$AW$2*($AU27+NPV($AT$2,$AU28:$AU$124)))/AU27,3))</f>
        <v>575.35799999999995</v>
      </c>
    </row>
    <row r="27" spans="1:50" ht="15" x14ac:dyDescent="0.25">
      <c r="A27">
        <v>2</v>
      </c>
      <c r="B27">
        <v>3.7359397681224798E-4</v>
      </c>
      <c r="C27">
        <f t="shared" ref="C27:C90" si="31">B27*(1-$F$16)</f>
        <v>3.5117833820351305E-4</v>
      </c>
      <c r="D27" s="60">
        <v>37</v>
      </c>
      <c r="E27">
        <v>634061.41454065766</v>
      </c>
      <c r="F27" s="5">
        <v>19021.842758465442</v>
      </c>
      <c r="G27" s="8"/>
      <c r="H27" s="4"/>
      <c r="I27" s="51">
        <v>23</v>
      </c>
      <c r="J27" s="41"/>
      <c r="K27" s="41" t="str">
        <f t="shared" si="27"/>
        <v/>
      </c>
      <c r="L27" s="42">
        <f t="shared" si="28"/>
        <v>25</v>
      </c>
      <c r="M27" s="41">
        <f t="shared" si="29"/>
        <v>2000000</v>
      </c>
      <c r="N27" s="43">
        <f t="shared" si="1"/>
        <v>597.92899999999997</v>
      </c>
      <c r="O27" s="44">
        <f t="shared" si="2"/>
        <v>682.24300000000005</v>
      </c>
      <c r="P27" s="41">
        <f t="shared" si="3"/>
        <v>1195858</v>
      </c>
      <c r="Q27" s="41">
        <f t="shared" si="4"/>
        <v>1364486</v>
      </c>
      <c r="R27" s="44"/>
      <c r="S27" s="44">
        <f t="shared" si="14"/>
        <v>128.681095489586</v>
      </c>
      <c r="T27" s="52">
        <f t="shared" si="30"/>
        <v>0</v>
      </c>
      <c r="U27" s="53">
        <f t="shared" si="15"/>
        <v>0.36484140603296478</v>
      </c>
      <c r="V27" s="53">
        <f t="shared" si="16"/>
        <v>4.694819180828276E-2</v>
      </c>
      <c r="W27" s="53">
        <f t="shared" si="17"/>
        <v>0</v>
      </c>
      <c r="X27" s="46">
        <f t="shared" si="5"/>
        <v>0.31789321422468203</v>
      </c>
      <c r="Y27" s="54"/>
      <c r="Z27" s="41">
        <f t="shared" si="18"/>
        <v>483951.90954335884</v>
      </c>
      <c r="AA27" s="41">
        <f t="shared" si="19"/>
        <v>7296.8281206592956</v>
      </c>
      <c r="AB27" s="41">
        <f t="shared" si="6"/>
        <v>433760.84030457947</v>
      </c>
      <c r="AC27" s="41">
        <f t="shared" si="7"/>
        <v>6357.8642844936403</v>
      </c>
      <c r="AD27" s="54"/>
      <c r="AE27" s="41">
        <f t="shared" si="20"/>
        <v>0</v>
      </c>
      <c r="AF27" s="41"/>
      <c r="AG27" s="41">
        <f t="shared" si="8"/>
        <v>-7.9473303556170505</v>
      </c>
      <c r="AH27" s="41">
        <f t="shared" si="21"/>
        <v>-93896.383616565523</v>
      </c>
      <c r="AI27" s="41">
        <f t="shared" si="22"/>
        <v>0</v>
      </c>
      <c r="AJ27" s="41">
        <f t="shared" si="9"/>
        <v>-93904.330946921138</v>
      </c>
      <c r="AK27" s="41">
        <f t="shared" si="10"/>
        <v>50191.069238779368</v>
      </c>
      <c r="AL27" s="41">
        <f t="shared" si="23"/>
        <v>19649.949506560726</v>
      </c>
      <c r="AM27" s="41">
        <f t="shared" si="11"/>
        <v>-24063.312201581044</v>
      </c>
      <c r="AN27" s="41">
        <f t="shared" si="12"/>
        <v>938.96383616565527</v>
      </c>
      <c r="AO27" s="41">
        <f t="shared" si="13"/>
        <v>-23124.34836541539</v>
      </c>
      <c r="AP27" s="45"/>
      <c r="AQ27" s="55"/>
      <c r="AR27" s="48"/>
      <c r="AS27" s="48"/>
      <c r="AT27" s="51">
        <f t="shared" si="24"/>
        <v>23</v>
      </c>
      <c r="AU27" s="49">
        <f t="shared" si="25"/>
        <v>0.36484140603296478</v>
      </c>
      <c r="AV27" s="49">
        <f t="shared" si="26"/>
        <v>4.694819180828276E-2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682.24300000000005</v>
      </c>
      <c r="AX27" s="50">
        <f>IF(ISERROR(ROUND(MAX(0,1000*NPV($AT$2,$AV28:$AV$124)-$AW$2*($AU28+NPV($AT$2,$AU29:$AU$124)))/AU28,3)), 0, ROUND(MAX(0,1000*NPV($AT$2,$AV28:$AV$124)-$AW$2*($AU28+NPV($AT$2,$AU29:$AU$124)))/AU28,3))</f>
        <v>597.92899999999997</v>
      </c>
    </row>
    <row r="28" spans="1:50" ht="15" x14ac:dyDescent="0.25">
      <c r="A28">
        <v>3</v>
      </c>
      <c r="B28">
        <v>2.6608403938543901E-4</v>
      </c>
      <c r="C28">
        <f t="shared" si="31"/>
        <v>2.5011899702231266E-4</v>
      </c>
      <c r="D28" s="60">
        <v>38</v>
      </c>
      <c r="E28">
        <v>657344.98218123917</v>
      </c>
      <c r="F28" s="5">
        <v>19720.349793548172</v>
      </c>
      <c r="G28" s="8"/>
      <c r="H28" s="4"/>
      <c r="I28" s="51">
        <v>24</v>
      </c>
      <c r="J28" s="41"/>
      <c r="K28" s="41" t="str">
        <f t="shared" si="27"/>
        <v/>
      </c>
      <c r="L28" s="42">
        <f t="shared" si="28"/>
        <v>25</v>
      </c>
      <c r="M28" s="41">
        <f t="shared" si="29"/>
        <v>2000000</v>
      </c>
      <c r="N28" s="43">
        <f t="shared" si="1"/>
        <v>619.49800000000005</v>
      </c>
      <c r="O28" s="44">
        <f t="shared" si="2"/>
        <v>700.29</v>
      </c>
      <c r="P28" s="41">
        <f t="shared" si="3"/>
        <v>1238996</v>
      </c>
      <c r="Q28" s="41">
        <f t="shared" si="4"/>
        <v>1400580</v>
      </c>
      <c r="R28" s="44"/>
      <c r="S28" s="44">
        <f t="shared" si="14"/>
        <v>142.16579369065798</v>
      </c>
      <c r="T28" s="52">
        <f t="shared" si="30"/>
        <v>0</v>
      </c>
      <c r="U28" s="53">
        <f t="shared" si="15"/>
        <v>0.31789321422468203</v>
      </c>
      <c r="V28" s="53">
        <f t="shared" si="16"/>
        <v>4.5193541109126288E-2</v>
      </c>
      <c r="W28" s="53">
        <f t="shared" si="17"/>
        <v>0</v>
      </c>
      <c r="X28" s="46">
        <f t="shared" si="5"/>
        <v>0.27269967311555576</v>
      </c>
      <c r="Y28" s="54"/>
      <c r="Z28" s="41">
        <f t="shared" si="18"/>
        <v>433760.84030457947</v>
      </c>
      <c r="AA28" s="41">
        <f t="shared" si="19"/>
        <v>6357.8642844936403</v>
      </c>
      <c r="AB28" s="41">
        <f t="shared" si="6"/>
        <v>381937.70817218511</v>
      </c>
      <c r="AC28" s="41">
        <f t="shared" si="7"/>
        <v>5453.9934623111149</v>
      </c>
      <c r="AD28" s="54"/>
      <c r="AE28" s="41">
        <f t="shared" si="20"/>
        <v>0</v>
      </c>
      <c r="AF28" s="41"/>
      <c r="AG28" s="41">
        <f t="shared" si="8"/>
        <v>-6.8174918278888939</v>
      </c>
      <c r="AH28" s="41">
        <f t="shared" si="21"/>
        <v>-90387.082218252574</v>
      </c>
      <c r="AI28" s="41">
        <f t="shared" si="22"/>
        <v>0</v>
      </c>
      <c r="AJ28" s="41">
        <f t="shared" si="9"/>
        <v>-90393.899710080455</v>
      </c>
      <c r="AK28" s="41">
        <f t="shared" si="10"/>
        <v>51823.132132394356</v>
      </c>
      <c r="AL28" s="41">
        <f t="shared" si="23"/>
        <v>17604.748183562922</v>
      </c>
      <c r="AM28" s="41">
        <f t="shared" si="11"/>
        <v>-20966.019394123177</v>
      </c>
      <c r="AN28" s="41">
        <f t="shared" si="12"/>
        <v>903.87082218252544</v>
      </c>
      <c r="AO28" s="41">
        <f t="shared" si="13"/>
        <v>-20062.148571940652</v>
      </c>
      <c r="AP28" s="45"/>
      <c r="AQ28" s="55"/>
      <c r="AR28" s="48"/>
      <c r="AS28" s="48"/>
      <c r="AT28" s="51">
        <f t="shared" si="24"/>
        <v>24</v>
      </c>
      <c r="AU28" s="49">
        <f t="shared" si="25"/>
        <v>0.31789321422468203</v>
      </c>
      <c r="AV28" s="49">
        <f t="shared" si="26"/>
        <v>4.5193541109126288E-2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700.29</v>
      </c>
      <c r="AX28" s="50">
        <f>IF(ISERROR(ROUND(MAX(0,1000*NPV($AT$2,$AV29:$AV$124)-$AW$2*($AU29+NPV($AT$2,$AU30:$AU$124)))/AU29,3)), 0, ROUND(MAX(0,1000*NPV($AT$2,$AV29:$AV$124)-$AW$2*($AU29+NPV($AT$2,$AU30:$AU$124)))/AU29,3))</f>
        <v>619.49800000000005</v>
      </c>
    </row>
    <row r="29" spans="1:50" ht="15" x14ac:dyDescent="0.25">
      <c r="A29">
        <v>4</v>
      </c>
      <c r="B29">
        <v>1.9985589828508399E-4</v>
      </c>
      <c r="C29">
        <f t="shared" si="31"/>
        <v>1.8786454438797894E-4</v>
      </c>
      <c r="D29" s="60">
        <v>39</v>
      </c>
      <c r="E29">
        <v>681317.04590764851</v>
      </c>
      <c r="F29" s="5">
        <v>20439.511710504477</v>
      </c>
      <c r="G29" s="8"/>
      <c r="H29" s="4"/>
      <c r="I29" s="51">
        <v>25</v>
      </c>
      <c r="J29" s="41"/>
      <c r="K29" s="41" t="str">
        <f t="shared" si="27"/>
        <v/>
      </c>
      <c r="L29" s="42">
        <f t="shared" si="28"/>
        <v>25</v>
      </c>
      <c r="M29" s="41">
        <f t="shared" si="29"/>
        <v>2000000</v>
      </c>
      <c r="N29" s="43">
        <f t="shared" si="1"/>
        <v>639.91700000000003</v>
      </c>
      <c r="O29" s="44">
        <f t="shared" si="2"/>
        <v>717.27599999999995</v>
      </c>
      <c r="P29" s="41">
        <f t="shared" si="3"/>
        <v>1279834</v>
      </c>
      <c r="Q29" s="41">
        <f t="shared" si="4"/>
        <v>1434552</v>
      </c>
      <c r="R29" s="44"/>
      <c r="S29" s="44">
        <f t="shared" si="14"/>
        <v>157.01637341390102</v>
      </c>
      <c r="T29" s="52">
        <f t="shared" si="30"/>
        <v>0</v>
      </c>
      <c r="U29" s="53">
        <f t="shared" si="15"/>
        <v>0.27269967311555576</v>
      </c>
      <c r="V29" s="53">
        <f t="shared" si="16"/>
        <v>4.2818313703760852E-2</v>
      </c>
      <c r="W29" s="53">
        <f t="shared" si="17"/>
        <v>0</v>
      </c>
      <c r="X29" s="46">
        <f t="shared" si="5"/>
        <v>0.22988135941179491</v>
      </c>
      <c r="Y29" s="54"/>
      <c r="Z29" s="41">
        <f t="shared" si="18"/>
        <v>381937.70817218511</v>
      </c>
      <c r="AA29" s="41">
        <f t="shared" si="19"/>
        <v>5453.9934623111149</v>
      </c>
      <c r="AB29" s="41">
        <f t="shared" si="6"/>
        <v>329776.76390690921</v>
      </c>
      <c r="AC29" s="41">
        <f t="shared" si="7"/>
        <v>4597.6271882358978</v>
      </c>
      <c r="AD29" s="54"/>
      <c r="AE29" s="41">
        <f t="shared" si="20"/>
        <v>0</v>
      </c>
      <c r="AF29" s="41"/>
      <c r="AG29" s="41">
        <f t="shared" si="8"/>
        <v>-5.7470339852948724</v>
      </c>
      <c r="AH29" s="41">
        <f t="shared" si="21"/>
        <v>-85636.627407521708</v>
      </c>
      <c r="AI29" s="41">
        <f t="shared" si="22"/>
        <v>0</v>
      </c>
      <c r="AJ29" s="41">
        <f t="shared" si="9"/>
        <v>-85642.374441506996</v>
      </c>
      <c r="AK29" s="41">
        <f t="shared" si="10"/>
        <v>52160.944265275903</v>
      </c>
      <c r="AL29" s="41">
        <f t="shared" si="23"/>
        <v>15495.668065379848</v>
      </c>
      <c r="AM29" s="41">
        <f t="shared" si="11"/>
        <v>-17985.762110851247</v>
      </c>
      <c r="AN29" s="41">
        <f t="shared" si="12"/>
        <v>856.36627407521701</v>
      </c>
      <c r="AO29" s="41">
        <f t="shared" si="13"/>
        <v>-17129.395836776028</v>
      </c>
      <c r="AP29" s="45"/>
      <c r="AQ29" s="55"/>
      <c r="AR29" s="48"/>
      <c r="AS29" s="48"/>
      <c r="AT29" s="51">
        <f t="shared" si="24"/>
        <v>25</v>
      </c>
      <c r="AU29" s="49">
        <f t="shared" si="25"/>
        <v>0.27269967311555576</v>
      </c>
      <c r="AV29" s="49">
        <f t="shared" si="26"/>
        <v>4.2818313703760852E-2</v>
      </c>
      <c r="AW29" s="50">
        <f xml:space="preserve"> IF(ISERROR(ROUND((1000*NPV($AT$1,$AV30:$AV$124)-$AW$1*($AU30+NPV($AT$1,$AU31:$AU$124)))/AU30,3)), 0, ROUND((1000*NPV($AT$1,$AV30:$AV$124)-$AW$1*($AU30+NPV($AT$1,$AU31:$AU$124)))/AU30,3))</f>
        <v>717.27599999999995</v>
      </c>
      <c r="AX29" s="50">
        <f>IF(ISERROR(ROUND(MAX(0,1000*NPV($AT$2,$AV30:$AV$124)-$AW$2*($AU30+NPV($AT$2,$AU31:$AU$124)))/AU30,3)), 0, ROUND(MAX(0,1000*NPV($AT$2,$AV30:$AV$124)-$AW$2*($AU30+NPV($AT$2,$AU31:$AU$124)))/AU30,3))</f>
        <v>639.91700000000003</v>
      </c>
    </row>
    <row r="30" spans="1:50" ht="15" x14ac:dyDescent="0.25">
      <c r="A30">
        <v>5</v>
      </c>
      <c r="B30">
        <v>1.7463199379086399E-4</v>
      </c>
      <c r="C30">
        <f t="shared" si="31"/>
        <v>1.6415407416341213E-4</v>
      </c>
      <c r="D30" s="60">
        <v>40</v>
      </c>
      <c r="E30">
        <v>706002.48576576123</v>
      </c>
      <c r="F30" s="5">
        <v>21180.074911686708</v>
      </c>
      <c r="G30" s="8"/>
      <c r="H30" s="4"/>
      <c r="I30" s="51">
        <v>26</v>
      </c>
      <c r="J30" s="41"/>
      <c r="K30" s="41" t="str">
        <f t="shared" si="27"/>
        <v/>
      </c>
      <c r="L30" s="42">
        <f t="shared" si="28"/>
        <v>25</v>
      </c>
      <c r="M30" s="41">
        <f t="shared" si="29"/>
        <v>2000000</v>
      </c>
      <c r="N30" s="43">
        <f t="shared" si="1"/>
        <v>658.952</v>
      </c>
      <c r="O30" s="44">
        <f t="shared" si="2"/>
        <v>733.03300000000002</v>
      </c>
      <c r="P30" s="41">
        <f t="shared" si="3"/>
        <v>1317904</v>
      </c>
      <c r="Q30" s="41">
        <f t="shared" si="4"/>
        <v>1466066</v>
      </c>
      <c r="R30" s="44"/>
      <c r="S30" s="44">
        <f t="shared" si="14"/>
        <v>173.42897341473201</v>
      </c>
      <c r="T30" s="52">
        <f t="shared" si="30"/>
        <v>0</v>
      </c>
      <c r="U30" s="53">
        <f t="shared" si="15"/>
        <v>0.22988135941179491</v>
      </c>
      <c r="V30" s="53">
        <f t="shared" si="16"/>
        <v>3.9868088169970631E-2</v>
      </c>
      <c r="W30" s="53">
        <f t="shared" si="17"/>
        <v>0</v>
      </c>
      <c r="X30" s="46">
        <f t="shared" si="5"/>
        <v>0.19001327124182427</v>
      </c>
      <c r="Y30" s="54"/>
      <c r="Z30" s="41">
        <f t="shared" si="18"/>
        <v>329776.76390690921</v>
      </c>
      <c r="AA30" s="41">
        <f t="shared" si="19"/>
        <v>4597.6271882358978</v>
      </c>
      <c r="AB30" s="41">
        <f t="shared" si="6"/>
        <v>278571.99651641631</v>
      </c>
      <c r="AC30" s="41">
        <f t="shared" si="7"/>
        <v>3800.2654248364852</v>
      </c>
      <c r="AD30" s="54"/>
      <c r="AE30" s="41">
        <f t="shared" si="20"/>
        <v>0</v>
      </c>
      <c r="AF30" s="41"/>
      <c r="AG30" s="41">
        <f t="shared" si="8"/>
        <v>-4.7503317810456069</v>
      </c>
      <c r="AH30" s="41">
        <f t="shared" si="21"/>
        <v>-79736.176339941259</v>
      </c>
      <c r="AI30" s="41">
        <f t="shared" si="22"/>
        <v>0</v>
      </c>
      <c r="AJ30" s="41">
        <f t="shared" si="9"/>
        <v>-79740.926671722307</v>
      </c>
      <c r="AK30" s="41">
        <f t="shared" si="10"/>
        <v>51204.767390492896</v>
      </c>
      <c r="AL30" s="41">
        <f t="shared" si="23"/>
        <v>13374.975643805803</v>
      </c>
      <c r="AM30" s="41">
        <f t="shared" si="11"/>
        <v>-15161.183637423608</v>
      </c>
      <c r="AN30" s="41">
        <f t="shared" si="12"/>
        <v>797.36176339941267</v>
      </c>
      <c r="AO30" s="41">
        <f t="shared" si="13"/>
        <v>-14363.821874024195</v>
      </c>
      <c r="AP30" s="45"/>
      <c r="AQ30" s="55"/>
      <c r="AR30" s="48"/>
      <c r="AS30" s="48"/>
      <c r="AT30" s="51">
        <f t="shared" si="24"/>
        <v>26</v>
      </c>
      <c r="AU30" s="49">
        <f t="shared" si="25"/>
        <v>0.22988135941179491</v>
      </c>
      <c r="AV30" s="49">
        <f t="shared" si="26"/>
        <v>3.9868088169970631E-2</v>
      </c>
      <c r="AW30" s="50">
        <f xml:space="preserve"> IF(ISERROR(ROUND((1000*NPV($AT$1,$AV31:$AV$124)-$AW$1*($AU31+NPV($AT$1,$AU32:$AU$124)))/AU31,3)), 0, ROUND((1000*NPV($AT$1,$AV31:$AV$124)-$AW$1*($AU31+NPV($AT$1,$AU32:$AU$124)))/AU31,3))</f>
        <v>733.03300000000002</v>
      </c>
      <c r="AX30" s="50">
        <f>IF(ISERROR(ROUND(MAX(0,1000*NPV($AT$2,$AV31:$AV$124)-$AW$2*($AU31+NPV($AT$2,$AU32:$AU$124)))/AU31,3)), 0, ROUND(MAX(0,1000*NPV($AT$2,$AV31:$AV$124)-$AW$2*($AU31+NPV($AT$2,$AU32:$AU$124)))/AU31,3))</f>
        <v>658.952</v>
      </c>
    </row>
    <row r="31" spans="1:50" ht="15" x14ac:dyDescent="0.25">
      <c r="A31">
        <v>6</v>
      </c>
      <c r="B31">
        <v>1.6330562733302099E-4</v>
      </c>
      <c r="C31">
        <f t="shared" si="31"/>
        <v>1.5350728969303973E-4</v>
      </c>
      <c r="D31" s="60">
        <v>41</v>
      </c>
      <c r="E31">
        <v>731423.90700049698</v>
      </c>
      <c r="F31" s="5">
        <v>21942.717554337345</v>
      </c>
      <c r="G31" s="8"/>
      <c r="H31" s="4"/>
      <c r="I31" s="51">
        <v>27</v>
      </c>
      <c r="J31" s="41"/>
      <c r="K31" s="41" t="str">
        <f t="shared" si="27"/>
        <v/>
      </c>
      <c r="L31" s="42">
        <f t="shared" si="28"/>
        <v>25</v>
      </c>
      <c r="M31" s="41">
        <f t="shared" si="29"/>
        <v>2000000</v>
      </c>
      <c r="N31" s="43">
        <f t="shared" si="1"/>
        <v>676.99599999999998</v>
      </c>
      <c r="O31" s="44">
        <f t="shared" si="2"/>
        <v>747.89</v>
      </c>
      <c r="P31" s="41">
        <f t="shared" si="3"/>
        <v>1353992</v>
      </c>
      <c r="Q31" s="41">
        <f t="shared" si="4"/>
        <v>1495780</v>
      </c>
      <c r="R31" s="44"/>
      <c r="S31" s="44">
        <f t="shared" si="14"/>
        <v>189.720371603589</v>
      </c>
      <c r="T31" s="52">
        <f t="shared" si="30"/>
        <v>0</v>
      </c>
      <c r="U31" s="53">
        <f t="shared" si="15"/>
        <v>0.19001327124182427</v>
      </c>
      <c r="V31" s="53">
        <f t="shared" si="16"/>
        <v>3.6049388429612451E-2</v>
      </c>
      <c r="W31" s="53">
        <f t="shared" si="17"/>
        <v>0</v>
      </c>
      <c r="X31" s="46">
        <f t="shared" si="5"/>
        <v>0.15396388281221182</v>
      </c>
      <c r="Y31" s="54"/>
      <c r="Z31" s="41">
        <f t="shared" si="18"/>
        <v>278571.99651641631</v>
      </c>
      <c r="AA31" s="41">
        <f t="shared" si="19"/>
        <v>3800.2654248364852</v>
      </c>
      <c r="AB31" s="41">
        <f t="shared" si="6"/>
        <v>230296.09663285021</v>
      </c>
      <c r="AC31" s="41">
        <f t="shared" si="7"/>
        <v>3079.2776562442364</v>
      </c>
      <c r="AD31" s="54"/>
      <c r="AE31" s="41">
        <f t="shared" si="20"/>
        <v>0</v>
      </c>
      <c r="AF31" s="41"/>
      <c r="AG31" s="41">
        <f t="shared" si="8"/>
        <v>-3.8490970703052954</v>
      </c>
      <c r="AH31" s="41">
        <f t="shared" si="21"/>
        <v>-72098.776859224905</v>
      </c>
      <c r="AI31" s="41">
        <f t="shared" si="22"/>
        <v>0</v>
      </c>
      <c r="AJ31" s="41">
        <f t="shared" si="9"/>
        <v>-72102.625956295204</v>
      </c>
      <c r="AK31" s="41">
        <f t="shared" si="10"/>
        <v>48275.899883566104</v>
      </c>
      <c r="AL31" s="41">
        <f t="shared" si="23"/>
        <v>11294.890477650113</v>
      </c>
      <c r="AM31" s="41">
        <f t="shared" si="11"/>
        <v>-12531.835595078986</v>
      </c>
      <c r="AN31" s="41">
        <f t="shared" si="12"/>
        <v>720.98776859224881</v>
      </c>
      <c r="AO31" s="41">
        <f t="shared" si="13"/>
        <v>-11810.847826486737</v>
      </c>
      <c r="AP31" s="45"/>
      <c r="AQ31" s="55"/>
      <c r="AR31" s="48"/>
      <c r="AS31" s="48"/>
      <c r="AT31" s="51">
        <f t="shared" si="24"/>
        <v>27</v>
      </c>
      <c r="AU31" s="49">
        <f t="shared" si="25"/>
        <v>0.19001327124182427</v>
      </c>
      <c r="AV31" s="49">
        <f t="shared" si="26"/>
        <v>3.6049388429612451E-2</v>
      </c>
      <c r="AW31" s="50">
        <f xml:space="preserve"> IF(ISERROR(ROUND((1000*NPV($AT$1,$AV32:$AV$124)-$AW$1*($AU32+NPV($AT$1,$AU33:$AU$124)))/AU32,3)), 0, ROUND((1000*NPV($AT$1,$AV32:$AV$124)-$AW$1*($AU32+NPV($AT$1,$AU33:$AU$124)))/AU32,3))</f>
        <v>747.89</v>
      </c>
      <c r="AX31" s="50">
        <f>IF(ISERROR(ROUND(MAX(0,1000*NPV($AT$2,$AV32:$AV$124)-$AW$2*($AU32+NPV($AT$2,$AU33:$AU$124)))/AU32,3)), 0, ROUND(MAX(0,1000*NPV($AT$2,$AV32:$AV$124)-$AW$2*($AU32+NPV($AT$2,$AU33:$AU$124)))/AU32,3))</f>
        <v>676.99599999999998</v>
      </c>
    </row>
    <row r="32" spans="1:50" ht="15" x14ac:dyDescent="0.25">
      <c r="A32">
        <v>7</v>
      </c>
      <c r="B32">
        <v>1.5300773660609199E-4</v>
      </c>
      <c r="C32">
        <f t="shared" si="31"/>
        <v>1.4382727240972647E-4</v>
      </c>
      <c r="D32" s="60">
        <v>42</v>
      </c>
      <c r="E32">
        <v>757580.0508226204</v>
      </c>
      <c r="F32" s="5">
        <v>22727.401873755036</v>
      </c>
      <c r="G32" s="8"/>
      <c r="H32" s="4"/>
      <c r="I32" s="51">
        <v>28</v>
      </c>
      <c r="J32" s="41"/>
      <c r="K32" s="41" t="str">
        <f t="shared" si="27"/>
        <v/>
      </c>
      <c r="L32" s="42">
        <f t="shared" si="28"/>
        <v>25</v>
      </c>
      <c r="M32" s="41">
        <f t="shared" si="29"/>
        <v>2000000</v>
      </c>
      <c r="N32" s="43">
        <f t="shared" si="1"/>
        <v>693.96100000000001</v>
      </c>
      <c r="O32" s="44">
        <f t="shared" si="2"/>
        <v>761.79100000000005</v>
      </c>
      <c r="P32" s="41">
        <f t="shared" si="3"/>
        <v>1387922</v>
      </c>
      <c r="Q32" s="41">
        <f t="shared" si="4"/>
        <v>1523582</v>
      </c>
      <c r="R32" s="44"/>
      <c r="S32" s="44">
        <f t="shared" si="14"/>
        <v>207.30295683049599</v>
      </c>
      <c r="T32" s="52">
        <f t="shared" si="30"/>
        <v>0</v>
      </c>
      <c r="U32" s="53">
        <f t="shared" si="15"/>
        <v>0.15396388281221182</v>
      </c>
      <c r="V32" s="53">
        <f t="shared" si="16"/>
        <v>3.1917168152075487E-2</v>
      </c>
      <c r="W32" s="53">
        <f t="shared" si="17"/>
        <v>0</v>
      </c>
      <c r="X32" s="46">
        <f t="shared" si="5"/>
        <v>0.12204671466013634</v>
      </c>
      <c r="Y32" s="54"/>
      <c r="Z32" s="41">
        <f t="shared" si="18"/>
        <v>230296.09663285021</v>
      </c>
      <c r="AA32" s="41">
        <f t="shared" si="19"/>
        <v>3079.2776562442364</v>
      </c>
      <c r="AB32" s="41">
        <f t="shared" si="6"/>
        <v>185948.17761531984</v>
      </c>
      <c r="AC32" s="41">
        <f t="shared" si="7"/>
        <v>2440.9342932027266</v>
      </c>
      <c r="AD32" s="54"/>
      <c r="AE32" s="41">
        <f t="shared" si="20"/>
        <v>0</v>
      </c>
      <c r="AF32" s="41"/>
      <c r="AG32" s="41">
        <f t="shared" si="8"/>
        <v>-3.0511678665034085</v>
      </c>
      <c r="AH32" s="41">
        <f t="shared" si="21"/>
        <v>-63834.336304150973</v>
      </c>
      <c r="AI32" s="41">
        <f t="shared" si="22"/>
        <v>0</v>
      </c>
      <c r="AJ32" s="41">
        <f t="shared" si="9"/>
        <v>-63837.387472017479</v>
      </c>
      <c r="AK32" s="41">
        <f t="shared" si="10"/>
        <v>44347.919017530367</v>
      </c>
      <c r="AL32" s="41">
        <f t="shared" si="23"/>
        <v>9335.0149715637781</v>
      </c>
      <c r="AM32" s="41">
        <f t="shared" si="11"/>
        <v>-10154.453482923334</v>
      </c>
      <c r="AN32" s="41">
        <f t="shared" si="12"/>
        <v>638.34336304150975</v>
      </c>
      <c r="AO32" s="41">
        <f t="shared" si="13"/>
        <v>-9516.1101198818251</v>
      </c>
      <c r="AP32" s="45"/>
      <c r="AQ32" s="55"/>
      <c r="AR32" s="48"/>
      <c r="AS32" s="48"/>
      <c r="AT32" s="51">
        <f t="shared" si="24"/>
        <v>28</v>
      </c>
      <c r="AU32" s="49">
        <f t="shared" si="25"/>
        <v>0.15396388281221182</v>
      </c>
      <c r="AV32" s="49">
        <f t="shared" si="26"/>
        <v>3.1917168152075487E-2</v>
      </c>
      <c r="AW32" s="50">
        <f xml:space="preserve"> IF(ISERROR(ROUND((1000*NPV($AT$1,$AV33:$AV$124)-$AW$1*($AU33+NPV($AT$1,$AU34:$AU$124)))/AU33,3)), 0, ROUND((1000*NPV($AT$1,$AV33:$AV$124)-$AW$1*($AU33+NPV($AT$1,$AU34:$AU$124)))/AU33,3))</f>
        <v>761.79100000000005</v>
      </c>
      <c r="AX32" s="50">
        <f>IF(ISERROR(ROUND(MAX(0,1000*NPV($AT$2,$AV33:$AV$124)-$AW$2*($AU33+NPV($AT$2,$AU34:$AU$124)))/AU33,3)), 0, ROUND(MAX(0,1000*NPV($AT$2,$AV33:$AV$124)-$AW$2*($AU33+NPV($AT$2,$AU34:$AU$124)))/AU33,3))</f>
        <v>693.96100000000001</v>
      </c>
    </row>
    <row r="33" spans="1:50" ht="15" x14ac:dyDescent="0.25">
      <c r="A33">
        <v>8</v>
      </c>
      <c r="B33">
        <v>1.4244582607103601E-4</v>
      </c>
      <c r="C33">
        <f t="shared" si="31"/>
        <v>1.3389907650677383E-4</v>
      </c>
      <c r="D33" s="60">
        <v>43</v>
      </c>
      <c r="E33">
        <v>784506.13456106524</v>
      </c>
      <c r="F33" s="5">
        <v>23535.184391360381</v>
      </c>
      <c r="G33" s="8"/>
      <c r="H33" s="4"/>
      <c r="I33" s="51">
        <v>29</v>
      </c>
      <c r="J33" s="41"/>
      <c r="K33" s="41" t="str">
        <f t="shared" si="27"/>
        <v/>
      </c>
      <c r="L33" s="42">
        <f t="shared" si="28"/>
        <v>25</v>
      </c>
      <c r="M33" s="41">
        <f t="shared" si="29"/>
        <v>2000000</v>
      </c>
      <c r="N33" s="43">
        <f t="shared" si="1"/>
        <v>709.90899999999999</v>
      </c>
      <c r="O33" s="44">
        <f t="shared" si="2"/>
        <v>774.79700000000003</v>
      </c>
      <c r="P33" s="41">
        <f t="shared" si="3"/>
        <v>1419818</v>
      </c>
      <c r="Q33" s="41">
        <f t="shared" si="4"/>
        <v>1549594</v>
      </c>
      <c r="R33" s="44"/>
      <c r="S33" s="44">
        <f t="shared" si="14"/>
        <v>225.713772930098</v>
      </c>
      <c r="T33" s="52">
        <f t="shared" si="30"/>
        <v>0</v>
      </c>
      <c r="U33" s="53">
        <f t="shared" si="15"/>
        <v>0.12204671466013634</v>
      </c>
      <c r="V33" s="53">
        <f t="shared" si="16"/>
        <v>2.7547624439662473E-2</v>
      </c>
      <c r="W33" s="53">
        <f t="shared" si="17"/>
        <v>0</v>
      </c>
      <c r="X33" s="46">
        <f t="shared" si="5"/>
        <v>9.4499090220473869E-2</v>
      </c>
      <c r="Y33" s="54"/>
      <c r="Z33" s="41">
        <f t="shared" si="18"/>
        <v>185948.17761531984</v>
      </c>
      <c r="AA33" s="41">
        <f t="shared" si="19"/>
        <v>2440.9342932027266</v>
      </c>
      <c r="AB33" s="41">
        <f t="shared" si="6"/>
        <v>146435.22321110498</v>
      </c>
      <c r="AC33" s="41">
        <f t="shared" si="7"/>
        <v>1889.9818044094775</v>
      </c>
      <c r="AD33" s="54"/>
      <c r="AE33" s="41">
        <f t="shared" si="20"/>
        <v>0</v>
      </c>
      <c r="AF33" s="41"/>
      <c r="AG33" s="41">
        <f t="shared" si="8"/>
        <v>-2.3624772555118465</v>
      </c>
      <c r="AH33" s="41">
        <f t="shared" si="21"/>
        <v>-55095.248879324943</v>
      </c>
      <c r="AI33" s="41">
        <f t="shared" si="22"/>
        <v>0</v>
      </c>
      <c r="AJ33" s="41">
        <f t="shared" si="9"/>
        <v>-55097.611356580455</v>
      </c>
      <c r="AK33" s="41">
        <f t="shared" si="10"/>
        <v>39512.954404214863</v>
      </c>
      <c r="AL33" s="41">
        <f t="shared" si="23"/>
        <v>7535.5644763409036</v>
      </c>
      <c r="AM33" s="41">
        <f t="shared" si="11"/>
        <v>-8049.0924760246889</v>
      </c>
      <c r="AN33" s="41">
        <f t="shared" si="12"/>
        <v>550.95248879324913</v>
      </c>
      <c r="AO33" s="41">
        <f t="shared" si="13"/>
        <v>-7498.1399872314396</v>
      </c>
      <c r="AP33" s="45"/>
      <c r="AQ33" s="55"/>
      <c r="AR33" s="48"/>
      <c r="AS33" s="48"/>
      <c r="AT33" s="51">
        <f t="shared" si="24"/>
        <v>29</v>
      </c>
      <c r="AU33" s="49">
        <f t="shared" si="25"/>
        <v>0.12204671466013634</v>
      </c>
      <c r="AV33" s="49">
        <f t="shared" si="26"/>
        <v>2.7547624439662473E-2</v>
      </c>
      <c r="AW33" s="50">
        <f xml:space="preserve"> IF(ISERROR(ROUND((1000*NPV($AT$1,$AV34:$AV$124)-$AW$1*($AU34+NPV($AT$1,$AU35:$AU$124)))/AU34,3)), 0, ROUND((1000*NPV($AT$1,$AV34:$AV$124)-$AW$1*($AU34+NPV($AT$1,$AU35:$AU$124)))/AU34,3))</f>
        <v>774.79700000000003</v>
      </c>
      <c r="AX33" s="50">
        <f>IF(ISERROR(ROUND(MAX(0,1000*NPV($AT$2,$AV34:$AV$124)-$AW$2*($AU34+NPV($AT$2,$AU35:$AU$124)))/AU34,3)), 0, ROUND(MAX(0,1000*NPV($AT$2,$AV34:$AV$124)-$AW$2*($AU34+NPV($AT$2,$AU35:$AU$124)))/AU34,3))</f>
        <v>709.90899999999999</v>
      </c>
    </row>
    <row r="34" spans="1:50" ht="15" x14ac:dyDescent="0.25">
      <c r="A34">
        <v>9</v>
      </c>
      <c r="B34">
        <v>1.39867715535424E-4</v>
      </c>
      <c r="C34">
        <f t="shared" si="31"/>
        <v>1.3147565260329856E-4</v>
      </c>
      <c r="D34" s="60">
        <v>44</v>
      </c>
      <c r="E34">
        <v>812204.97154413327</v>
      </c>
      <c r="F34" s="5">
        <v>24366.149505596084</v>
      </c>
      <c r="G34" s="8"/>
      <c r="H34" s="4"/>
      <c r="I34" s="51">
        <v>30</v>
      </c>
      <c r="J34" s="41"/>
      <c r="K34" s="41" t="str">
        <f t="shared" si="27"/>
        <v/>
      </c>
      <c r="L34" s="42">
        <f t="shared" si="28"/>
        <v>25</v>
      </c>
      <c r="M34" s="41">
        <f t="shared" si="29"/>
        <v>2000000</v>
      </c>
      <c r="N34" s="43">
        <f t="shared" si="1"/>
        <v>724.99099999999999</v>
      </c>
      <c r="O34" s="44">
        <f t="shared" si="2"/>
        <v>787.03899999999999</v>
      </c>
      <c r="P34" s="41">
        <f t="shared" si="3"/>
        <v>1449982</v>
      </c>
      <c r="Q34" s="41">
        <f t="shared" si="4"/>
        <v>1574078</v>
      </c>
      <c r="R34" s="44"/>
      <c r="S34" s="44">
        <f t="shared" si="14"/>
        <v>244.72147326673499</v>
      </c>
      <c r="T34" s="52">
        <f t="shared" si="30"/>
        <v>0</v>
      </c>
      <c r="U34" s="53">
        <f t="shared" si="15"/>
        <v>9.4499090220473869E-2</v>
      </c>
      <c r="V34" s="53">
        <f t="shared" si="16"/>
        <v>2.3125956581120474E-2</v>
      </c>
      <c r="W34" s="53">
        <f t="shared" si="17"/>
        <v>0</v>
      </c>
      <c r="X34" s="46">
        <f t="shared" si="5"/>
        <v>7.1373133639353395E-2</v>
      </c>
      <c r="Y34" s="54"/>
      <c r="Z34" s="41">
        <f t="shared" si="18"/>
        <v>146435.22321110498</v>
      </c>
      <c r="AA34" s="41">
        <f t="shared" si="19"/>
        <v>1889.9818044094775</v>
      </c>
      <c r="AB34" s="41">
        <f t="shared" si="6"/>
        <v>112346.87945276611</v>
      </c>
      <c r="AC34" s="41">
        <f t="shared" si="7"/>
        <v>1427.462672787068</v>
      </c>
      <c r="AD34" s="54"/>
      <c r="AE34" s="41">
        <f t="shared" si="20"/>
        <v>0</v>
      </c>
      <c r="AF34" s="41"/>
      <c r="AG34" s="41">
        <f t="shared" si="8"/>
        <v>-1.7843283409838349</v>
      </c>
      <c r="AH34" s="41">
        <f t="shared" si="21"/>
        <v>-46251.913162240948</v>
      </c>
      <c r="AI34" s="41">
        <f t="shared" si="22"/>
        <v>0</v>
      </c>
      <c r="AJ34" s="41">
        <f t="shared" si="9"/>
        <v>-46253.69749058193</v>
      </c>
      <c r="AK34" s="41">
        <f t="shared" si="10"/>
        <v>34088.343758338873</v>
      </c>
      <c r="AL34" s="41">
        <f t="shared" si="23"/>
        <v>5933.0082006205785</v>
      </c>
      <c r="AM34" s="41">
        <f t="shared" si="11"/>
        <v>-6232.3455316224781</v>
      </c>
      <c r="AN34" s="41">
        <f t="shared" si="12"/>
        <v>462.51913162240953</v>
      </c>
      <c r="AO34" s="41">
        <f t="shared" si="13"/>
        <v>-5769.826400000069</v>
      </c>
      <c r="AP34" s="45"/>
      <c r="AQ34" s="55"/>
      <c r="AR34" s="48"/>
      <c r="AS34" s="48"/>
      <c r="AT34" s="51">
        <f t="shared" si="24"/>
        <v>30</v>
      </c>
      <c r="AU34" s="49">
        <f t="shared" si="25"/>
        <v>9.4499090220473869E-2</v>
      </c>
      <c r="AV34" s="49">
        <f t="shared" si="26"/>
        <v>2.3125956581120474E-2</v>
      </c>
      <c r="AW34" s="50">
        <f xml:space="preserve"> IF(ISERROR(ROUND((1000*NPV($AT$1,$AV35:$AV$124)-$AW$1*($AU35+NPV($AT$1,$AU36:$AU$124)))/AU35,3)), 0, ROUND((1000*NPV($AT$1,$AV35:$AV$124)-$AW$1*($AU35+NPV($AT$1,$AU36:$AU$124)))/AU35,3))</f>
        <v>787.03899999999999</v>
      </c>
      <c r="AX34" s="50">
        <f>IF(ISERROR(ROUND(MAX(0,1000*NPV($AT$2,$AV35:$AV$124)-$AW$2*($AU35+NPV($AT$2,$AU36:$AU$124)))/AU35,3)), 0, ROUND(MAX(0,1000*NPV($AT$2,$AV35:$AV$124)-$AW$2*($AU35+NPV($AT$2,$AU36:$AU$124)))/AU35,3))</f>
        <v>724.99099999999999</v>
      </c>
    </row>
    <row r="35" spans="1:50" ht="15" x14ac:dyDescent="0.25">
      <c r="A35">
        <v>10</v>
      </c>
      <c r="B35">
        <v>1.3845698603298699E-4</v>
      </c>
      <c r="C35">
        <f t="shared" si="31"/>
        <v>1.3014956687100777E-4</v>
      </c>
      <c r="D35" s="60">
        <v>45</v>
      </c>
      <c r="E35">
        <v>840692.92332048377</v>
      </c>
      <c r="F35" s="5">
        <v>25220.793161567126</v>
      </c>
      <c r="G35" s="8"/>
      <c r="H35" s="4"/>
      <c r="I35" s="51">
        <v>31</v>
      </c>
      <c r="J35" s="41"/>
      <c r="K35" s="41" t="str">
        <f t="shared" si="27"/>
        <v/>
      </c>
      <c r="L35" s="42">
        <f t="shared" si="28"/>
        <v>25</v>
      </c>
      <c r="M35" s="41">
        <f t="shared" si="29"/>
        <v>2000000</v>
      </c>
      <c r="N35" s="43">
        <f t="shared" si="1"/>
        <v>739.12</v>
      </c>
      <c r="O35" s="44">
        <f t="shared" si="2"/>
        <v>798.45899999999995</v>
      </c>
      <c r="P35" s="41">
        <f t="shared" si="3"/>
        <v>1478240</v>
      </c>
      <c r="Q35" s="41">
        <f t="shared" si="4"/>
        <v>1596918</v>
      </c>
      <c r="R35" s="44"/>
      <c r="S35" s="44">
        <f t="shared" si="14"/>
        <v>265.09857081599097</v>
      </c>
      <c r="T35" s="52">
        <f t="shared" si="30"/>
        <v>0</v>
      </c>
      <c r="U35" s="53">
        <f t="shared" si="15"/>
        <v>7.1373133639353395E-2</v>
      </c>
      <c r="V35" s="53">
        <f t="shared" si="16"/>
        <v>1.8920915722451311E-2</v>
      </c>
      <c r="W35" s="53">
        <f t="shared" si="17"/>
        <v>0</v>
      </c>
      <c r="X35" s="46">
        <f t="shared" si="5"/>
        <v>5.2452217916902084E-2</v>
      </c>
      <c r="Y35" s="54"/>
      <c r="Z35" s="41">
        <f t="shared" si="18"/>
        <v>112346.87945276611</v>
      </c>
      <c r="AA35" s="41">
        <f t="shared" si="19"/>
        <v>1427.462672787068</v>
      </c>
      <c r="AB35" s="41">
        <f t="shared" si="6"/>
        <v>83761.890931423448</v>
      </c>
      <c r="AC35" s="41">
        <f t="shared" si="7"/>
        <v>1049.0443583380418</v>
      </c>
      <c r="AD35" s="54"/>
      <c r="AE35" s="41">
        <f t="shared" si="20"/>
        <v>0</v>
      </c>
      <c r="AF35" s="41"/>
      <c r="AG35" s="41">
        <f t="shared" si="8"/>
        <v>-1.3113054479225521</v>
      </c>
      <c r="AH35" s="41">
        <f t="shared" si="21"/>
        <v>-37841.831444902622</v>
      </c>
      <c r="AI35" s="41">
        <f t="shared" si="22"/>
        <v>0</v>
      </c>
      <c r="AJ35" s="41">
        <f t="shared" si="9"/>
        <v>-37843.142750350547</v>
      </c>
      <c r="AK35" s="41">
        <f t="shared" si="10"/>
        <v>28584.988521342661</v>
      </c>
      <c r="AL35" s="41">
        <f t="shared" si="23"/>
        <v>4550.973685022127</v>
      </c>
      <c r="AM35" s="41">
        <f t="shared" si="11"/>
        <v>-4707.1805439857599</v>
      </c>
      <c r="AN35" s="41">
        <f t="shared" si="12"/>
        <v>378.41831444902618</v>
      </c>
      <c r="AO35" s="41">
        <f t="shared" si="13"/>
        <v>-4328.7622295367337</v>
      </c>
      <c r="AP35" s="45"/>
      <c r="AQ35" s="55"/>
      <c r="AR35" s="48"/>
      <c r="AS35" s="48"/>
      <c r="AT35" s="51">
        <f t="shared" si="24"/>
        <v>31</v>
      </c>
      <c r="AU35" s="49">
        <f t="shared" si="25"/>
        <v>7.1373133639353395E-2</v>
      </c>
      <c r="AV35" s="49">
        <f t="shared" si="26"/>
        <v>1.8920915722451311E-2</v>
      </c>
      <c r="AW35" s="50">
        <f xml:space="preserve"> IF(ISERROR(ROUND((1000*NPV($AT$1,$AV36:$AV$124)-$AW$1*($AU36+NPV($AT$1,$AU37:$AU$124)))/AU36,3)), 0, ROUND((1000*NPV($AT$1,$AV36:$AV$124)-$AW$1*($AU36+NPV($AT$1,$AU37:$AU$124)))/AU36,3))</f>
        <v>798.45899999999995</v>
      </c>
      <c r="AX35" s="50">
        <f>IF(ISERROR(ROUND(MAX(0,1000*NPV($AT$2,$AV36:$AV$124)-$AW$2*($AU36+NPV($AT$2,$AU37:$AU$124)))/AU36,3)), 0, ROUND(MAX(0,1000*NPV($AT$2,$AV36:$AV$124)-$AW$2*($AU36+NPV($AT$2,$AU37:$AU$124)))/AU36,3))</f>
        <v>739.12</v>
      </c>
    </row>
    <row r="36" spans="1:50" ht="15" x14ac:dyDescent="0.25">
      <c r="A36">
        <v>11</v>
      </c>
      <c r="B36">
        <v>1.5170759195481899E-4</v>
      </c>
      <c r="C36">
        <f t="shared" si="31"/>
        <v>1.4260513643752983E-4</v>
      </c>
      <c r="D36" s="60">
        <v>46</v>
      </c>
      <c r="E36">
        <v>869982.98603384779</v>
      </c>
      <c r="F36" s="5">
        <v>26099.495143399632</v>
      </c>
      <c r="G36" s="8"/>
      <c r="H36" s="4"/>
      <c r="I36" s="51">
        <v>32</v>
      </c>
      <c r="J36" s="41"/>
      <c r="K36" s="41" t="str">
        <f t="shared" si="27"/>
        <v/>
      </c>
      <c r="L36" s="42">
        <f t="shared" si="28"/>
        <v>25</v>
      </c>
      <c r="M36" s="41">
        <f t="shared" si="29"/>
        <v>2000000</v>
      </c>
      <c r="N36" s="43">
        <f t="shared" si="1"/>
        <v>752.44399999999996</v>
      </c>
      <c r="O36" s="44">
        <f t="shared" si="2"/>
        <v>809.18200000000002</v>
      </c>
      <c r="P36" s="41">
        <f t="shared" si="3"/>
        <v>1504888</v>
      </c>
      <c r="Q36" s="41">
        <f t="shared" si="4"/>
        <v>1618364</v>
      </c>
      <c r="R36" s="44"/>
      <c r="S36" s="44">
        <f t="shared" si="14"/>
        <v>286.03793605129601</v>
      </c>
      <c r="T36" s="52">
        <f t="shared" si="30"/>
        <v>0</v>
      </c>
      <c r="U36" s="53">
        <f t="shared" si="15"/>
        <v>5.2452217916902084E-2</v>
      </c>
      <c r="V36" s="53">
        <f t="shared" si="16"/>
        <v>1.5003324154263481E-2</v>
      </c>
      <c r="W36" s="53">
        <f t="shared" si="17"/>
        <v>0</v>
      </c>
      <c r="X36" s="46">
        <f t="shared" si="5"/>
        <v>3.7448893762638602E-2</v>
      </c>
      <c r="Y36" s="54"/>
      <c r="Z36" s="41">
        <f t="shared" si="18"/>
        <v>83761.890931423448</v>
      </c>
      <c r="AA36" s="41">
        <f t="shared" si="19"/>
        <v>1049.0443583380418</v>
      </c>
      <c r="AB36" s="41">
        <f t="shared" si="6"/>
        <v>60605.941505278861</v>
      </c>
      <c r="AC36" s="41">
        <f t="shared" si="7"/>
        <v>748.97787525277204</v>
      </c>
      <c r="AD36" s="54"/>
      <c r="AE36" s="41">
        <f t="shared" si="20"/>
        <v>0</v>
      </c>
      <c r="AF36" s="41"/>
      <c r="AG36" s="41">
        <f t="shared" si="8"/>
        <v>-0.93622234406596505</v>
      </c>
      <c r="AH36" s="41">
        <f t="shared" si="21"/>
        <v>-30006.648308526961</v>
      </c>
      <c r="AI36" s="41">
        <f t="shared" si="22"/>
        <v>0</v>
      </c>
      <c r="AJ36" s="41">
        <f t="shared" si="9"/>
        <v>-30007.584530871027</v>
      </c>
      <c r="AK36" s="41">
        <f t="shared" si="10"/>
        <v>23155.949426144587</v>
      </c>
      <c r="AL36" s="41">
        <f t="shared" si="23"/>
        <v>3392.4374115904598</v>
      </c>
      <c r="AM36" s="41">
        <f t="shared" si="11"/>
        <v>-3459.19769313598</v>
      </c>
      <c r="AN36" s="41">
        <f t="shared" si="12"/>
        <v>300.06648308526974</v>
      </c>
      <c r="AO36" s="41">
        <f t="shared" si="13"/>
        <v>-3159.1312100507103</v>
      </c>
      <c r="AP36" s="45"/>
      <c r="AQ36" s="55"/>
      <c r="AR36" s="48"/>
      <c r="AS36" s="48"/>
      <c r="AT36" s="51">
        <f t="shared" si="24"/>
        <v>32</v>
      </c>
      <c r="AU36" s="49">
        <f t="shared" si="25"/>
        <v>5.2452217916902084E-2</v>
      </c>
      <c r="AV36" s="49">
        <f t="shared" si="26"/>
        <v>1.5003324154263481E-2</v>
      </c>
      <c r="AW36" s="50">
        <f xml:space="preserve"> IF(ISERROR(ROUND((1000*NPV($AT$1,$AV37:$AV$124)-$AW$1*($AU37+NPV($AT$1,$AU38:$AU$124)))/AU37,3)), 0, ROUND((1000*NPV($AT$1,$AV37:$AV$124)-$AW$1*($AU37+NPV($AT$1,$AU38:$AU$124)))/AU37,3))</f>
        <v>809.18200000000002</v>
      </c>
      <c r="AX36" s="50">
        <f>IF(ISERROR(ROUND(MAX(0,1000*NPV($AT$2,$AV37:$AV$124)-$AW$2*($AU37+NPV($AT$2,$AU38:$AU$124)))/AU37,3)), 0, ROUND(MAX(0,1000*NPV($AT$2,$AV37:$AV$124)-$AW$2*($AU37+NPV($AT$2,$AU38:$AU$124)))/AU37,3))</f>
        <v>752.44399999999996</v>
      </c>
    </row>
    <row r="37" spans="1:50" ht="15" x14ac:dyDescent="0.25">
      <c r="A37">
        <v>12</v>
      </c>
      <c r="B37">
        <v>1.6084499216772999E-4</v>
      </c>
      <c r="C37">
        <f t="shared" si="31"/>
        <v>1.5119429263766619E-4</v>
      </c>
      <c r="D37" s="60">
        <v>47</v>
      </c>
      <c r="E37">
        <v>900194.33392712171</v>
      </c>
      <c r="F37" s="5">
        <v>27005.835727695492</v>
      </c>
      <c r="G37" s="8"/>
      <c r="H37" s="4"/>
      <c r="I37" s="51">
        <v>33</v>
      </c>
      <c r="J37" s="41"/>
      <c r="K37" s="41" t="str">
        <f t="shared" si="27"/>
        <v/>
      </c>
      <c r="L37" s="42">
        <f t="shared" si="28"/>
        <v>25</v>
      </c>
      <c r="M37" s="41">
        <f t="shared" si="29"/>
        <v>2000000</v>
      </c>
      <c r="N37" s="43">
        <f t="shared" si="1"/>
        <v>764.93299999999999</v>
      </c>
      <c r="O37" s="44">
        <f t="shared" si="2"/>
        <v>819.19200000000001</v>
      </c>
      <c r="P37" s="41">
        <f t="shared" si="3"/>
        <v>1529866</v>
      </c>
      <c r="Q37" s="41">
        <f t="shared" si="4"/>
        <v>1638384</v>
      </c>
      <c r="R37" s="44"/>
      <c r="S37" s="44">
        <f t="shared" si="14"/>
        <v>308.19372900110397</v>
      </c>
      <c r="T37" s="52">
        <f t="shared" si="30"/>
        <v>0</v>
      </c>
      <c r="U37" s="53">
        <f t="shared" si="15"/>
        <v>3.7448893762638602E-2</v>
      </c>
      <c r="V37" s="53">
        <f t="shared" si="16"/>
        <v>1.1541514215673775E-2</v>
      </c>
      <c r="W37" s="53">
        <f t="shared" si="17"/>
        <v>0</v>
      </c>
      <c r="X37" s="46">
        <f t="shared" si="5"/>
        <v>2.5907379546964829E-2</v>
      </c>
      <c r="Y37" s="54"/>
      <c r="Z37" s="41">
        <f t="shared" si="18"/>
        <v>60605.941505278861</v>
      </c>
      <c r="AA37" s="41">
        <f t="shared" si="19"/>
        <v>748.97787525277204</v>
      </c>
      <c r="AB37" s="41">
        <f t="shared" si="6"/>
        <v>42446.236131674421</v>
      </c>
      <c r="AC37" s="41">
        <f t="shared" si="7"/>
        <v>518.14759093929661</v>
      </c>
      <c r="AD37" s="54"/>
      <c r="AE37" s="41">
        <f t="shared" si="20"/>
        <v>0</v>
      </c>
      <c r="AF37" s="41"/>
      <c r="AG37" s="41">
        <f t="shared" si="8"/>
        <v>-0.64768448867412076</v>
      </c>
      <c r="AH37" s="41">
        <f t="shared" si="21"/>
        <v>-23083.028431347549</v>
      </c>
      <c r="AI37" s="41">
        <f t="shared" si="22"/>
        <v>0</v>
      </c>
      <c r="AJ37" s="41">
        <f t="shared" si="9"/>
        <v>-23083.676115836224</v>
      </c>
      <c r="AK37" s="41">
        <f t="shared" si="10"/>
        <v>18159.70537360444</v>
      </c>
      <c r="AL37" s="41">
        <f t="shared" si="23"/>
        <v>2454.1967752212654</v>
      </c>
      <c r="AM37" s="41">
        <f t="shared" si="11"/>
        <v>-2469.7739670105188</v>
      </c>
      <c r="AN37" s="41">
        <f t="shared" si="12"/>
        <v>230.83028431347543</v>
      </c>
      <c r="AO37" s="41">
        <f t="shared" si="13"/>
        <v>-2238.9436826970432</v>
      </c>
      <c r="AP37" s="45"/>
      <c r="AQ37" s="55"/>
      <c r="AR37" s="48"/>
      <c r="AS37" s="48"/>
      <c r="AT37" s="51">
        <f t="shared" si="24"/>
        <v>33</v>
      </c>
      <c r="AU37" s="49">
        <f t="shared" si="25"/>
        <v>3.7448893762638602E-2</v>
      </c>
      <c r="AV37" s="49">
        <f t="shared" si="26"/>
        <v>1.1541514215673775E-2</v>
      </c>
      <c r="AW37" s="50">
        <f xml:space="preserve"> IF(ISERROR(ROUND((1000*NPV($AT$1,$AV38:$AV$124)-$AW$1*($AU38+NPV($AT$1,$AU39:$AU$124)))/AU38,3)), 0, ROUND((1000*NPV($AT$1,$AV38:$AV$124)-$AW$1*($AU38+NPV($AT$1,$AU39:$AU$124)))/AU38,3))</f>
        <v>819.19200000000001</v>
      </c>
      <c r="AX37" s="50">
        <f>IF(ISERROR(ROUND(MAX(0,1000*NPV($AT$2,$AV38:$AV$124)-$AW$2*($AU38+NPV($AT$2,$AU39:$AU$124)))/AU38,3)), 0, ROUND(MAX(0,1000*NPV($AT$2,$AV38:$AV$124)-$AW$2*($AU38+NPV($AT$2,$AU39:$AU$124)))/AU38,3))</f>
        <v>764.93299999999999</v>
      </c>
    </row>
    <row r="38" spans="1:50" ht="15" x14ac:dyDescent="0.25">
      <c r="A38">
        <v>13</v>
      </c>
      <c r="B38">
        <v>1.78536079733727E-4</v>
      </c>
      <c r="C38">
        <f t="shared" si="31"/>
        <v>1.6782391494970337E-4</v>
      </c>
      <c r="D38" s="60">
        <v>48</v>
      </c>
      <c r="E38">
        <v>931227.49426308938</v>
      </c>
      <c r="F38" s="5">
        <v>27936.830629098578</v>
      </c>
      <c r="G38" s="8"/>
      <c r="H38" s="4"/>
      <c r="I38" s="51">
        <v>34</v>
      </c>
      <c r="J38" s="41"/>
      <c r="K38" s="41" t="str">
        <f t="shared" si="27"/>
        <v/>
      </c>
      <c r="L38" s="42">
        <f t="shared" si="28"/>
        <v>25</v>
      </c>
      <c r="M38" s="41">
        <f t="shared" si="29"/>
        <v>2000000</v>
      </c>
      <c r="N38" s="43">
        <f t="shared" si="1"/>
        <v>776.49800000000005</v>
      </c>
      <c r="O38" s="44">
        <f t="shared" si="2"/>
        <v>828.428</v>
      </c>
      <c r="P38" s="41">
        <f t="shared" si="3"/>
        <v>1552996</v>
      </c>
      <c r="Q38" s="41">
        <f t="shared" si="4"/>
        <v>1656856</v>
      </c>
      <c r="R38" s="44"/>
      <c r="S38" s="44">
        <f t="shared" si="14"/>
        <v>331.62400251922401</v>
      </c>
      <c r="T38" s="52">
        <f t="shared" si="30"/>
        <v>0</v>
      </c>
      <c r="U38" s="53">
        <f t="shared" si="15"/>
        <v>2.5907379546964829E-2</v>
      </c>
      <c r="V38" s="53">
        <f t="shared" si="16"/>
        <v>8.591508900149156E-3</v>
      </c>
      <c r="W38" s="53">
        <f t="shared" si="17"/>
        <v>0</v>
      </c>
      <c r="X38" s="46">
        <f t="shared" si="5"/>
        <v>1.7315870646815675E-2</v>
      </c>
      <c r="Y38" s="54"/>
      <c r="Z38" s="41">
        <f t="shared" si="18"/>
        <v>42446.236131674421</v>
      </c>
      <c r="AA38" s="41">
        <f t="shared" si="19"/>
        <v>518.14759093929661</v>
      </c>
      <c r="AB38" s="41">
        <f t="shared" si="6"/>
        <v>28689.904176400432</v>
      </c>
      <c r="AC38" s="41">
        <f t="shared" si="7"/>
        <v>346.31741293631347</v>
      </c>
      <c r="AD38" s="54"/>
      <c r="AE38" s="41">
        <f t="shared" si="20"/>
        <v>0</v>
      </c>
      <c r="AF38" s="41"/>
      <c r="AG38" s="41">
        <f t="shared" si="8"/>
        <v>-0.43289676617039186</v>
      </c>
      <c r="AH38" s="41">
        <f t="shared" si="21"/>
        <v>-17183.017800298312</v>
      </c>
      <c r="AI38" s="41">
        <f t="shared" si="22"/>
        <v>0</v>
      </c>
      <c r="AJ38" s="41">
        <f t="shared" si="9"/>
        <v>-17183.450697064483</v>
      </c>
      <c r="AK38" s="41">
        <f t="shared" si="10"/>
        <v>13756.331955273989</v>
      </c>
      <c r="AL38" s="41">
        <f t="shared" si="23"/>
        <v>1718.5753489045487</v>
      </c>
      <c r="AM38" s="41">
        <f t="shared" si="11"/>
        <v>-1708.5433928859461</v>
      </c>
      <c r="AN38" s="41">
        <f t="shared" si="12"/>
        <v>171.83017800298313</v>
      </c>
      <c r="AO38" s="41">
        <f t="shared" si="13"/>
        <v>-1536.713214882963</v>
      </c>
      <c r="AP38" s="45"/>
      <c r="AQ38" s="55"/>
      <c r="AR38" s="48"/>
      <c r="AS38" s="48"/>
      <c r="AT38" s="51">
        <f t="shared" si="24"/>
        <v>34</v>
      </c>
      <c r="AU38" s="49">
        <f t="shared" si="25"/>
        <v>2.5907379546964829E-2</v>
      </c>
      <c r="AV38" s="49">
        <f t="shared" si="26"/>
        <v>8.591508900149156E-3</v>
      </c>
      <c r="AW38" s="50">
        <f xml:space="preserve"> IF(ISERROR(ROUND((1000*NPV($AT$1,$AV39:$AV$124)-$AW$1*($AU39+NPV($AT$1,$AU40:$AU$124)))/AU39,3)), 0, ROUND((1000*NPV($AT$1,$AV39:$AV$124)-$AW$1*($AU39+NPV($AT$1,$AU40:$AU$124)))/AU39,3))</f>
        <v>828.428</v>
      </c>
      <c r="AX38" s="50">
        <f>IF(ISERROR(ROUND(MAX(0,1000*NPV($AT$2,$AV39:$AV$124)-$AW$2*($AU39+NPV($AT$2,$AU40:$AU$124)))/AU39,3)), 0, ROUND(MAX(0,1000*NPV($AT$2,$AV39:$AV$124)-$AW$2*($AU39+NPV($AT$2,$AU40:$AU$124)))/AU39,3))</f>
        <v>776.49800000000005</v>
      </c>
    </row>
    <row r="39" spans="1:50" ht="15" x14ac:dyDescent="0.25">
      <c r="A39">
        <v>14</v>
      </c>
      <c r="B39">
        <v>2.0047996254346501E-4</v>
      </c>
      <c r="C39">
        <f t="shared" si="31"/>
        <v>1.8845116479085708E-4</v>
      </c>
      <c r="D39" s="60">
        <v>49</v>
      </c>
      <c r="E39">
        <v>963073.41011168074</v>
      </c>
      <c r="F39" s="5">
        <v>28892.208182290895</v>
      </c>
      <c r="G39" s="8"/>
      <c r="H39" s="4"/>
      <c r="I39" s="51">
        <v>35</v>
      </c>
      <c r="J39" s="41"/>
      <c r="K39" s="41" t="str">
        <f t="shared" si="27"/>
        <v/>
      </c>
      <c r="L39" s="42">
        <f t="shared" si="28"/>
        <v>25</v>
      </c>
      <c r="M39" s="41">
        <f t="shared" si="29"/>
        <v>2000000</v>
      </c>
      <c r="N39" s="43">
        <f t="shared" si="1"/>
        <v>787.25199999999995</v>
      </c>
      <c r="O39" s="44">
        <f t="shared" si="2"/>
        <v>836.98699999999997</v>
      </c>
      <c r="P39" s="41">
        <f t="shared" si="3"/>
        <v>1574504</v>
      </c>
      <c r="Q39" s="41">
        <f t="shared" si="4"/>
        <v>1673974</v>
      </c>
      <c r="R39" s="44"/>
      <c r="S39" s="44">
        <f t="shared" si="14"/>
        <v>355.460790319892</v>
      </c>
      <c r="T39" s="52">
        <f t="shared" si="30"/>
        <v>0</v>
      </c>
      <c r="U39" s="53">
        <f t="shared" si="15"/>
        <v>1.7315870646815675E-2</v>
      </c>
      <c r="V39" s="53">
        <f t="shared" si="16"/>
        <v>6.1551130651941195E-3</v>
      </c>
      <c r="W39" s="53">
        <f t="shared" si="17"/>
        <v>0</v>
      </c>
      <c r="X39" s="46">
        <f t="shared" si="5"/>
        <v>1.1160757581621555E-2</v>
      </c>
      <c r="Y39" s="54"/>
      <c r="Z39" s="41">
        <f t="shared" si="18"/>
        <v>28689.904176400432</v>
      </c>
      <c r="AA39" s="41">
        <f t="shared" si="19"/>
        <v>346.31741293631347</v>
      </c>
      <c r="AB39" s="41">
        <f t="shared" si="6"/>
        <v>18682.818011937361</v>
      </c>
      <c r="AC39" s="41">
        <f t="shared" si="7"/>
        <v>223.21515163243109</v>
      </c>
      <c r="AD39" s="54"/>
      <c r="AE39" s="41">
        <f t="shared" si="20"/>
        <v>0</v>
      </c>
      <c r="AF39" s="41"/>
      <c r="AG39" s="41">
        <f t="shared" si="8"/>
        <v>-0.27901893954053886</v>
      </c>
      <c r="AH39" s="41">
        <f t="shared" si="21"/>
        <v>-12310.226130388239</v>
      </c>
      <c r="AI39" s="41">
        <f t="shared" si="22"/>
        <v>0</v>
      </c>
      <c r="AJ39" s="41">
        <f t="shared" si="9"/>
        <v>-12310.505149327779</v>
      </c>
      <c r="AK39" s="41">
        <f t="shared" si="10"/>
        <v>10007.086164463071</v>
      </c>
      <c r="AL39" s="41">
        <f t="shared" si="23"/>
        <v>1161.4488635734699</v>
      </c>
      <c r="AM39" s="41">
        <f t="shared" si="11"/>
        <v>-1141.9701212912375</v>
      </c>
      <c r="AN39" s="41">
        <f t="shared" si="12"/>
        <v>123.10226130388239</v>
      </c>
      <c r="AO39" s="41">
        <f t="shared" si="13"/>
        <v>-1018.8678599873551</v>
      </c>
      <c r="AP39" s="45"/>
      <c r="AQ39" s="55"/>
      <c r="AR39" s="48"/>
      <c r="AS39" s="48"/>
      <c r="AT39" s="51">
        <f t="shared" si="24"/>
        <v>35</v>
      </c>
      <c r="AU39" s="49">
        <f t="shared" si="25"/>
        <v>1.7315870646815675E-2</v>
      </c>
      <c r="AV39" s="49">
        <f t="shared" si="26"/>
        <v>6.1551130651941195E-3</v>
      </c>
      <c r="AW39" s="50">
        <f xml:space="preserve"> IF(ISERROR(ROUND((1000*NPV($AT$1,$AV40:$AV$124)-$AW$1*($AU40+NPV($AT$1,$AU41:$AU$124)))/AU40,3)), 0, ROUND((1000*NPV($AT$1,$AV40:$AV$124)-$AW$1*($AU40+NPV($AT$1,$AU41:$AU$124)))/AU40,3))</f>
        <v>836.98699999999997</v>
      </c>
      <c r="AX39" s="50">
        <f>IF(ISERROR(ROUND(MAX(0,1000*NPV($AT$2,$AV40:$AV$124)-$AW$2*($AU40+NPV($AT$2,$AU41:$AU$124)))/AU40,3)), 0, ROUND(MAX(0,1000*NPV($AT$2,$AV40:$AV$124)-$AW$2*($AU40+NPV($AT$2,$AU41:$AU$124)))/AU40,3))</f>
        <v>787.25199999999995</v>
      </c>
    </row>
    <row r="40" spans="1:50" ht="15" x14ac:dyDescent="0.25">
      <c r="A40">
        <v>15</v>
      </c>
      <c r="B40">
        <v>2.4127113976790701E-4</v>
      </c>
      <c r="C40">
        <f t="shared" si="31"/>
        <v>2.2679487138183257E-4</v>
      </c>
      <c r="D40" s="60">
        <v>50</v>
      </c>
      <c r="E40">
        <v>995753.07262733718</v>
      </c>
      <c r="F40" s="5">
        <v>29872.598136289744</v>
      </c>
      <c r="G40" s="8"/>
      <c r="H40" s="4"/>
      <c r="I40" s="51">
        <v>36</v>
      </c>
      <c r="J40" s="41"/>
      <c r="K40" s="41" t="str">
        <f t="shared" si="27"/>
        <v/>
      </c>
      <c r="L40" s="42">
        <f t="shared" si="28"/>
        <v>25</v>
      </c>
      <c r="M40" s="41">
        <f t="shared" si="29"/>
        <v>2000000</v>
      </c>
      <c r="N40" s="43">
        <f t="shared" si="1"/>
        <v>797.10599999999999</v>
      </c>
      <c r="O40" s="44">
        <f t="shared" si="2"/>
        <v>844.80600000000004</v>
      </c>
      <c r="P40" s="41">
        <f t="shared" si="3"/>
        <v>1594212</v>
      </c>
      <c r="Q40" s="41">
        <f t="shared" si="4"/>
        <v>1689612</v>
      </c>
      <c r="R40" s="44"/>
      <c r="S40" s="44">
        <f t="shared" si="14"/>
        <v>380.34225172454899</v>
      </c>
      <c r="T40" s="52">
        <f t="shared" si="30"/>
        <v>0</v>
      </c>
      <c r="U40" s="53">
        <f t="shared" si="15"/>
        <v>1.1160757581621555E-2</v>
      </c>
      <c r="V40" s="53">
        <f t="shared" si="16"/>
        <v>4.2449076695457739E-3</v>
      </c>
      <c r="W40" s="53">
        <f t="shared" si="17"/>
        <v>0</v>
      </c>
      <c r="X40" s="46">
        <f t="shared" si="5"/>
        <v>6.9158499120757812E-3</v>
      </c>
      <c r="Y40" s="54"/>
      <c r="Z40" s="41">
        <f t="shared" si="18"/>
        <v>18682.818011937361</v>
      </c>
      <c r="AA40" s="41">
        <f t="shared" si="19"/>
        <v>223.21515163243109</v>
      </c>
      <c r="AB40" s="41">
        <f t="shared" si="6"/>
        <v>11685.103001642185</v>
      </c>
      <c r="AC40" s="41">
        <f t="shared" si="7"/>
        <v>138.31699824151562</v>
      </c>
      <c r="AD40" s="54"/>
      <c r="AE40" s="41">
        <f t="shared" si="20"/>
        <v>0</v>
      </c>
      <c r="AF40" s="41"/>
      <c r="AG40" s="41">
        <f t="shared" si="8"/>
        <v>-0.17289624780189453</v>
      </c>
      <c r="AH40" s="41">
        <f t="shared" si="21"/>
        <v>-8489.8153390915486</v>
      </c>
      <c r="AI40" s="41">
        <f t="shared" si="22"/>
        <v>0</v>
      </c>
      <c r="AJ40" s="41">
        <f t="shared" si="9"/>
        <v>-8489.9882353393514</v>
      </c>
      <c r="AK40" s="41">
        <f t="shared" si="10"/>
        <v>6997.7150102951764</v>
      </c>
      <c r="AL40" s="41">
        <f t="shared" si="23"/>
        <v>756.24132654279163</v>
      </c>
      <c r="AM40" s="41">
        <f t="shared" si="11"/>
        <v>-736.03189850138335</v>
      </c>
      <c r="AN40" s="41">
        <f t="shared" si="12"/>
        <v>84.898153390915468</v>
      </c>
      <c r="AO40" s="41">
        <f t="shared" si="13"/>
        <v>-651.13374511046788</v>
      </c>
      <c r="AP40" s="45"/>
      <c r="AQ40" s="55"/>
      <c r="AR40" s="48"/>
      <c r="AS40" s="48"/>
      <c r="AT40" s="51">
        <f t="shared" si="24"/>
        <v>36</v>
      </c>
      <c r="AU40" s="49">
        <f t="shared" si="25"/>
        <v>1.1160757581621555E-2</v>
      </c>
      <c r="AV40" s="49">
        <f t="shared" si="26"/>
        <v>4.2449076695457739E-3</v>
      </c>
      <c r="AW40" s="50">
        <f xml:space="preserve"> IF(ISERROR(ROUND((1000*NPV($AT$1,$AV41:$AV$124)-$AW$1*($AU41+NPV($AT$1,$AU42:$AU$124)))/AU41,3)), 0, ROUND((1000*NPV($AT$1,$AV41:$AV$124)-$AW$1*($AU41+NPV($AT$1,$AU42:$AU$124)))/AU41,3))</f>
        <v>844.80600000000004</v>
      </c>
      <c r="AX40" s="50">
        <f>IF(ISERROR(ROUND(MAX(0,1000*NPV($AT$2,$AV41:$AV$124)-$AW$2*($AU41+NPV($AT$2,$AU42:$AU$124)))/AU41,3)), 0, ROUND(MAX(0,1000*NPV($AT$2,$AV41:$AV$124)-$AW$2*($AU41+NPV($AT$2,$AU42:$AU$124)))/AU41,3))</f>
        <v>797.10599999999999</v>
      </c>
    </row>
    <row r="41" spans="1:50" ht="15" x14ac:dyDescent="0.25">
      <c r="A41">
        <v>16</v>
      </c>
      <c r="B41">
        <v>2.9202746110856798E-4</v>
      </c>
      <c r="C41">
        <f t="shared" si="31"/>
        <v>2.7450581344205387E-4</v>
      </c>
      <c r="D41" s="60">
        <v>51</v>
      </c>
      <c r="E41">
        <v>1029274.118875124</v>
      </c>
      <c r="F41" s="5">
        <v>30878.229596532998</v>
      </c>
      <c r="G41" s="8"/>
      <c r="H41" s="4"/>
      <c r="I41" s="51">
        <v>37</v>
      </c>
      <c r="J41" s="41"/>
      <c r="K41" s="41" t="str">
        <f t="shared" si="27"/>
        <v/>
      </c>
      <c r="L41" s="42">
        <f t="shared" si="28"/>
        <v>25</v>
      </c>
      <c r="M41" s="41">
        <f t="shared" si="29"/>
        <v>2000000</v>
      </c>
      <c r="N41" s="43">
        <f t="shared" si="1"/>
        <v>806.13499999999999</v>
      </c>
      <c r="O41" s="44">
        <f t="shared" si="2"/>
        <v>851.95100000000002</v>
      </c>
      <c r="P41" s="41">
        <f t="shared" si="3"/>
        <v>1612270</v>
      </c>
      <c r="Q41" s="41">
        <f t="shared" si="4"/>
        <v>1703902</v>
      </c>
      <c r="R41" s="44"/>
      <c r="S41" s="44">
        <f t="shared" si="14"/>
        <v>405.35907173690299</v>
      </c>
      <c r="T41" s="52">
        <f t="shared" si="30"/>
        <v>0</v>
      </c>
      <c r="U41" s="53">
        <f t="shared" si="15"/>
        <v>6.9158499120757812E-3</v>
      </c>
      <c r="V41" s="53">
        <f t="shared" si="16"/>
        <v>2.8034025006307812E-3</v>
      </c>
      <c r="W41" s="53">
        <f t="shared" si="17"/>
        <v>0</v>
      </c>
      <c r="X41" s="46">
        <f t="shared" si="5"/>
        <v>4.1124474114449996E-3</v>
      </c>
      <c r="Y41" s="54"/>
      <c r="Z41" s="41">
        <f t="shared" si="18"/>
        <v>11685.103001642185</v>
      </c>
      <c r="AA41" s="41">
        <f t="shared" si="19"/>
        <v>138.31699824151562</v>
      </c>
      <c r="AB41" s="41">
        <f t="shared" si="6"/>
        <v>7007.2073692559579</v>
      </c>
      <c r="AC41" s="41">
        <f t="shared" si="7"/>
        <v>82.248948228899991</v>
      </c>
      <c r="AD41" s="54"/>
      <c r="AE41" s="41">
        <f t="shared" si="20"/>
        <v>0</v>
      </c>
      <c r="AF41" s="41"/>
      <c r="AG41" s="41">
        <f t="shared" si="8"/>
        <v>-0.10281118528612498</v>
      </c>
      <c r="AH41" s="41">
        <f t="shared" si="21"/>
        <v>-5606.8050012615622</v>
      </c>
      <c r="AI41" s="41">
        <f t="shared" si="22"/>
        <v>0</v>
      </c>
      <c r="AJ41" s="41">
        <f t="shared" si="9"/>
        <v>-5606.9078124468488</v>
      </c>
      <c r="AK41" s="41">
        <f t="shared" si="10"/>
        <v>4677.8956323862267</v>
      </c>
      <c r="AL41" s="41">
        <f t="shared" si="23"/>
        <v>472.936799995348</v>
      </c>
      <c r="AM41" s="41">
        <f t="shared" si="11"/>
        <v>-456.07538006527409</v>
      </c>
      <c r="AN41" s="41">
        <f t="shared" si="12"/>
        <v>56.068050012615629</v>
      </c>
      <c r="AO41" s="41">
        <f t="shared" si="13"/>
        <v>-400.00733005265846</v>
      </c>
      <c r="AP41" s="45"/>
      <c r="AQ41" s="55"/>
      <c r="AR41" s="48"/>
      <c r="AS41" s="48"/>
      <c r="AT41" s="51">
        <f t="shared" si="24"/>
        <v>37</v>
      </c>
      <c r="AU41" s="49">
        <f t="shared" si="25"/>
        <v>6.9158499120757812E-3</v>
      </c>
      <c r="AV41" s="49">
        <f t="shared" si="26"/>
        <v>2.8034025006307812E-3</v>
      </c>
      <c r="AW41" s="50">
        <f xml:space="preserve"> IF(ISERROR(ROUND((1000*NPV($AT$1,$AV42:$AV$124)-$AW$1*($AU42+NPV($AT$1,$AU43:$AU$124)))/AU42,3)), 0, ROUND((1000*NPV($AT$1,$AV42:$AV$124)-$AW$1*($AU42+NPV($AT$1,$AU43:$AU$124)))/AU42,3))</f>
        <v>851.95100000000002</v>
      </c>
      <c r="AX41" s="50">
        <f>IF(ISERROR(ROUND(MAX(0,1000*NPV($AT$2,$AV42:$AV$124)-$AW$2*($AU42+NPV($AT$2,$AU43:$AU$124)))/AU42,3)), 0, ROUND(MAX(0,1000*NPV($AT$2,$AV42:$AV$124)-$AW$2*($AU42+NPV($AT$2,$AU43:$AU$124)))/AU42,3))</f>
        <v>806.13499999999999</v>
      </c>
    </row>
    <row r="42" spans="1:50" ht="15" x14ac:dyDescent="0.25">
      <c r="A42">
        <v>17</v>
      </c>
      <c r="B42">
        <v>3.4982282959372701E-4</v>
      </c>
      <c r="C42">
        <f t="shared" si="31"/>
        <v>3.2883345981810335E-4</v>
      </c>
      <c r="D42" s="60">
        <v>52</v>
      </c>
      <c r="E42">
        <v>1063653.9203006472</v>
      </c>
      <c r="F42" s="5">
        <v>31909.62371117773</v>
      </c>
      <c r="G42" s="8"/>
      <c r="H42" s="4"/>
      <c r="I42" s="51">
        <v>38</v>
      </c>
      <c r="J42" s="41"/>
      <c r="K42" s="41" t="str">
        <f t="shared" si="27"/>
        <v/>
      </c>
      <c r="L42" s="42">
        <f t="shared" si="28"/>
        <v>25</v>
      </c>
      <c r="M42" s="41">
        <f t="shared" si="29"/>
        <v>2000000</v>
      </c>
      <c r="N42" s="43">
        <f t="shared" si="1"/>
        <v>814.56600000000003</v>
      </c>
      <c r="O42" s="44">
        <f t="shared" si="2"/>
        <v>858.60500000000002</v>
      </c>
      <c r="P42" s="41">
        <f t="shared" si="3"/>
        <v>1629132</v>
      </c>
      <c r="Q42" s="41">
        <f t="shared" si="4"/>
        <v>1717210</v>
      </c>
      <c r="R42" s="44"/>
      <c r="S42" s="44">
        <f t="shared" si="14"/>
        <v>429.93508092885401</v>
      </c>
      <c r="T42" s="52">
        <f t="shared" si="30"/>
        <v>0</v>
      </c>
      <c r="U42" s="53">
        <f t="shared" si="15"/>
        <v>4.1124474114449996E-3</v>
      </c>
      <c r="V42" s="53">
        <f t="shared" si="16"/>
        <v>1.7680854106552622E-3</v>
      </c>
      <c r="W42" s="53">
        <f t="shared" si="17"/>
        <v>0</v>
      </c>
      <c r="X42" s="46">
        <f t="shared" si="5"/>
        <v>2.3443620007897372E-3</v>
      </c>
      <c r="Y42" s="54"/>
      <c r="Z42" s="41">
        <f t="shared" si="18"/>
        <v>7007.2073692559579</v>
      </c>
      <c r="AA42" s="41">
        <f t="shared" si="19"/>
        <v>82.248948228899991</v>
      </c>
      <c r="AB42" s="41">
        <f t="shared" si="6"/>
        <v>4025.7618713761444</v>
      </c>
      <c r="AC42" s="41">
        <f t="shared" si="7"/>
        <v>46.887240015794745</v>
      </c>
      <c r="AD42" s="54"/>
      <c r="AE42" s="41">
        <f t="shared" si="20"/>
        <v>0</v>
      </c>
      <c r="AF42" s="41"/>
      <c r="AG42" s="41">
        <f t="shared" si="8"/>
        <v>-5.8609050019743432E-2</v>
      </c>
      <c r="AH42" s="41">
        <f t="shared" si="21"/>
        <v>-3536.1708213105244</v>
      </c>
      <c r="AI42" s="41">
        <f t="shared" si="22"/>
        <v>0</v>
      </c>
      <c r="AJ42" s="41">
        <f t="shared" si="9"/>
        <v>-3536.229430360544</v>
      </c>
      <c r="AK42" s="41">
        <f t="shared" si="10"/>
        <v>2981.4454978798135</v>
      </c>
      <c r="AL42" s="41">
        <f t="shared" si="23"/>
        <v>283.57825269939434</v>
      </c>
      <c r="AM42" s="41">
        <f t="shared" si="11"/>
        <v>-271.20567978133619</v>
      </c>
      <c r="AN42" s="41">
        <f t="shared" si="12"/>
        <v>35.361708213105246</v>
      </c>
      <c r="AO42" s="41">
        <f t="shared" si="13"/>
        <v>-235.84397156823093</v>
      </c>
      <c r="AP42" s="45"/>
      <c r="AQ42" s="55"/>
      <c r="AR42" s="48"/>
      <c r="AS42" s="48"/>
      <c r="AT42" s="51">
        <f t="shared" si="24"/>
        <v>38</v>
      </c>
      <c r="AU42" s="49">
        <f t="shared" si="25"/>
        <v>4.1124474114449996E-3</v>
      </c>
      <c r="AV42" s="49">
        <f t="shared" si="26"/>
        <v>1.7680854106552622E-3</v>
      </c>
      <c r="AW42" s="50">
        <f xml:space="preserve"> IF(ISERROR(ROUND((1000*NPV($AT$1,$AV43:$AV$124)-$AW$1*($AU43+NPV($AT$1,$AU44:$AU$124)))/AU43,3)), 0, ROUND((1000*NPV($AT$1,$AV43:$AV$124)-$AW$1*($AU43+NPV($AT$1,$AU44:$AU$124)))/AU43,3))</f>
        <v>858.60500000000002</v>
      </c>
      <c r="AX42" s="50">
        <f>IF(ISERROR(ROUND(MAX(0,1000*NPV($AT$2,$AV43:$AV$124)-$AW$2*($AU43+NPV($AT$2,$AU44:$AU$124)))/AU43,3)), 0, ROUND(MAX(0,1000*NPV($AT$2,$AV43:$AV$124)-$AW$2*($AU43+NPV($AT$2,$AU44:$AU$124)))/AU43,3))</f>
        <v>814.56600000000003</v>
      </c>
    </row>
    <row r="43" spans="1:50" ht="15" x14ac:dyDescent="0.25">
      <c r="A43">
        <v>18</v>
      </c>
      <c r="B43">
        <v>4.18396207694904E-4</v>
      </c>
      <c r="C43">
        <f t="shared" si="31"/>
        <v>3.9329243523320972E-4</v>
      </c>
      <c r="D43" s="60">
        <v>53</v>
      </c>
      <c r="E43">
        <v>1098873.8927910251</v>
      </c>
      <c r="F43" s="5">
        <v>32966.222939179395</v>
      </c>
      <c r="G43" s="8"/>
      <c r="H43" s="4"/>
      <c r="I43" s="51">
        <v>39</v>
      </c>
      <c r="J43" s="41"/>
      <c r="K43" s="41" t="str">
        <f t="shared" si="27"/>
        <v/>
      </c>
      <c r="L43" s="42">
        <f t="shared" si="28"/>
        <v>25</v>
      </c>
      <c r="M43" s="41">
        <f t="shared" si="29"/>
        <v>2000000</v>
      </c>
      <c r="N43" s="43">
        <f t="shared" si="1"/>
        <v>822.41600000000005</v>
      </c>
      <c r="O43" s="44">
        <f t="shared" si="2"/>
        <v>864.78300000000002</v>
      </c>
      <c r="P43" s="41">
        <f t="shared" si="3"/>
        <v>1644832</v>
      </c>
      <c r="Q43" s="41">
        <f t="shared" si="4"/>
        <v>1729566</v>
      </c>
      <c r="R43" s="44"/>
      <c r="S43" s="44">
        <f t="shared" si="14"/>
        <v>455.06359986018003</v>
      </c>
      <c r="T43" s="52">
        <f t="shared" si="30"/>
        <v>0</v>
      </c>
      <c r="U43" s="53">
        <f t="shared" si="15"/>
        <v>2.3443620007897372E-3</v>
      </c>
      <c r="V43" s="53">
        <f t="shared" si="16"/>
        <v>1.0668338114547919E-3</v>
      </c>
      <c r="W43" s="53">
        <f t="shared" si="17"/>
        <v>0</v>
      </c>
      <c r="X43" s="46">
        <f t="shared" si="5"/>
        <v>1.2775281893349453E-3</v>
      </c>
      <c r="Y43" s="54"/>
      <c r="Z43" s="41">
        <f t="shared" si="18"/>
        <v>4025.7618713761444</v>
      </c>
      <c r="AA43" s="41">
        <f t="shared" si="19"/>
        <v>46.887240015794745</v>
      </c>
      <c r="AB43" s="41">
        <f t="shared" si="6"/>
        <v>2209.5693203152841</v>
      </c>
      <c r="AC43" s="41">
        <f t="shared" si="7"/>
        <v>25.550563786698905</v>
      </c>
      <c r="AD43" s="54"/>
      <c r="AE43" s="41">
        <f t="shared" si="20"/>
        <v>0</v>
      </c>
      <c r="AF43" s="41"/>
      <c r="AG43" s="41">
        <f t="shared" si="8"/>
        <v>-3.193820473337363E-2</v>
      </c>
      <c r="AH43" s="41">
        <f t="shared" si="21"/>
        <v>-2133.6676229095838</v>
      </c>
      <c r="AI43" s="41">
        <f t="shared" si="22"/>
        <v>0</v>
      </c>
      <c r="AJ43" s="41">
        <f t="shared" si="9"/>
        <v>-2133.699561114317</v>
      </c>
      <c r="AK43" s="41">
        <f t="shared" si="10"/>
        <v>1816.1925510608603</v>
      </c>
      <c r="AL43" s="41">
        <f t="shared" si="23"/>
        <v>162.90596445567758</v>
      </c>
      <c r="AM43" s="41">
        <f t="shared" si="11"/>
        <v>-154.60104559777915</v>
      </c>
      <c r="AN43" s="41">
        <f t="shared" si="12"/>
        <v>21.33667622909584</v>
      </c>
      <c r="AO43" s="41">
        <f t="shared" si="13"/>
        <v>-133.2643693686833</v>
      </c>
      <c r="AP43" s="45"/>
      <c r="AQ43" s="55"/>
      <c r="AR43" s="48"/>
      <c r="AS43" s="48"/>
      <c r="AT43" s="51">
        <f t="shared" si="24"/>
        <v>39</v>
      </c>
      <c r="AU43" s="49">
        <f t="shared" si="25"/>
        <v>2.3443620007897372E-3</v>
      </c>
      <c r="AV43" s="49">
        <f t="shared" si="26"/>
        <v>1.0668338114547919E-3</v>
      </c>
      <c r="AW43" s="50">
        <f xml:space="preserve"> IF(ISERROR(ROUND((1000*NPV($AT$1,$AV44:$AV$124)-$AW$1*($AU44+NPV($AT$1,$AU45:$AU$124)))/AU44,3)), 0, ROUND((1000*NPV($AT$1,$AV44:$AV$124)-$AW$1*($AU44+NPV($AT$1,$AU45:$AU$124)))/AU44,3))</f>
        <v>864.78300000000002</v>
      </c>
      <c r="AX43" s="50">
        <f>IF(ISERROR(ROUND(MAX(0,1000*NPV($AT$2,$AV44:$AV$124)-$AW$2*($AU44+NPV($AT$2,$AU45:$AU$124)))/AU44,3)), 0, ROUND(MAX(0,1000*NPV($AT$2,$AV44:$AV$124)-$AW$2*($AU44+NPV($AT$2,$AU45:$AU$124)))/AU44,3))</f>
        <v>822.41600000000005</v>
      </c>
    </row>
    <row r="44" spans="1:50" ht="15" x14ac:dyDescent="0.25">
      <c r="A44">
        <v>19</v>
      </c>
      <c r="B44">
        <v>3.7845001735259398E-4</v>
      </c>
      <c r="C44">
        <f t="shared" si="31"/>
        <v>3.5574301631143831E-4</v>
      </c>
      <c r="D44" s="60">
        <v>54</v>
      </c>
      <c r="E44">
        <v>1134914.1856285909</v>
      </c>
      <c r="F44" s="5">
        <v>34047.43175865151</v>
      </c>
      <c r="G44" s="8"/>
      <c r="H44" s="4"/>
      <c r="I44" s="51">
        <v>40</v>
      </c>
      <c r="J44" s="41"/>
      <c r="K44" s="41" t="str">
        <f t="shared" si="27"/>
        <v/>
      </c>
      <c r="L44" s="42">
        <f t="shared" si="28"/>
        <v>25</v>
      </c>
      <c r="M44" s="41">
        <f t="shared" si="29"/>
        <v>2000000</v>
      </c>
      <c r="N44" s="43">
        <f t="shared" si="1"/>
        <v>829.70600000000002</v>
      </c>
      <c r="O44" s="44">
        <f t="shared" si="2"/>
        <v>870.50699999999995</v>
      </c>
      <c r="P44" s="41">
        <f t="shared" si="3"/>
        <v>1659412</v>
      </c>
      <c r="Q44" s="41">
        <f t="shared" si="4"/>
        <v>1741014</v>
      </c>
      <c r="R44" s="44"/>
      <c r="S44" s="44">
        <f t="shared" si="14"/>
        <v>480.594654044533</v>
      </c>
      <c r="T44" s="52">
        <f t="shared" si="30"/>
        <v>0</v>
      </c>
      <c r="U44" s="53">
        <f t="shared" si="15"/>
        <v>1.2775281893349453E-3</v>
      </c>
      <c r="V44" s="53">
        <f t="shared" si="16"/>
        <v>6.139732181855667E-4</v>
      </c>
      <c r="W44" s="53">
        <f t="shared" si="17"/>
        <v>0</v>
      </c>
      <c r="X44" s="46">
        <f t="shared" si="5"/>
        <v>6.6355497114937859E-4</v>
      </c>
      <c r="Y44" s="54"/>
      <c r="Z44" s="41">
        <f t="shared" si="18"/>
        <v>2209.5693203152841</v>
      </c>
      <c r="AA44" s="41">
        <f t="shared" si="19"/>
        <v>25.550563786698905</v>
      </c>
      <c r="AB44" s="41">
        <f t="shared" si="6"/>
        <v>1155.2584945406643</v>
      </c>
      <c r="AC44" s="41">
        <f t="shared" si="7"/>
        <v>13.271099422987572</v>
      </c>
      <c r="AD44" s="54"/>
      <c r="AE44" s="41">
        <f t="shared" si="20"/>
        <v>0</v>
      </c>
      <c r="AF44" s="41"/>
      <c r="AG44" s="41">
        <f t="shared" si="8"/>
        <v>-1.6588874278734466E-2</v>
      </c>
      <c r="AH44" s="41">
        <f t="shared" si="21"/>
        <v>-1227.9464363711334</v>
      </c>
      <c r="AI44" s="41">
        <f t="shared" si="22"/>
        <v>0</v>
      </c>
      <c r="AJ44" s="41">
        <f t="shared" si="9"/>
        <v>-1227.9630252454122</v>
      </c>
      <c r="AK44" s="41">
        <f t="shared" si="10"/>
        <v>1054.3108257746198</v>
      </c>
      <c r="AL44" s="41">
        <f t="shared" si="23"/>
        <v>89.404795364079334</v>
      </c>
      <c r="AM44" s="41">
        <f t="shared" si="11"/>
        <v>-84.247404106712978</v>
      </c>
      <c r="AN44" s="41">
        <f t="shared" si="12"/>
        <v>12.279464363711334</v>
      </c>
      <c r="AO44" s="41">
        <f t="shared" si="13"/>
        <v>-71.967939743001637</v>
      </c>
      <c r="AP44" s="45"/>
      <c r="AQ44" s="55"/>
      <c r="AR44" s="48"/>
      <c r="AS44" s="48"/>
      <c r="AT44" s="51">
        <f t="shared" si="24"/>
        <v>40</v>
      </c>
      <c r="AU44" s="49">
        <f t="shared" si="25"/>
        <v>1.2775281893349453E-3</v>
      </c>
      <c r="AV44" s="49">
        <f t="shared" si="26"/>
        <v>6.139732181855667E-4</v>
      </c>
      <c r="AW44" s="50">
        <f xml:space="preserve"> IF(ISERROR(ROUND((1000*NPV($AT$1,$AV45:$AV$124)-$AW$1*($AU45+NPV($AT$1,$AU46:$AU$124)))/AU45,3)), 0, ROUND((1000*NPV($AT$1,$AV45:$AV$124)-$AW$1*($AU45+NPV($AT$1,$AU46:$AU$124)))/AU45,3))</f>
        <v>870.50699999999995</v>
      </c>
      <c r="AX44" s="50">
        <f>IF(ISERROR(ROUND(MAX(0,1000*NPV($AT$2,$AV45:$AV$124)-$AW$2*($AU45+NPV($AT$2,$AU46:$AU$124)))/AU45,3)), 0, ROUND(MAX(0,1000*NPV($AT$2,$AV45:$AV$124)-$AW$2*($AU45+NPV($AT$2,$AU46:$AU$124)))/AU45,3))</f>
        <v>829.70600000000002</v>
      </c>
    </row>
    <row r="45" spans="1:50" ht="15" x14ac:dyDescent="0.25">
      <c r="A45">
        <v>20</v>
      </c>
      <c r="B45">
        <v>4.1051397874658502E-4</v>
      </c>
      <c r="C45">
        <f t="shared" si="31"/>
        <v>3.858831400217899E-4</v>
      </c>
      <c r="D45" s="60">
        <v>55</v>
      </c>
      <c r="E45">
        <v>1171771.6530007387</v>
      </c>
      <c r="F45" s="5">
        <v>35153.155803756439</v>
      </c>
      <c r="G45" s="8"/>
      <c r="H45" s="4"/>
      <c r="I45" s="51">
        <v>41</v>
      </c>
      <c r="J45" s="41"/>
      <c r="K45" s="41" t="str">
        <f t="shared" si="27"/>
        <v/>
      </c>
      <c r="L45" s="42">
        <f t="shared" si="28"/>
        <v>25</v>
      </c>
      <c r="M45" s="41">
        <f t="shared" si="29"/>
        <v>2000000</v>
      </c>
      <c r="N45" s="43">
        <f t="shared" si="1"/>
        <v>836.47199999999998</v>
      </c>
      <c r="O45" s="44">
        <f t="shared" si="2"/>
        <v>875.80799999999999</v>
      </c>
      <c r="P45" s="41">
        <f t="shared" si="3"/>
        <v>1672944</v>
      </c>
      <c r="Q45" s="41">
        <f t="shared" si="4"/>
        <v>1751616</v>
      </c>
      <c r="R45" s="44"/>
      <c r="S45" s="44">
        <f t="shared" si="14"/>
        <v>506.36083902879801</v>
      </c>
      <c r="T45" s="52">
        <f t="shared" si="30"/>
        <v>0</v>
      </c>
      <c r="U45" s="53">
        <f t="shared" si="15"/>
        <v>6.6355497114937859E-4</v>
      </c>
      <c r="V45" s="53">
        <f t="shared" si="16"/>
        <v>3.3599825193292922E-4</v>
      </c>
      <c r="W45" s="53">
        <f t="shared" si="17"/>
        <v>0</v>
      </c>
      <c r="X45" s="46">
        <f t="shared" si="5"/>
        <v>3.2755671921644937E-4</v>
      </c>
      <c r="Y45" s="54"/>
      <c r="Z45" s="41">
        <f t="shared" si="18"/>
        <v>1155.2584945406643</v>
      </c>
      <c r="AA45" s="41">
        <f t="shared" si="19"/>
        <v>13.271099422987572</v>
      </c>
      <c r="AB45" s="41">
        <f t="shared" si="6"/>
        <v>573.7535902870402</v>
      </c>
      <c r="AC45" s="41">
        <f t="shared" si="7"/>
        <v>6.5511343843289875</v>
      </c>
      <c r="AD45" s="54"/>
      <c r="AE45" s="41">
        <f t="shared" si="20"/>
        <v>0</v>
      </c>
      <c r="AF45" s="41"/>
      <c r="AG45" s="41">
        <f t="shared" si="8"/>
        <v>-8.1889179804112335E-3</v>
      </c>
      <c r="AH45" s="41">
        <f t="shared" si="21"/>
        <v>-671.99650386585847</v>
      </c>
      <c r="AI45" s="41">
        <f t="shared" si="22"/>
        <v>0</v>
      </c>
      <c r="AJ45" s="41">
        <f t="shared" si="9"/>
        <v>-672.00469278383889</v>
      </c>
      <c r="AK45" s="41">
        <f t="shared" si="10"/>
        <v>581.50490425362409</v>
      </c>
      <c r="AL45" s="41">
        <f t="shared" si="23"/>
        <v>46.741183758546079</v>
      </c>
      <c r="AM45" s="41">
        <f t="shared" si="11"/>
        <v>-43.758604771668722</v>
      </c>
      <c r="AN45" s="41">
        <f t="shared" si="12"/>
        <v>6.7199650386585841</v>
      </c>
      <c r="AO45" s="41">
        <f t="shared" si="13"/>
        <v>-37.038639733010136</v>
      </c>
      <c r="AP45" s="45"/>
      <c r="AQ45" s="55"/>
      <c r="AR45" s="48"/>
      <c r="AS45" s="48"/>
      <c r="AT45" s="51">
        <f t="shared" si="24"/>
        <v>41</v>
      </c>
      <c r="AU45" s="49">
        <f t="shared" si="25"/>
        <v>6.6355497114937859E-4</v>
      </c>
      <c r="AV45" s="49">
        <f t="shared" si="26"/>
        <v>3.3599825193292922E-4</v>
      </c>
      <c r="AW45" s="50">
        <f xml:space="preserve"> IF(ISERROR(ROUND((1000*NPV($AT$1,$AV46:$AV$124)-$AW$1*($AU46+NPV($AT$1,$AU47:$AU$124)))/AU46,3)), 0, ROUND((1000*NPV($AT$1,$AV46:$AV$124)-$AW$1*($AU46+NPV($AT$1,$AU47:$AU$124)))/AU46,3))</f>
        <v>875.80799999999999</v>
      </c>
      <c r="AX45" s="50">
        <f>IF(ISERROR(ROUND(MAX(0,1000*NPV($AT$2,$AV46:$AV$124)-$AW$2*($AU46+NPV($AT$2,$AU47:$AU$124)))/AU46,3)), 0, ROUND(MAX(0,1000*NPV($AT$2,$AV46:$AV$124)-$AW$2*($AU46+NPV($AT$2,$AU47:$AU$124)))/AU46,3))</f>
        <v>836.47199999999998</v>
      </c>
    </row>
    <row r="46" spans="1:50" ht="15" x14ac:dyDescent="0.25">
      <c r="A46">
        <v>21</v>
      </c>
      <c r="B46">
        <v>4.4304895383962E-4</v>
      </c>
      <c r="C46">
        <f t="shared" si="31"/>
        <v>4.1646601660924278E-4</v>
      </c>
      <c r="D46" s="60">
        <v>56</v>
      </c>
      <c r="E46">
        <v>1209418.8824862109</v>
      </c>
      <c r="F46" s="5">
        <v>36282.572690300643</v>
      </c>
      <c r="G46" s="8"/>
      <c r="H46" s="4"/>
      <c r="I46" s="51">
        <v>42</v>
      </c>
      <c r="J46" s="41"/>
      <c r="K46" s="41" t="str">
        <f t="shared" si="27"/>
        <v/>
      </c>
      <c r="L46" s="42">
        <f t="shared" si="28"/>
        <v>25</v>
      </c>
      <c r="M46" s="41">
        <f t="shared" si="29"/>
        <v>2000000</v>
      </c>
      <c r="N46" s="43">
        <f t="shared" si="1"/>
        <v>842.77200000000005</v>
      </c>
      <c r="O46" s="44">
        <f t="shared" si="2"/>
        <v>880.73299999999995</v>
      </c>
      <c r="P46" s="41">
        <f t="shared" si="3"/>
        <v>1685544</v>
      </c>
      <c r="Q46" s="41">
        <f t="shared" si="4"/>
        <v>1761466</v>
      </c>
      <c r="R46" s="44"/>
      <c r="S46" s="44">
        <f t="shared" si="14"/>
        <v>532.1954616514239</v>
      </c>
      <c r="T46" s="52">
        <f t="shared" si="30"/>
        <v>0</v>
      </c>
      <c r="U46" s="53">
        <f t="shared" si="15"/>
        <v>3.2755671921644937E-4</v>
      </c>
      <c r="V46" s="53">
        <f t="shared" si="16"/>
        <v>1.743241994004241E-4</v>
      </c>
      <c r="W46" s="53">
        <f t="shared" si="17"/>
        <v>0</v>
      </c>
      <c r="X46" s="46">
        <f t="shared" si="5"/>
        <v>1.5323251981602527E-4</v>
      </c>
      <c r="Y46" s="54"/>
      <c r="Z46" s="41">
        <f t="shared" si="18"/>
        <v>573.7535902870402</v>
      </c>
      <c r="AA46" s="41">
        <f t="shared" si="19"/>
        <v>6.5511343843289875</v>
      </c>
      <c r="AB46" s="41">
        <f t="shared" si="6"/>
        <v>269.91387375025477</v>
      </c>
      <c r="AC46" s="41">
        <f t="shared" si="7"/>
        <v>3.0646503963205052</v>
      </c>
      <c r="AD46" s="54"/>
      <c r="AE46" s="41">
        <f t="shared" si="20"/>
        <v>0</v>
      </c>
      <c r="AF46" s="41"/>
      <c r="AG46" s="41">
        <f t="shared" si="8"/>
        <v>-3.8308129954006316E-3</v>
      </c>
      <c r="AH46" s="41">
        <f t="shared" si="21"/>
        <v>-348.64839880084821</v>
      </c>
      <c r="AI46" s="41">
        <f t="shared" si="22"/>
        <v>0</v>
      </c>
      <c r="AJ46" s="41">
        <f t="shared" si="9"/>
        <v>-348.65222961384359</v>
      </c>
      <c r="AK46" s="41">
        <f t="shared" si="10"/>
        <v>303.83971653678543</v>
      </c>
      <c r="AL46" s="41">
        <f t="shared" si="23"/>
        <v>23.212188986854766</v>
      </c>
      <c r="AM46" s="41">
        <f t="shared" si="11"/>
        <v>-21.60032409020339</v>
      </c>
      <c r="AN46" s="41">
        <f t="shared" si="12"/>
        <v>3.4864839880084824</v>
      </c>
      <c r="AO46" s="41">
        <f t="shared" si="13"/>
        <v>-18.113840102194906</v>
      </c>
      <c r="AP46" s="45"/>
      <c r="AQ46" s="55"/>
      <c r="AR46" s="48"/>
      <c r="AS46" s="48"/>
      <c r="AT46" s="51">
        <f t="shared" si="24"/>
        <v>42</v>
      </c>
      <c r="AU46" s="49">
        <f t="shared" si="25"/>
        <v>3.2755671921644937E-4</v>
      </c>
      <c r="AV46" s="49">
        <f t="shared" si="26"/>
        <v>1.743241994004241E-4</v>
      </c>
      <c r="AW46" s="50">
        <f xml:space="preserve"> IF(ISERROR(ROUND((1000*NPV($AT$1,$AV47:$AV$124)-$AW$1*($AU47+NPV($AT$1,$AU48:$AU$124)))/AU47,3)), 0, ROUND((1000*NPV($AT$1,$AV47:$AV$124)-$AW$1*($AU47+NPV($AT$1,$AU48:$AU$124)))/AU47,3))</f>
        <v>880.73299999999995</v>
      </c>
      <c r="AX46" s="50">
        <f>IF(ISERROR(ROUND(MAX(0,1000*NPV($AT$2,$AV47:$AV$124)-$AW$2*($AU47+NPV($AT$2,$AU48:$AU$124)))/AU47,3)), 0, ROUND(MAX(0,1000*NPV($AT$2,$AV47:$AV$124)-$AW$2*($AU47+NPV($AT$2,$AU48:$AU$124)))/AU47,3))</f>
        <v>842.77200000000005</v>
      </c>
    </row>
    <row r="47" spans="1:50" ht="15" x14ac:dyDescent="0.25">
      <c r="A47">
        <v>22</v>
      </c>
      <c r="B47">
        <v>4.6531454247367198E-4</v>
      </c>
      <c r="C47">
        <f t="shared" si="31"/>
        <v>4.3739566992525165E-4</v>
      </c>
      <c r="D47" s="60">
        <v>57</v>
      </c>
      <c r="E47">
        <v>1248214.4851013173</v>
      </c>
      <c r="F47" s="5">
        <v>37446.440938481945</v>
      </c>
      <c r="G47" s="8"/>
      <c r="H47" s="4"/>
      <c r="I47" s="51">
        <v>43</v>
      </c>
      <c r="J47" s="41"/>
      <c r="K47" s="41" t="str">
        <f t="shared" si="27"/>
        <v/>
      </c>
      <c r="L47" s="42">
        <f t="shared" si="28"/>
        <v>25</v>
      </c>
      <c r="M47" s="41">
        <f t="shared" si="29"/>
        <v>2000000</v>
      </c>
      <c r="N47" s="43">
        <f t="shared" si="1"/>
        <v>848.66099999999994</v>
      </c>
      <c r="O47" s="44">
        <f t="shared" si="2"/>
        <v>885.327</v>
      </c>
      <c r="P47" s="41">
        <f t="shared" si="3"/>
        <v>1697322</v>
      </c>
      <c r="Q47" s="41">
        <f t="shared" si="4"/>
        <v>1770654</v>
      </c>
      <c r="R47" s="44"/>
      <c r="S47" s="44">
        <f t="shared" si="14"/>
        <v>558.12175143414299</v>
      </c>
      <c r="T47" s="52">
        <f t="shared" si="30"/>
        <v>0</v>
      </c>
      <c r="U47" s="53">
        <f t="shared" si="15"/>
        <v>1.5323251981602527E-4</v>
      </c>
      <c r="V47" s="53">
        <f t="shared" si="16"/>
        <v>8.5522402336387038E-5</v>
      </c>
      <c r="W47" s="53">
        <f t="shared" si="17"/>
        <v>0</v>
      </c>
      <c r="X47" s="46">
        <f t="shared" si="5"/>
        <v>6.7710117479638228E-5</v>
      </c>
      <c r="Y47" s="54"/>
      <c r="Z47" s="41">
        <f t="shared" si="18"/>
        <v>269.91387375025477</v>
      </c>
      <c r="AA47" s="41">
        <f t="shared" si="19"/>
        <v>3.0646503963205052</v>
      </c>
      <c r="AB47" s="41">
        <f t="shared" si="6"/>
        <v>119.89119035579135</v>
      </c>
      <c r="AC47" s="41">
        <f t="shared" si="7"/>
        <v>1.3542023495927646</v>
      </c>
      <c r="AD47" s="54"/>
      <c r="AE47" s="41">
        <f t="shared" si="20"/>
        <v>0</v>
      </c>
      <c r="AF47" s="41"/>
      <c r="AG47" s="41">
        <f t="shared" si="8"/>
        <v>-1.6927529369909558E-3</v>
      </c>
      <c r="AH47" s="41">
        <f t="shared" si="21"/>
        <v>-171.04480467277406</v>
      </c>
      <c r="AI47" s="41">
        <f t="shared" si="22"/>
        <v>0</v>
      </c>
      <c r="AJ47" s="41">
        <f t="shared" si="9"/>
        <v>-171.04649742571107</v>
      </c>
      <c r="AK47" s="41">
        <f t="shared" si="10"/>
        <v>150.0226833944634</v>
      </c>
      <c r="AL47" s="41">
        <f t="shared" si="23"/>
        <v>10.919140965863011</v>
      </c>
      <c r="AM47" s="41">
        <f t="shared" si="11"/>
        <v>-10.104673065384656</v>
      </c>
      <c r="AN47" s="41">
        <f t="shared" si="12"/>
        <v>1.7104480467277405</v>
      </c>
      <c r="AO47" s="41">
        <f t="shared" si="13"/>
        <v>-8.3942250186569147</v>
      </c>
      <c r="AP47" s="45"/>
      <c r="AQ47" s="55"/>
      <c r="AR47" s="48"/>
      <c r="AS47" s="48"/>
      <c r="AT47" s="51">
        <f t="shared" si="24"/>
        <v>43</v>
      </c>
      <c r="AU47" s="49">
        <f t="shared" si="25"/>
        <v>1.5323251981602527E-4</v>
      </c>
      <c r="AV47" s="49">
        <f t="shared" si="26"/>
        <v>8.5522402336387038E-5</v>
      </c>
      <c r="AW47" s="50">
        <f xml:space="preserve"> IF(ISERROR(ROUND((1000*NPV($AT$1,$AV48:$AV$124)-$AW$1*($AU48+NPV($AT$1,$AU49:$AU$124)))/AU48,3)), 0, ROUND((1000*NPV($AT$1,$AV48:$AV$124)-$AW$1*($AU48+NPV($AT$1,$AU49:$AU$124)))/AU48,3))</f>
        <v>885.327</v>
      </c>
      <c r="AX47" s="50">
        <f>IF(ISERROR(ROUND(MAX(0,1000*NPV($AT$2,$AV48:$AV$124)-$AW$2*($AU48+NPV($AT$2,$AU49:$AU$124)))/AU48,3)), 0, ROUND(MAX(0,1000*NPV($AT$2,$AV48:$AV$124)-$AW$2*($AU48+NPV($AT$2,$AU49:$AU$124)))/AU48,3))</f>
        <v>848.66099999999994</v>
      </c>
    </row>
    <row r="48" spans="1:50" ht="15" x14ac:dyDescent="0.25">
      <c r="A48">
        <v>23</v>
      </c>
      <c r="B48">
        <v>4.8291631833752302E-4</v>
      </c>
      <c r="C48">
        <f t="shared" si="31"/>
        <v>4.539413392372716E-4</v>
      </c>
      <c r="D48" s="60">
        <v>58</v>
      </c>
      <c r="E48">
        <v>1287851.5070789352</v>
      </c>
      <c r="F48" s="5">
        <v>38635.551605362678</v>
      </c>
      <c r="G48" s="8"/>
      <c r="H48" s="4"/>
      <c r="I48" s="51">
        <v>44</v>
      </c>
      <c r="J48" s="41"/>
      <c r="K48" s="41" t="str">
        <f t="shared" si="27"/>
        <v/>
      </c>
      <c r="L48" s="42">
        <f t="shared" si="28"/>
        <v>25</v>
      </c>
      <c r="M48" s="41">
        <f t="shared" si="29"/>
        <v>2000000</v>
      </c>
      <c r="N48" s="43">
        <f t="shared" si="1"/>
        <v>854.18499999999995</v>
      </c>
      <c r="O48" s="44">
        <f t="shared" si="2"/>
        <v>889.63</v>
      </c>
      <c r="P48" s="41">
        <f t="shared" si="3"/>
        <v>1708370</v>
      </c>
      <c r="Q48" s="41">
        <f t="shared" si="4"/>
        <v>1779260</v>
      </c>
      <c r="R48" s="44"/>
      <c r="S48" s="44">
        <f t="shared" si="14"/>
        <v>584.18516579619393</v>
      </c>
      <c r="T48" s="52">
        <f t="shared" si="30"/>
        <v>0</v>
      </c>
      <c r="U48" s="53">
        <f t="shared" si="15"/>
        <v>6.7710117479638228E-5</v>
      </c>
      <c r="V48" s="53">
        <f t="shared" si="16"/>
        <v>3.9555246205922223E-5</v>
      </c>
      <c r="W48" s="53">
        <f t="shared" si="17"/>
        <v>0</v>
      </c>
      <c r="X48" s="46">
        <f t="shared" si="5"/>
        <v>2.8154871273716004E-5</v>
      </c>
      <c r="Y48" s="54"/>
      <c r="Z48" s="41">
        <f t="shared" si="18"/>
        <v>119.89119035579135</v>
      </c>
      <c r="AA48" s="41">
        <f t="shared" si="19"/>
        <v>1.3542023495927646</v>
      </c>
      <c r="AB48" s="41">
        <f t="shared" si="6"/>
        <v>50.094836262471937</v>
      </c>
      <c r="AC48" s="41">
        <f t="shared" si="7"/>
        <v>0.56309742547432007</v>
      </c>
      <c r="AD48" s="54"/>
      <c r="AE48" s="41">
        <f t="shared" si="20"/>
        <v>0</v>
      </c>
      <c r="AF48" s="41"/>
      <c r="AG48" s="41">
        <f t="shared" si="8"/>
        <v>-7.0387178184290011E-4</v>
      </c>
      <c r="AH48" s="41">
        <f t="shared" si="21"/>
        <v>-79.110492411844447</v>
      </c>
      <c r="AI48" s="41">
        <f t="shared" si="22"/>
        <v>0</v>
      </c>
      <c r="AJ48" s="41">
        <f t="shared" si="9"/>
        <v>-79.111196283626285</v>
      </c>
      <c r="AK48" s="41">
        <f t="shared" si="10"/>
        <v>69.796354093319422</v>
      </c>
      <c r="AL48" s="41">
        <f t="shared" si="23"/>
        <v>4.849815708215365</v>
      </c>
      <c r="AM48" s="41">
        <f t="shared" si="11"/>
        <v>-4.4650264820914973</v>
      </c>
      <c r="AN48" s="41">
        <f t="shared" si="12"/>
        <v>0.79110492411844457</v>
      </c>
      <c r="AO48" s="41">
        <f t="shared" si="13"/>
        <v>-3.6739215579730526</v>
      </c>
      <c r="AP48" s="45"/>
      <c r="AQ48" s="55"/>
      <c r="AR48" s="48"/>
      <c r="AS48" s="48"/>
      <c r="AT48" s="51">
        <f t="shared" si="24"/>
        <v>44</v>
      </c>
      <c r="AU48" s="49">
        <f t="shared" si="25"/>
        <v>6.7710117479638228E-5</v>
      </c>
      <c r="AV48" s="49">
        <f t="shared" si="26"/>
        <v>3.9555246205922223E-5</v>
      </c>
      <c r="AW48" s="50">
        <f xml:space="preserve"> IF(ISERROR(ROUND((1000*NPV($AT$1,$AV49:$AV$124)-$AW$1*($AU49+NPV($AT$1,$AU50:$AU$124)))/AU49,3)), 0, ROUND((1000*NPV($AT$1,$AV49:$AV$124)-$AW$1*($AU49+NPV($AT$1,$AU50:$AU$124)))/AU49,3))</f>
        <v>889.63</v>
      </c>
      <c r="AX48" s="50">
        <f>IF(ISERROR(ROUND(MAX(0,1000*NPV($AT$2,$AV49:$AV$124)-$AW$2*($AU49+NPV($AT$2,$AU50:$AU$124)))/AU49,3)), 0, ROUND(MAX(0,1000*NPV($AT$2,$AV49:$AV$124)-$AW$2*($AU49+NPV($AT$2,$AU50:$AU$124)))/AU49,3))</f>
        <v>854.18499999999995</v>
      </c>
    </row>
    <row r="49" spans="1:50" ht="15" x14ac:dyDescent="0.25">
      <c r="A49">
        <v>24</v>
      </c>
      <c r="B49">
        <v>4.8479989207572699E-4</v>
      </c>
      <c r="C49">
        <f t="shared" si="31"/>
        <v>4.5571189855118336E-4</v>
      </c>
      <c r="D49" s="60">
        <v>59</v>
      </c>
      <c r="E49">
        <v>1328350.0310148369</v>
      </c>
      <c r="F49" s="5">
        <v>39850.507332807407</v>
      </c>
      <c r="G49" s="8"/>
      <c r="I49" s="51">
        <v>45</v>
      </c>
      <c r="J49" s="41"/>
      <c r="K49" s="41" t="str">
        <f t="shared" si="27"/>
        <v/>
      </c>
      <c r="L49" s="42">
        <f t="shared" si="28"/>
        <v>25</v>
      </c>
      <c r="M49" s="41">
        <f t="shared" si="29"/>
        <v>2000000</v>
      </c>
      <c r="N49" s="43">
        <f t="shared" si="1"/>
        <v>859.46500000000003</v>
      </c>
      <c r="O49" s="44">
        <f t="shared" si="2"/>
        <v>893.73599999999999</v>
      </c>
      <c r="P49" s="41">
        <f t="shared" si="3"/>
        <v>1718930</v>
      </c>
      <c r="Q49" s="41">
        <f t="shared" si="4"/>
        <v>1787472</v>
      </c>
      <c r="R49" s="44"/>
      <c r="S49" s="44">
        <f t="shared" si="14"/>
        <v>610.232408363167</v>
      </c>
      <c r="T49" s="52">
        <f t="shared" si="30"/>
        <v>0</v>
      </c>
      <c r="U49" s="53">
        <f t="shared" si="15"/>
        <v>2.8154871273716004E-5</v>
      </c>
      <c r="V49" s="53">
        <f t="shared" si="16"/>
        <v>1.7181014904514665E-5</v>
      </c>
      <c r="W49" s="53">
        <f t="shared" si="17"/>
        <v>0</v>
      </c>
      <c r="X49" s="46">
        <f t="shared" si="5"/>
        <v>1.0973856369201339E-5</v>
      </c>
      <c r="Y49" s="54"/>
      <c r="Z49" s="41">
        <f t="shared" si="18"/>
        <v>50.094836262471937</v>
      </c>
      <c r="AA49" s="41">
        <f t="shared" si="19"/>
        <v>0.56309742547432007</v>
      </c>
      <c r="AB49" s="41">
        <f t="shared" si="6"/>
        <v>19.615460991969055</v>
      </c>
      <c r="AC49" s="41">
        <f t="shared" si="7"/>
        <v>0.21947712738402678</v>
      </c>
      <c r="AD49" s="54"/>
      <c r="AE49" s="41">
        <f t="shared" si="20"/>
        <v>0</v>
      </c>
      <c r="AF49" s="41"/>
      <c r="AG49" s="41">
        <f t="shared" si="8"/>
        <v>-2.7434640923003351E-4</v>
      </c>
      <c r="AH49" s="41">
        <f t="shared" si="21"/>
        <v>-34.36202980902933</v>
      </c>
      <c r="AI49" s="41">
        <f t="shared" si="22"/>
        <v>0</v>
      </c>
      <c r="AJ49" s="41">
        <f t="shared" si="9"/>
        <v>-34.362304155438558</v>
      </c>
      <c r="AK49" s="41">
        <f t="shared" si="10"/>
        <v>30.479375270502882</v>
      </c>
      <c r="AL49" s="41">
        <f t="shared" si="23"/>
        <v>2.0263173475178502</v>
      </c>
      <c r="AM49" s="41">
        <f t="shared" si="11"/>
        <v>-1.8566115374178263</v>
      </c>
      <c r="AN49" s="41">
        <f t="shared" si="12"/>
        <v>0.34362029809029326</v>
      </c>
      <c r="AO49" s="41">
        <f t="shared" si="13"/>
        <v>-1.5129912393275329</v>
      </c>
      <c r="AP49" s="45"/>
      <c r="AQ49" s="45"/>
      <c r="AR49" s="48"/>
      <c r="AS49" s="48"/>
      <c r="AT49" s="51">
        <f t="shared" si="24"/>
        <v>45</v>
      </c>
      <c r="AU49" s="49">
        <f t="shared" si="25"/>
        <v>2.8154871273716004E-5</v>
      </c>
      <c r="AV49" s="49">
        <f t="shared" si="26"/>
        <v>1.7181014904514665E-5</v>
      </c>
      <c r="AW49" s="50">
        <f xml:space="preserve"> IF(ISERROR(ROUND((1000*NPV($AT$1,$AV50:$AV$124)-$AW$1*($AU50+NPV($AT$1,$AU51:$AU$124)))/AU50,3)), 0, ROUND((1000*NPV($AT$1,$AV50:$AV$124)-$AW$1*($AU50+NPV($AT$1,$AU51:$AU$124)))/AU50,3))</f>
        <v>893.73599999999999</v>
      </c>
      <c r="AX49" s="50">
        <f>IF(ISERROR(ROUND(MAX(0,1000*NPV($AT$2,$AV50:$AV$124)-$AW$2*($AU50+NPV($AT$2,$AU51:$AU$124)))/AU50,3)), 0, ROUND(MAX(0,1000*NPV($AT$2,$AV50:$AV$124)-$AW$2*($AU50+NPV($AT$2,$AU51:$AU$124)))/AU50,3))</f>
        <v>859.46500000000003</v>
      </c>
    </row>
    <row r="50" spans="1:50" ht="15" x14ac:dyDescent="0.25">
      <c r="A50">
        <v>25</v>
      </c>
      <c r="B50">
        <v>4.87311324384732E-4</v>
      </c>
      <c r="C50">
        <f t="shared" si="31"/>
        <v>4.5807264492164806E-4</v>
      </c>
      <c r="D50" s="60">
        <v>60</v>
      </c>
      <c r="E50">
        <v>1369708.9689356573</v>
      </c>
      <c r="F50" s="5">
        <v>41091.275471334113</v>
      </c>
      <c r="G50" s="8"/>
      <c r="I50" s="51">
        <v>46</v>
      </c>
      <c r="J50" s="41"/>
      <c r="K50" s="41" t="str">
        <f t="shared" si="27"/>
        <v/>
      </c>
      <c r="L50" s="42">
        <f t="shared" si="28"/>
        <v>25</v>
      </c>
      <c r="M50" s="41">
        <f t="shared" si="29"/>
        <v>2000000</v>
      </c>
      <c r="N50" s="43">
        <f t="shared" si="1"/>
        <v>864.851</v>
      </c>
      <c r="O50" s="44">
        <f t="shared" si="2"/>
        <v>897.91200000000003</v>
      </c>
      <c r="P50" s="41">
        <f t="shared" si="3"/>
        <v>1729702</v>
      </c>
      <c r="Q50" s="41">
        <f t="shared" si="4"/>
        <v>1795824</v>
      </c>
      <c r="R50" s="44"/>
      <c r="S50" s="44">
        <f t="shared" si="14"/>
        <v>636.11115252690297</v>
      </c>
      <c r="T50" s="52">
        <f t="shared" si="30"/>
        <v>0</v>
      </c>
      <c r="U50" s="53">
        <f t="shared" si="15"/>
        <v>1.0973856369201339E-5</v>
      </c>
      <c r="V50" s="53">
        <f t="shared" si="16"/>
        <v>6.9805924226773591E-6</v>
      </c>
      <c r="W50" s="53">
        <f t="shared" si="17"/>
        <v>0</v>
      </c>
      <c r="X50" s="46">
        <f t="shared" si="5"/>
        <v>3.9932639465239803E-6</v>
      </c>
      <c r="Y50" s="54"/>
      <c r="Z50" s="41">
        <f t="shared" si="18"/>
        <v>19.615460991969055</v>
      </c>
      <c r="AA50" s="41">
        <f t="shared" si="19"/>
        <v>0.21947712738402678</v>
      </c>
      <c r="AB50" s="41">
        <f t="shared" si="6"/>
        <v>7.1711992335024801</v>
      </c>
      <c r="AC50" s="41">
        <f t="shared" si="7"/>
        <v>7.9865278930479608E-2</v>
      </c>
      <c r="AD50" s="54"/>
      <c r="AE50" s="41">
        <f t="shared" si="20"/>
        <v>0</v>
      </c>
      <c r="AF50" s="41"/>
      <c r="AG50" s="41">
        <f t="shared" si="8"/>
        <v>-9.9831598663099508E-5</v>
      </c>
      <c r="AH50" s="41">
        <f t="shared" si="21"/>
        <v>-13.961184845354719</v>
      </c>
      <c r="AI50" s="41">
        <f t="shared" si="22"/>
        <v>0</v>
      </c>
      <c r="AJ50" s="41">
        <f t="shared" si="9"/>
        <v>-13.961284676953381</v>
      </c>
      <c r="AK50" s="41">
        <f t="shared" si="10"/>
        <v>12.444261758466574</v>
      </c>
      <c r="AL50" s="41">
        <f t="shared" si="23"/>
        <v>0.7933975247741234</v>
      </c>
      <c r="AM50" s="41">
        <f t="shared" si="11"/>
        <v>-0.72362539371268397</v>
      </c>
      <c r="AN50" s="41">
        <f t="shared" si="12"/>
        <v>0.13961184845354718</v>
      </c>
      <c r="AO50" s="41">
        <f t="shared" si="13"/>
        <v>-0.58401354525913685</v>
      </c>
      <c r="AP50" s="45"/>
      <c r="AQ50" s="45"/>
      <c r="AR50" s="48"/>
      <c r="AS50" s="48"/>
      <c r="AT50" s="51">
        <f t="shared" si="24"/>
        <v>46</v>
      </c>
      <c r="AU50" s="49">
        <f t="shared" si="25"/>
        <v>1.0973856369201339E-5</v>
      </c>
      <c r="AV50" s="49">
        <f t="shared" si="26"/>
        <v>6.9805924226773591E-6</v>
      </c>
      <c r="AW50" s="50">
        <f xml:space="preserve"> IF(ISERROR(ROUND((1000*NPV($AT$1,$AV51:$AV$124)-$AW$1*($AU51+NPV($AT$1,$AU52:$AU$124)))/AU51,3)), 0, ROUND((1000*NPV($AT$1,$AV51:$AV$124)-$AW$1*($AU51+NPV($AT$1,$AU52:$AU$124)))/AU51,3))</f>
        <v>897.91200000000003</v>
      </c>
      <c r="AX50" s="50">
        <f>IF(ISERROR(ROUND(MAX(0,1000*NPV($AT$2,$AV51:$AV$124)-$AW$2*($AU51+NPV($AT$2,$AU52:$AU$124)))/AU51,3)), 0, ROUND(MAX(0,1000*NPV($AT$2,$AV51:$AV$124)-$AW$2*($AU51+NPV($AT$2,$AU52:$AU$124)))/AU51,3))</f>
        <v>864.851</v>
      </c>
    </row>
    <row r="51" spans="1:50" ht="15" x14ac:dyDescent="0.25">
      <c r="A51">
        <v>26</v>
      </c>
      <c r="B51">
        <v>4.5810164847781603E-4</v>
      </c>
      <c r="C51">
        <f t="shared" si="31"/>
        <v>4.3061554956914705E-4</v>
      </c>
      <c r="D51" s="60">
        <v>61</v>
      </c>
      <c r="E51">
        <v>1411844.0312451997</v>
      </c>
      <c r="F51" s="5">
        <v>42355.327293620212</v>
      </c>
      <c r="G51" s="8"/>
      <c r="I51" s="51">
        <v>47</v>
      </c>
      <c r="J51" s="41"/>
      <c r="K51" s="41" t="str">
        <f t="shared" si="27"/>
        <v/>
      </c>
      <c r="L51" s="42">
        <f t="shared" si="28"/>
        <v>25</v>
      </c>
      <c r="M51" s="41">
        <f t="shared" si="29"/>
        <v>2000000</v>
      </c>
      <c r="N51" s="43">
        <f t="shared" si="1"/>
        <v>869.81799999999998</v>
      </c>
      <c r="O51" s="44">
        <f t="shared" si="2"/>
        <v>901.75699999999995</v>
      </c>
      <c r="P51" s="41">
        <f t="shared" si="3"/>
        <v>1739636</v>
      </c>
      <c r="Q51" s="41">
        <f t="shared" si="4"/>
        <v>1803514</v>
      </c>
      <c r="R51" s="44"/>
      <c r="S51" s="44">
        <f t="shared" si="14"/>
        <v>666.08306981177304</v>
      </c>
      <c r="T51" s="52">
        <f t="shared" si="30"/>
        <v>0</v>
      </c>
      <c r="U51" s="53">
        <f t="shared" si="15"/>
        <v>3.9932639465239803E-6</v>
      </c>
      <c r="V51" s="53">
        <f t="shared" si="16"/>
        <v>2.6598455080693689E-6</v>
      </c>
      <c r="W51" s="53">
        <f t="shared" si="17"/>
        <v>0</v>
      </c>
      <c r="X51" s="46">
        <f t="shared" si="5"/>
        <v>1.3334184384546115E-6</v>
      </c>
      <c r="Y51" s="54"/>
      <c r="Z51" s="41">
        <f t="shared" si="18"/>
        <v>7.1711992335024801</v>
      </c>
      <c r="AA51" s="41">
        <f t="shared" si="19"/>
        <v>7.9865278930479608E-2</v>
      </c>
      <c r="AB51" s="41">
        <f t="shared" si="6"/>
        <v>2.4048388216110301</v>
      </c>
      <c r="AC51" s="41">
        <f t="shared" si="7"/>
        <v>2.6668368769092229E-2</v>
      </c>
      <c r="AD51" s="54"/>
      <c r="AE51" s="41">
        <f t="shared" si="20"/>
        <v>0</v>
      </c>
      <c r="AF51" s="41"/>
      <c r="AG51" s="41">
        <f t="shared" si="8"/>
        <v>-3.3335460961365289E-5</v>
      </c>
      <c r="AH51" s="41">
        <f t="shared" si="21"/>
        <v>-5.3196910161387381</v>
      </c>
      <c r="AI51" s="41">
        <f t="shared" si="22"/>
        <v>0</v>
      </c>
      <c r="AJ51" s="41">
        <f t="shared" si="9"/>
        <v>-5.3197243515996995</v>
      </c>
      <c r="AK51" s="41">
        <f t="shared" si="10"/>
        <v>4.7663604118914495</v>
      </c>
      <c r="AL51" s="41">
        <f t="shared" si="23"/>
        <v>0.2900425804973184</v>
      </c>
      <c r="AM51" s="41">
        <f t="shared" si="11"/>
        <v>-0.26332135921093153</v>
      </c>
      <c r="AN51" s="41">
        <f t="shared" si="12"/>
        <v>5.3196910161387376E-2</v>
      </c>
      <c r="AO51" s="41">
        <f t="shared" si="13"/>
        <v>-0.21012444904954414</v>
      </c>
      <c r="AP51" s="45"/>
      <c r="AQ51" s="45"/>
      <c r="AR51" s="48"/>
      <c r="AS51" s="48"/>
      <c r="AT51" s="51">
        <f t="shared" si="24"/>
        <v>47</v>
      </c>
      <c r="AU51" s="49">
        <f t="shared" si="25"/>
        <v>3.9932639465239803E-6</v>
      </c>
      <c r="AV51" s="49">
        <f t="shared" si="26"/>
        <v>2.6598455080693689E-6</v>
      </c>
      <c r="AW51" s="50">
        <f xml:space="preserve"> IF(ISERROR(ROUND((1000*NPV($AT$1,$AV52:$AV$124)-$AW$1*($AU52+NPV($AT$1,$AU53:$AU$124)))/AU52,3)), 0, ROUND((1000*NPV($AT$1,$AV52:$AV$124)-$AW$1*($AU52+NPV($AT$1,$AU53:$AU$124)))/AU52,3))</f>
        <v>901.75699999999995</v>
      </c>
      <c r="AX51" s="50">
        <f>IF(ISERROR(ROUND(MAX(0,1000*NPV($AT$2,$AV52:$AV$124)-$AW$2*($AU52+NPV($AT$2,$AU53:$AU$124)))/AU52,3)), 0, ROUND(MAX(0,1000*NPV($AT$2,$AV52:$AV$124)-$AW$2*($AU52+NPV($AT$2,$AU53:$AU$124)))/AU52,3))</f>
        <v>869.81799999999998</v>
      </c>
    </row>
    <row r="52" spans="1:50" ht="15" x14ac:dyDescent="0.25">
      <c r="A52">
        <v>27</v>
      </c>
      <c r="B52">
        <v>4.6830321021307198E-4</v>
      </c>
      <c r="C52">
        <f t="shared" si="31"/>
        <v>4.4020501760028765E-4</v>
      </c>
      <c r="D52" s="60">
        <v>62</v>
      </c>
      <c r="E52">
        <v>1454780.191835257</v>
      </c>
      <c r="F52" s="5">
        <v>43643.412070648046</v>
      </c>
      <c r="G52" s="8"/>
      <c r="I52" s="51">
        <v>48</v>
      </c>
      <c r="J52" s="41"/>
      <c r="K52" s="41" t="str">
        <f t="shared" si="27"/>
        <v/>
      </c>
      <c r="L52" s="42">
        <f t="shared" si="28"/>
        <v>25</v>
      </c>
      <c r="M52" s="41">
        <f t="shared" si="29"/>
        <v>2000000</v>
      </c>
      <c r="N52" s="43">
        <f t="shared" si="1"/>
        <v>874.40599999999995</v>
      </c>
      <c r="O52" s="44">
        <f t="shared" si="2"/>
        <v>905.303</v>
      </c>
      <c r="P52" s="41">
        <f t="shared" si="3"/>
        <v>1748812</v>
      </c>
      <c r="Q52" s="41">
        <f t="shared" si="4"/>
        <v>1810606</v>
      </c>
      <c r="R52" s="44"/>
      <c r="S52" s="44">
        <f t="shared" si="14"/>
        <v>695.8084653469549</v>
      </c>
      <c r="T52" s="52">
        <f t="shared" si="30"/>
        <v>0</v>
      </c>
      <c r="U52" s="53">
        <f t="shared" si="15"/>
        <v>1.3334184384546115E-6</v>
      </c>
      <c r="V52" s="53">
        <f t="shared" si="16"/>
        <v>9.2780383732643621E-7</v>
      </c>
      <c r="W52" s="53">
        <f t="shared" si="17"/>
        <v>0</v>
      </c>
      <c r="X52" s="46">
        <f t="shared" si="5"/>
        <v>4.0561460112817525E-7</v>
      </c>
      <c r="Y52" s="54"/>
      <c r="Z52" s="41">
        <f t="shared" si="18"/>
        <v>2.4048388216110301</v>
      </c>
      <c r="AA52" s="41">
        <f t="shared" si="19"/>
        <v>2.6668368769092229E-2</v>
      </c>
      <c r="AB52" s="41">
        <f t="shared" si="6"/>
        <v>0.73440823049028092</v>
      </c>
      <c r="AC52" s="41">
        <f t="shared" si="7"/>
        <v>8.112292022563505E-3</v>
      </c>
      <c r="AD52" s="54"/>
      <c r="AE52" s="41">
        <f t="shared" si="20"/>
        <v>0</v>
      </c>
      <c r="AF52" s="41"/>
      <c r="AG52" s="41">
        <f t="shared" si="8"/>
        <v>-1.0140365028204381E-5</v>
      </c>
      <c r="AH52" s="41">
        <f t="shared" si="21"/>
        <v>-1.8556076746528725</v>
      </c>
      <c r="AI52" s="41">
        <f t="shared" si="22"/>
        <v>0</v>
      </c>
      <c r="AJ52" s="41">
        <f t="shared" si="9"/>
        <v>-1.8556178150179006</v>
      </c>
      <c r="AK52" s="41">
        <f t="shared" si="10"/>
        <v>1.6704305911207493</v>
      </c>
      <c r="AL52" s="41">
        <f t="shared" si="23"/>
        <v>9.7260287615204888E-2</v>
      </c>
      <c r="AM52" s="41">
        <f>SUM(AJ52:AL52)</f>
        <v>-8.7926936281946366E-2</v>
      </c>
      <c r="AN52" s="41">
        <f t="shared" si="12"/>
        <v>1.8556076746528725E-2</v>
      </c>
      <c r="AO52" s="41">
        <f t="shared" si="13"/>
        <v>-6.9370859535417634E-2</v>
      </c>
      <c r="AP52" s="45"/>
      <c r="AQ52" s="45"/>
      <c r="AR52" s="48"/>
      <c r="AS52" s="48"/>
      <c r="AT52" s="51">
        <f t="shared" si="24"/>
        <v>48</v>
      </c>
      <c r="AU52" s="49">
        <f t="shared" si="25"/>
        <v>1.3334184384546115E-6</v>
      </c>
      <c r="AV52" s="49">
        <f t="shared" si="26"/>
        <v>9.2780383732643621E-7</v>
      </c>
      <c r="AW52" s="50">
        <f xml:space="preserve"> IF(ISERROR(ROUND((1000*NPV($AT$1,$AV53:$AV$124)-$AW$1*($AU53+NPV($AT$1,$AU54:$AU$124)))/AU53,3)), 0, ROUND((1000*NPV($AT$1,$AV53:$AV$124)-$AW$1*($AU53+NPV($AT$1,$AU54:$AU$124)))/AU53,3))</f>
        <v>905.303</v>
      </c>
      <c r="AX52" s="50">
        <f>IF(ISERROR(ROUND(MAX(0,1000*NPV($AT$2,$AV53:$AV$124)-$AW$2*($AU53+NPV($AT$2,$AU54:$AU$124)))/AU53,3)), 0, ROUND(MAX(0,1000*NPV($AT$2,$AV53:$AV$124)-$AW$2*($AU53+NPV($AT$2,$AU54:$AU$124)))/AU53,3))</f>
        <v>874.40599999999995</v>
      </c>
    </row>
    <row r="53" spans="1:50" ht="15" x14ac:dyDescent="0.25">
      <c r="A53">
        <v>28</v>
      </c>
      <c r="B53">
        <v>4.8041804666376598E-4</v>
      </c>
      <c r="C53">
        <f t="shared" si="31"/>
        <v>4.5159296386394001E-4</v>
      </c>
      <c r="D53" s="60">
        <v>63</v>
      </c>
      <c r="E53">
        <v>1498620.1532034299</v>
      </c>
      <c r="F53" s="5">
        <v>44958.61091381649</v>
      </c>
      <c r="G53" s="8"/>
      <c r="I53" s="51">
        <v>49</v>
      </c>
      <c r="J53" s="41"/>
      <c r="K53" s="41" t="str">
        <f t="shared" si="27"/>
        <v/>
      </c>
      <c r="L53" s="42">
        <f t="shared" si="28"/>
        <v>25</v>
      </c>
      <c r="M53" s="41">
        <f t="shared" si="29"/>
        <v>2000000</v>
      </c>
      <c r="N53" s="43">
        <f t="shared" si="1"/>
        <v>878.649</v>
      </c>
      <c r="O53" s="44">
        <f t="shared" si="2"/>
        <v>908.577</v>
      </c>
      <c r="P53" s="41">
        <f t="shared" si="3"/>
        <v>1757298</v>
      </c>
      <c r="Q53" s="41">
        <f t="shared" si="4"/>
        <v>1817154</v>
      </c>
      <c r="R53" s="44"/>
      <c r="S53" s="44">
        <f t="shared" si="14"/>
        <v>725.244571780559</v>
      </c>
      <c r="T53" s="52">
        <f t="shared" si="30"/>
        <v>0</v>
      </c>
      <c r="U53" s="53">
        <f t="shared" si="15"/>
        <v>4.0561460112817525E-7</v>
      </c>
      <c r="V53" s="53">
        <f t="shared" si="16"/>
        <v>2.9416978770314573E-7</v>
      </c>
      <c r="W53" s="53">
        <f t="shared" si="17"/>
        <v>0</v>
      </c>
      <c r="X53" s="46">
        <f t="shared" si="5"/>
        <v>1.1144481342502953E-7</v>
      </c>
      <c r="Y53" s="54"/>
      <c r="Z53" s="41">
        <f t="shared" si="18"/>
        <v>0.73440823049028092</v>
      </c>
      <c r="AA53" s="41">
        <f t="shared" si="19"/>
        <v>8.112292022563505E-3</v>
      </c>
      <c r="AB53" s="41">
        <f t="shared" si="6"/>
        <v>0.20251238849454611</v>
      </c>
      <c r="AC53" s="41">
        <f t="shared" si="7"/>
        <v>2.2288962685005904E-3</v>
      </c>
      <c r="AD53" s="54"/>
      <c r="AE53" s="41">
        <f t="shared" si="20"/>
        <v>0</v>
      </c>
      <c r="AF53" s="41"/>
      <c r="AG53" s="41">
        <f t="shared" si="8"/>
        <v>-2.786120335625738E-6</v>
      </c>
      <c r="AH53" s="41">
        <f t="shared" si="21"/>
        <v>-0.58833957540629145</v>
      </c>
      <c r="AI53" s="41">
        <f t="shared" si="22"/>
        <v>0</v>
      </c>
      <c r="AJ53" s="41">
        <f t="shared" si="9"/>
        <v>-0.58834236152662711</v>
      </c>
      <c r="AK53" s="41">
        <f t="shared" si="10"/>
        <v>0.53189584199573481</v>
      </c>
      <c r="AL53" s="41">
        <f t="shared" si="23"/>
        <v>2.9700820900513777E-2</v>
      </c>
      <c r="AM53" s="41">
        <f t="shared" si="11"/>
        <v>-2.6745698630378525E-2</v>
      </c>
      <c r="AN53" s="41">
        <f t="shared" si="12"/>
        <v>5.8833957540629141E-3</v>
      </c>
      <c r="AO53" s="41">
        <f t="shared" si="13"/>
        <v>-2.086230287631561E-2</v>
      </c>
      <c r="AP53" s="45"/>
      <c r="AQ53" s="45"/>
      <c r="AR53" s="48"/>
      <c r="AS53" s="48"/>
      <c r="AT53" s="51">
        <f t="shared" si="24"/>
        <v>49</v>
      </c>
      <c r="AU53" s="49">
        <f t="shared" si="25"/>
        <v>4.0561460112817525E-7</v>
      </c>
      <c r="AV53" s="49">
        <f t="shared" si="26"/>
        <v>2.9416978770314573E-7</v>
      </c>
      <c r="AW53" s="50">
        <f xml:space="preserve"> IF(ISERROR(ROUND((1000*NPV($AT$1,$AV54:$AV$124)-$AW$1*($AU54+NPV($AT$1,$AU55:$AU$124)))/AU54,3)), 0, ROUND((1000*NPV($AT$1,$AV54:$AV$124)-$AW$1*($AU54+NPV($AT$1,$AU55:$AU$124)))/AU54,3))</f>
        <v>908.577</v>
      </c>
      <c r="AX53" s="50">
        <f>IF(ISERROR(ROUND(MAX(0,1000*NPV($AT$2,$AV54:$AV$124)-$AW$2*($AU54+NPV($AT$2,$AU55:$AU$124)))/AU54,3)), 0, ROUND(MAX(0,1000*NPV($AT$2,$AV54:$AV$124)-$AW$2*($AU54+NPV($AT$2,$AU55:$AU$124)))/AU54,3))</f>
        <v>878.649</v>
      </c>
    </row>
    <row r="54" spans="1:50" ht="15" x14ac:dyDescent="0.25">
      <c r="A54">
        <v>29</v>
      </c>
      <c r="B54">
        <v>4.9349466827019995E-4</v>
      </c>
      <c r="C54">
        <f t="shared" si="31"/>
        <v>4.6388498817398791E-4</v>
      </c>
      <c r="D54" s="60">
        <v>64</v>
      </c>
      <c r="E54">
        <v>1543368.0825342606</v>
      </c>
      <c r="F54" s="5">
        <v>46301.048790692817</v>
      </c>
      <c r="G54" s="8"/>
      <c r="I54" s="51">
        <v>50</v>
      </c>
      <c r="J54" s="41"/>
      <c r="K54" s="41" t="str">
        <f t="shared" si="27"/>
        <v/>
      </c>
      <c r="L54" s="42">
        <f t="shared" si="28"/>
        <v>25</v>
      </c>
      <c r="M54" s="41">
        <f t="shared" si="29"/>
        <v>2000000</v>
      </c>
      <c r="N54" s="43">
        <f t="shared" si="1"/>
        <v>882.58199999999999</v>
      </c>
      <c r="O54" s="44">
        <f t="shared" si="2"/>
        <v>911.60699999999997</v>
      </c>
      <c r="P54" s="41">
        <f t="shared" si="3"/>
        <v>1765164</v>
      </c>
      <c r="Q54" s="41">
        <f t="shared" si="4"/>
        <v>1823214</v>
      </c>
      <c r="R54" s="44"/>
      <c r="S54" s="44">
        <f t="shared" si="14"/>
        <v>754.34836973550205</v>
      </c>
      <c r="T54" s="52">
        <f t="shared" si="30"/>
        <v>0</v>
      </c>
      <c r="U54" s="53">
        <f t="shared" si="15"/>
        <v>1.1144481342502953E-7</v>
      </c>
      <c r="V54" s="53">
        <f t="shared" si="16"/>
        <v>8.4068213322648204E-8</v>
      </c>
      <c r="W54" s="53">
        <f t="shared" si="17"/>
        <v>0</v>
      </c>
      <c r="X54" s="46">
        <f t="shared" si="5"/>
        <v>2.7376600102381321E-8</v>
      </c>
      <c r="Y54" s="54"/>
      <c r="Z54" s="41">
        <f t="shared" si="18"/>
        <v>0.20251238849454611</v>
      </c>
      <c r="AA54" s="41">
        <f t="shared" si="19"/>
        <v>2.2288962685005904E-3</v>
      </c>
      <c r="AB54" s="41">
        <f t="shared" si="6"/>
        <v>4.9913400579063058E-2</v>
      </c>
      <c r="AC54" s="41">
        <f t="shared" si="7"/>
        <v>5.4753200204762638E-4</v>
      </c>
      <c r="AD54" s="54"/>
      <c r="AE54" s="41">
        <f t="shared" si="20"/>
        <v>0</v>
      </c>
      <c r="AF54" s="41"/>
      <c r="AG54" s="41">
        <f t="shared" si="8"/>
        <v>-6.8441500255953298E-7</v>
      </c>
      <c r="AH54" s="41">
        <f t="shared" si="21"/>
        <v>-0.16813642664529641</v>
      </c>
      <c r="AI54" s="41">
        <f t="shared" si="22"/>
        <v>0</v>
      </c>
      <c r="AJ54" s="41">
        <f t="shared" si="9"/>
        <v>-0.16813711106029897</v>
      </c>
      <c r="AK54" s="41">
        <f t="shared" si="10"/>
        <v>0.15259898791548304</v>
      </c>
      <c r="AL54" s="41">
        <f t="shared" si="23"/>
        <v>8.1896513905218675E-3</v>
      </c>
      <c r="AM54" s="41">
        <f t="shared" si="11"/>
        <v>-7.3484717542940566E-3</v>
      </c>
      <c r="AN54" s="41">
        <f t="shared" si="12"/>
        <v>1.6813642664529642E-3</v>
      </c>
      <c r="AO54" s="41">
        <f t="shared" si="13"/>
        <v>-5.6671074878410924E-3</v>
      </c>
      <c r="AP54" s="45"/>
      <c r="AQ54" s="45"/>
      <c r="AR54" s="48"/>
      <c r="AS54" s="48"/>
      <c r="AT54" s="51">
        <f t="shared" si="24"/>
        <v>50</v>
      </c>
      <c r="AU54" s="49">
        <f t="shared" si="25"/>
        <v>1.1144481342502953E-7</v>
      </c>
      <c r="AV54" s="49">
        <f t="shared" si="26"/>
        <v>8.4068213322648204E-8</v>
      </c>
      <c r="AW54" s="50">
        <f xml:space="preserve"> IF(ISERROR(ROUND((1000*NPV($AT$1,$AV55:$AV$124)-$AW$1*($AU55+NPV($AT$1,$AU56:$AU$124)))/AU55,3)), 0, ROUND((1000*NPV($AT$1,$AV55:$AV$124)-$AW$1*($AU55+NPV($AT$1,$AU56:$AU$124)))/AU55,3))</f>
        <v>911.60699999999997</v>
      </c>
      <c r="AX54" s="50">
        <f>IF(ISERROR(ROUND(MAX(0,1000*NPV($AT$2,$AV55:$AV$124)-$AW$2*($AU55+NPV($AT$2,$AU56:$AU$124)))/AU55,3)), 0, ROUND(MAX(0,1000*NPV($AT$2,$AV55:$AV$124)-$AW$2*($AU55+NPV($AT$2,$AU56:$AU$124)))/AU55,3))</f>
        <v>882.58199999999999</v>
      </c>
    </row>
    <row r="55" spans="1:50" ht="15" x14ac:dyDescent="0.25">
      <c r="A55">
        <v>30</v>
      </c>
      <c r="B55">
        <v>5.1041322954514801E-4</v>
      </c>
      <c r="C55">
        <f t="shared" si="31"/>
        <v>4.7978843577243911E-4</v>
      </c>
      <c r="D55" s="60">
        <v>65</v>
      </c>
      <c r="E55">
        <v>1589070.2693368909</v>
      </c>
      <c r="F55" s="5">
        <v>47672.114406303386</v>
      </c>
      <c r="G55" s="8"/>
      <c r="I55" s="51">
        <v>51</v>
      </c>
      <c r="J55" s="41"/>
      <c r="K55" s="41" t="str">
        <f t="shared" si="27"/>
        <v/>
      </c>
      <c r="L55" s="42">
        <f t="shared" si="28"/>
        <v>25</v>
      </c>
      <c r="M55" s="41">
        <f t="shared" si="29"/>
        <v>2000000</v>
      </c>
      <c r="N55" s="43">
        <f t="shared" si="1"/>
        <v>886.24900000000002</v>
      </c>
      <c r="O55" s="44">
        <f t="shared" si="2"/>
        <v>914.42899999999997</v>
      </c>
      <c r="P55" s="41">
        <f t="shared" si="3"/>
        <v>1772498</v>
      </c>
      <c r="Q55" s="41">
        <f t="shared" si="4"/>
        <v>1828858</v>
      </c>
      <c r="R55" s="44"/>
      <c r="S55" s="44">
        <f t="shared" si="14"/>
        <v>783.07559127387401</v>
      </c>
      <c r="T55" s="52">
        <f t="shared" si="30"/>
        <v>0</v>
      </c>
      <c r="U55" s="53">
        <f t="shared" si="15"/>
        <v>2.7376600102381321E-8</v>
      </c>
      <c r="V55" s="53">
        <f t="shared" si="16"/>
        <v>2.1437947312240653E-8</v>
      </c>
      <c r="W55" s="53">
        <f t="shared" si="17"/>
        <v>0</v>
      </c>
      <c r="X55" s="46">
        <f t="shared" si="5"/>
        <v>5.9386527901406685E-9</v>
      </c>
      <c r="Y55" s="54"/>
      <c r="Z55" s="41">
        <f t="shared" si="18"/>
        <v>4.9913400579063058E-2</v>
      </c>
      <c r="AA55" s="41">
        <f t="shared" si="19"/>
        <v>5.4753200204762638E-4</v>
      </c>
      <c r="AB55" s="41">
        <f t="shared" si="6"/>
        <v>1.0860952664471082E-2</v>
      </c>
      <c r="AC55" s="41">
        <f t="shared" si="7"/>
        <v>1.1877305580281338E-4</v>
      </c>
      <c r="AD55" s="54"/>
      <c r="AE55" s="41">
        <f t="shared" si="20"/>
        <v>0</v>
      </c>
      <c r="AF55" s="41"/>
      <c r="AG55" s="41">
        <f t="shared" si="8"/>
        <v>-1.4846631975351672E-7</v>
      </c>
      <c r="AH55" s="41">
        <f t="shared" si="21"/>
        <v>-4.2875894624481305E-2</v>
      </c>
      <c r="AI55" s="41">
        <f t="shared" si="22"/>
        <v>0</v>
      </c>
      <c r="AJ55" s="41">
        <f t="shared" si="9"/>
        <v>-4.2876043090801057E-2</v>
      </c>
      <c r="AK55" s="41">
        <f t="shared" si="10"/>
        <v>3.9052447914591976E-2</v>
      </c>
      <c r="AL55" s="41">
        <f t="shared" si="23"/>
        <v>2.0184373032444275E-3</v>
      </c>
      <c r="AM55" s="41">
        <f t="shared" si="11"/>
        <v>-1.8051578729646536E-3</v>
      </c>
      <c r="AN55" s="41">
        <f t="shared" si="12"/>
        <v>4.2875894624481298E-4</v>
      </c>
      <c r="AO55" s="41">
        <f t="shared" si="13"/>
        <v>-1.3763989267198407E-3</v>
      </c>
      <c r="AP55" s="45"/>
      <c r="AQ55" s="45"/>
      <c r="AR55" s="48"/>
      <c r="AS55" s="48"/>
      <c r="AT55" s="51">
        <f t="shared" si="24"/>
        <v>51</v>
      </c>
      <c r="AU55" s="49">
        <f t="shared" si="25"/>
        <v>2.7376600102381321E-8</v>
      </c>
      <c r="AV55" s="49">
        <f t="shared" si="26"/>
        <v>2.1437947312240653E-8</v>
      </c>
      <c r="AW55" s="50">
        <f xml:space="preserve"> IF(ISERROR(ROUND((1000*NPV($AT$1,$AV56:$AV$124)-$AW$1*($AU56+NPV($AT$1,$AU57:$AU$124)))/AU56,3)), 0, ROUND((1000*NPV($AT$1,$AV56:$AV$124)-$AW$1*($AU56+NPV($AT$1,$AU57:$AU$124)))/AU56,3))</f>
        <v>914.42899999999997</v>
      </c>
      <c r="AX55" s="50">
        <f>IF(ISERROR(ROUND(MAX(0,1000*NPV($AT$2,$AV56:$AV$124)-$AW$2*($AU56+NPV($AT$2,$AU57:$AU$124)))/AU56,3)), 0, ROUND(MAX(0,1000*NPV($AT$2,$AV56:$AV$124)-$AW$2*($AU56+NPV($AT$2,$AU57:$AU$124)))/AU56,3))</f>
        <v>886.24900000000002</v>
      </c>
    </row>
    <row r="56" spans="1:50" ht="15" x14ac:dyDescent="0.25">
      <c r="A56">
        <v>31</v>
      </c>
      <c r="B56">
        <v>5.35635663220013E-4</v>
      </c>
      <c r="C56">
        <f t="shared" si="31"/>
        <v>5.034975234268122E-4</v>
      </c>
      <c r="D56" s="60"/>
      <c r="E56" s="5"/>
      <c r="F56" s="5"/>
      <c r="G56" s="8"/>
      <c r="I56" s="51">
        <v>52</v>
      </c>
      <c r="J56" s="41"/>
      <c r="K56" s="41" t="str">
        <f t="shared" si="27"/>
        <v/>
      </c>
      <c r="L56" s="42">
        <f t="shared" si="28"/>
        <v>25</v>
      </c>
      <c r="M56" s="41">
        <f t="shared" si="29"/>
        <v>2000000</v>
      </c>
      <c r="N56" s="43">
        <f t="shared" si="1"/>
        <v>889.69500000000005</v>
      </c>
      <c r="O56" s="44">
        <f t="shared" si="2"/>
        <v>917.077</v>
      </c>
      <c r="P56" s="41">
        <f t="shared" si="3"/>
        <v>1779390</v>
      </c>
      <c r="Q56" s="41">
        <f t="shared" si="4"/>
        <v>1834154</v>
      </c>
      <c r="R56" s="44"/>
      <c r="S56" s="44">
        <f t="shared" si="14"/>
        <v>811.53809466804807</v>
      </c>
      <c r="T56" s="52">
        <f t="shared" si="30"/>
        <v>0</v>
      </c>
      <c r="U56" s="53">
        <f t="shared" si="15"/>
        <v>5.9386527901406685E-9</v>
      </c>
      <c r="V56" s="53">
        <f t="shared" si="16"/>
        <v>4.8194429702058458E-9</v>
      </c>
      <c r="W56" s="53">
        <f t="shared" si="17"/>
        <v>0</v>
      </c>
      <c r="X56" s="46">
        <f t="shared" si="5"/>
        <v>1.1192098199348226E-9</v>
      </c>
      <c r="Y56" s="54"/>
      <c r="Z56" s="41">
        <f t="shared" si="18"/>
        <v>1.0860952664471082E-2</v>
      </c>
      <c r="AA56" s="41">
        <f t="shared" si="19"/>
        <v>1.1877305580281338E-4</v>
      </c>
      <c r="AB56" s="41">
        <f t="shared" si="6"/>
        <v>2.0528031680727347E-3</v>
      </c>
      <c r="AC56" s="41">
        <f t="shared" si="7"/>
        <v>2.2384196398696454E-5</v>
      </c>
      <c r="AD56" s="54"/>
      <c r="AE56" s="41">
        <f t="shared" si="20"/>
        <v>0</v>
      </c>
      <c r="AF56" s="41"/>
      <c r="AG56" s="41">
        <f t="shared" si="8"/>
        <v>-2.7980245498370567E-8</v>
      </c>
      <c r="AH56" s="41">
        <f t="shared" si="21"/>
        <v>-9.638885940411691E-3</v>
      </c>
      <c r="AI56" s="41">
        <f t="shared" si="22"/>
        <v>0</v>
      </c>
      <c r="AJ56" s="41">
        <f t="shared" si="9"/>
        <v>-9.6389139206571901E-3</v>
      </c>
      <c r="AK56" s="41">
        <f t="shared" si="10"/>
        <v>8.8081494963983473E-3</v>
      </c>
      <c r="AL56" s="41">
        <f t="shared" si="23"/>
        <v>4.3918902881095583E-4</v>
      </c>
      <c r="AM56" s="41">
        <f t="shared" si="11"/>
        <v>-3.9157539544788696E-4</v>
      </c>
      <c r="AN56" s="41">
        <f t="shared" si="12"/>
        <v>9.6388859404116921E-5</v>
      </c>
      <c r="AO56" s="41">
        <f t="shared" si="13"/>
        <v>-2.9518653604377004E-4</v>
      </c>
      <c r="AP56" s="45"/>
      <c r="AQ56" s="45"/>
      <c r="AR56" s="48"/>
      <c r="AS56" s="48"/>
      <c r="AT56" s="51">
        <f t="shared" si="24"/>
        <v>52</v>
      </c>
      <c r="AU56" s="49">
        <f t="shared" si="25"/>
        <v>5.9386527901406685E-9</v>
      </c>
      <c r="AV56" s="49">
        <f t="shared" si="26"/>
        <v>4.8194429702058458E-9</v>
      </c>
      <c r="AW56" s="50">
        <f xml:space="preserve"> IF(ISERROR(ROUND((1000*NPV($AT$1,$AV57:$AV$124)-$AW$1*($AU57+NPV($AT$1,$AU58:$AU$124)))/AU57,3)), 0, ROUND((1000*NPV($AT$1,$AV57:$AV$124)-$AW$1*($AU57+NPV($AT$1,$AU58:$AU$124)))/AU57,3))</f>
        <v>917.077</v>
      </c>
      <c r="AX56" s="50">
        <f>IF(ISERROR(ROUND(MAX(0,1000*NPV($AT$2,$AV57:$AV$124)-$AW$2*($AU57+NPV($AT$2,$AU58:$AU$124)))/AU57,3)), 0, ROUND(MAX(0,1000*NPV($AT$2,$AV57:$AV$124)-$AW$2*($AU57+NPV($AT$2,$AU58:$AU$124)))/AU57,3))</f>
        <v>889.69500000000005</v>
      </c>
    </row>
    <row r="57" spans="1:50" ht="15" x14ac:dyDescent="0.25">
      <c r="A57">
        <v>32</v>
      </c>
      <c r="B57">
        <v>5.6597699063665196E-4</v>
      </c>
      <c r="C57">
        <f t="shared" si="31"/>
        <v>5.3201837119845282E-4</v>
      </c>
      <c r="D57" s="60"/>
      <c r="E57" s="5"/>
      <c r="F57" s="5"/>
      <c r="I57" s="51">
        <v>53</v>
      </c>
      <c r="J57" s="41"/>
      <c r="K57" s="41" t="str">
        <f t="shared" si="27"/>
        <v/>
      </c>
      <c r="L57" s="42">
        <f t="shared" si="28"/>
        <v>25</v>
      </c>
      <c r="M57" s="41">
        <f t="shared" si="29"/>
        <v>2000000</v>
      </c>
      <c r="N57" s="43">
        <f t="shared" si="1"/>
        <v>892.99099999999999</v>
      </c>
      <c r="O57" s="44">
        <f t="shared" si="2"/>
        <v>919.60900000000004</v>
      </c>
      <c r="P57" s="41">
        <f t="shared" si="3"/>
        <v>1785982</v>
      </c>
      <c r="Q57" s="41">
        <f t="shared" si="4"/>
        <v>1839218</v>
      </c>
      <c r="R57" s="44"/>
      <c r="S57" s="44">
        <f t="shared" si="14"/>
        <v>839.8659654534531</v>
      </c>
      <c r="T57" s="52">
        <f t="shared" si="30"/>
        <v>0</v>
      </c>
      <c r="U57" s="53">
        <f t="shared" si="15"/>
        <v>1.1192098199348226E-9</v>
      </c>
      <c r="V57" s="53">
        <f t="shared" si="16"/>
        <v>9.3998623596454518E-10</v>
      </c>
      <c r="W57" s="53">
        <f t="shared" si="17"/>
        <v>0</v>
      </c>
      <c r="X57" s="46">
        <f t="shared" si="5"/>
        <v>1.7922358397027747E-10</v>
      </c>
      <c r="Y57" s="54"/>
      <c r="Z57" s="41">
        <f t="shared" si="18"/>
        <v>2.0528031680727347E-3</v>
      </c>
      <c r="AA57" s="41">
        <f t="shared" si="19"/>
        <v>2.2384196398696454E-5</v>
      </c>
      <c r="AB57" s="41">
        <f t="shared" si="6"/>
        <v>3.2963124166264578E-4</v>
      </c>
      <c r="AC57" s="41">
        <f t="shared" si="7"/>
        <v>3.5844716794055492E-6</v>
      </c>
      <c r="AD57" s="54"/>
      <c r="AE57" s="41">
        <f t="shared" si="20"/>
        <v>0</v>
      </c>
      <c r="AF57" s="41"/>
      <c r="AG57" s="41">
        <f t="shared" si="8"/>
        <v>-4.4805895992569366E-9</v>
      </c>
      <c r="AH57" s="41">
        <f t="shared" si="21"/>
        <v>-1.8799724719290904E-3</v>
      </c>
      <c r="AI57" s="41">
        <f t="shared" si="22"/>
        <v>0</v>
      </c>
      <c r="AJ57" s="41">
        <f t="shared" si="9"/>
        <v>-1.8799769525186896E-3</v>
      </c>
      <c r="AK57" s="41">
        <f t="shared" si="10"/>
        <v>1.723171926410089E-3</v>
      </c>
      <c r="AL57" s="41">
        <f t="shared" si="23"/>
        <v>8.3007494578857252E-5</v>
      </c>
      <c r="AM57" s="41">
        <f t="shared" si="11"/>
        <v>-7.3797531529743368E-5</v>
      </c>
      <c r="AN57" s="41">
        <f t="shared" si="12"/>
        <v>1.8799724719290903E-5</v>
      </c>
      <c r="AO57" s="41">
        <f t="shared" si="13"/>
        <v>-5.4997806810452461E-5</v>
      </c>
      <c r="AP57" s="45"/>
      <c r="AQ57" s="45"/>
      <c r="AR57" s="48"/>
      <c r="AS57" s="48"/>
      <c r="AT57" s="51">
        <f t="shared" si="24"/>
        <v>53</v>
      </c>
      <c r="AU57" s="49">
        <f t="shared" si="25"/>
        <v>1.1192098199348226E-9</v>
      </c>
      <c r="AV57" s="49">
        <f t="shared" si="26"/>
        <v>9.3998623596454518E-10</v>
      </c>
      <c r="AW57" s="50">
        <f xml:space="preserve"> IF(ISERROR(ROUND((1000*NPV($AT$1,$AV58:$AV$124)-$AW$1*($AU58+NPV($AT$1,$AU59:$AU$124)))/AU58,3)), 0, ROUND((1000*NPV($AT$1,$AV58:$AV$124)-$AW$1*($AU58+NPV($AT$1,$AU59:$AU$124)))/AU58,3))</f>
        <v>919.60900000000004</v>
      </c>
      <c r="AX57" s="50">
        <f>IF(ISERROR(ROUND(MAX(0,1000*NPV($AT$2,$AV58:$AV$124)-$AW$2*($AU58+NPV($AT$2,$AU59:$AU$124)))/AU58,3)), 0, ROUND(MAX(0,1000*NPV($AT$2,$AV58:$AV$124)-$AW$2*($AU58+NPV($AT$2,$AU59:$AU$124)))/AU58,3))</f>
        <v>892.99099999999999</v>
      </c>
    </row>
    <row r="58" spans="1:50" ht="15" x14ac:dyDescent="0.25">
      <c r="A58">
        <v>33</v>
      </c>
      <c r="B58">
        <v>5.9626683848002003E-4</v>
      </c>
      <c r="C58">
        <f t="shared" si="31"/>
        <v>5.6049082817121885E-4</v>
      </c>
      <c r="D58" s="60"/>
      <c r="E58" s="5"/>
      <c r="F58" s="5"/>
      <c r="G58" s="11"/>
      <c r="I58" s="51">
        <v>54</v>
      </c>
      <c r="J58" s="41"/>
      <c r="K58" s="41" t="str">
        <f t="shared" si="27"/>
        <v/>
      </c>
      <c r="L58" s="42">
        <f t="shared" si="28"/>
        <v>25</v>
      </c>
      <c r="M58" s="41">
        <f t="shared" si="29"/>
        <v>2000000</v>
      </c>
      <c r="N58" s="43">
        <f t="shared" si="1"/>
        <v>896.62599999999998</v>
      </c>
      <c r="O58" s="44">
        <f t="shared" si="2"/>
        <v>922.40200000000004</v>
      </c>
      <c r="P58" s="41">
        <f t="shared" si="3"/>
        <v>1793252</v>
      </c>
      <c r="Q58" s="41">
        <f t="shared" si="4"/>
        <v>1844804</v>
      </c>
      <c r="R58" s="44"/>
      <c r="S58" s="44">
        <f t="shared" si="14"/>
        <v>868.03679724566791</v>
      </c>
      <c r="T58" s="52">
        <f t="shared" si="30"/>
        <v>0</v>
      </c>
      <c r="U58" s="53">
        <f t="shared" si="15"/>
        <v>1.7922358397027747E-10</v>
      </c>
      <c r="V58" s="53">
        <f t="shared" si="16"/>
        <v>1.5557266582044968E-10</v>
      </c>
      <c r="W58" s="53">
        <f t="shared" si="17"/>
        <v>0</v>
      </c>
      <c r="X58" s="46">
        <f t="shared" si="5"/>
        <v>2.3650918149827784E-11</v>
      </c>
      <c r="Y58" s="54"/>
      <c r="Z58" s="41">
        <f t="shared" si="18"/>
        <v>3.2963124166264578E-4</v>
      </c>
      <c r="AA58" s="41">
        <f t="shared" si="19"/>
        <v>3.5844716794055492E-6</v>
      </c>
      <c r="AB58" s="41">
        <f t="shared" si="6"/>
        <v>4.3631308406474894E-5</v>
      </c>
      <c r="AC58" s="41">
        <f t="shared" si="7"/>
        <v>4.7301836299655567E-7</v>
      </c>
      <c r="AD58" s="54"/>
      <c r="AE58" s="41">
        <f t="shared" si="20"/>
        <v>0</v>
      </c>
      <c r="AF58" s="41"/>
      <c r="AG58" s="41">
        <f t="shared" si="8"/>
        <v>-5.9127295374569454E-10</v>
      </c>
      <c r="AH58" s="41">
        <f t="shared" si="21"/>
        <v>-3.1114533164089934E-4</v>
      </c>
      <c r="AI58" s="41">
        <f t="shared" si="22"/>
        <v>0</v>
      </c>
      <c r="AJ58" s="41">
        <f t="shared" si="9"/>
        <v>-3.1114592291385306E-4</v>
      </c>
      <c r="AK58" s="41">
        <f t="shared" si="10"/>
        <v>2.8599993325617091E-4</v>
      </c>
      <c r="AL58" s="41">
        <f t="shared" si="23"/>
        <v>1.3328628533682053E-5</v>
      </c>
      <c r="AM58" s="41">
        <f t="shared" si="11"/>
        <v>-1.1817361124000104E-5</v>
      </c>
      <c r="AN58" s="41">
        <f t="shared" si="12"/>
        <v>3.1114533164089935E-6</v>
      </c>
      <c r="AO58" s="41">
        <f t="shared" si="13"/>
        <v>-8.7059078075911104E-6</v>
      </c>
      <c r="AP58" s="45"/>
      <c r="AQ58" s="45"/>
      <c r="AR58" s="48"/>
      <c r="AS58" s="48"/>
      <c r="AT58" s="51">
        <f t="shared" si="24"/>
        <v>54</v>
      </c>
      <c r="AU58" s="49">
        <f t="shared" si="25"/>
        <v>1.7922358397027747E-10</v>
      </c>
      <c r="AV58" s="49">
        <f t="shared" si="26"/>
        <v>1.5557266582044968E-10</v>
      </c>
      <c r="AW58" s="50">
        <f xml:space="preserve"> IF(ISERROR(ROUND((1000*NPV($AT$1,$AV59:$AV$124)-$AW$1*($AU59+NPV($AT$1,$AU60:$AU$124)))/AU59,3)), 0, ROUND((1000*NPV($AT$1,$AV59:$AV$124)-$AW$1*($AU59+NPV($AT$1,$AU60:$AU$124)))/AU59,3))</f>
        <v>922.40200000000004</v>
      </c>
      <c r="AX58" s="50">
        <f>IF(ISERROR(ROUND(MAX(0,1000*NPV($AT$2,$AV59:$AV$124)-$AW$2*($AU59+NPV($AT$2,$AU60:$AU$124)))/AU59,3)), 0, ROUND(MAX(0,1000*NPV($AT$2,$AV59:$AV$124)-$AW$2*($AU59+NPV($AT$2,$AU60:$AU$124)))/AU59,3))</f>
        <v>896.62599999999998</v>
      </c>
    </row>
    <row r="59" spans="1:50" ht="15" x14ac:dyDescent="0.25">
      <c r="A59">
        <v>34</v>
      </c>
      <c r="B59">
        <v>6.3397169017043197E-4</v>
      </c>
      <c r="C59">
        <f t="shared" si="31"/>
        <v>5.9593338876020598E-4</v>
      </c>
      <c r="D59" s="60"/>
      <c r="E59" s="76"/>
      <c r="F59" s="76"/>
      <c r="I59" s="51">
        <v>55</v>
      </c>
      <c r="J59" s="41"/>
      <c r="K59" s="41" t="str">
        <f t="shared" si="27"/>
        <v/>
      </c>
      <c r="L59" s="42">
        <f t="shared" si="28"/>
        <v>25</v>
      </c>
      <c r="M59" s="41">
        <f t="shared" si="29"/>
        <v>2000000</v>
      </c>
      <c r="N59" s="43">
        <f t="shared" si="1"/>
        <v>905.86099999999999</v>
      </c>
      <c r="O59" s="44">
        <f t="shared" si="2"/>
        <v>929.45600000000002</v>
      </c>
      <c r="P59" s="41">
        <f t="shared" si="3"/>
        <v>1811722</v>
      </c>
      <c r="Q59" s="41">
        <f t="shared" si="4"/>
        <v>1858912</v>
      </c>
      <c r="R59" s="44"/>
      <c r="S59" s="44">
        <f t="shared" si="14"/>
        <v>896.01895806329605</v>
      </c>
      <c r="T59" s="52">
        <f t="shared" si="30"/>
        <v>0</v>
      </c>
      <c r="U59" s="53">
        <f t="shared" si="15"/>
        <v>2.3650918149827784E-11</v>
      </c>
      <c r="V59" s="53">
        <f t="shared" si="16"/>
        <v>2.1191671037848988E-11</v>
      </c>
      <c r="W59" s="53">
        <f t="shared" si="17"/>
        <v>0</v>
      </c>
      <c r="X59" s="46">
        <f t="shared" si="5"/>
        <v>2.4592471119787954E-12</v>
      </c>
      <c r="Y59" s="54"/>
      <c r="Z59" s="41">
        <f t="shared" si="18"/>
        <v>4.3631308406474894E-5</v>
      </c>
      <c r="AA59" s="41">
        <f t="shared" si="19"/>
        <v>4.7301836299655567E-7</v>
      </c>
      <c r="AB59" s="41">
        <f t="shared" si="6"/>
        <v>4.5715239674227266E-6</v>
      </c>
      <c r="AC59" s="41">
        <f t="shared" si="7"/>
        <v>4.9184942239575912E-8</v>
      </c>
      <c r="AD59" s="54"/>
      <c r="AE59" s="41">
        <f t="shared" si="20"/>
        <v>0</v>
      </c>
      <c r="AF59" s="41"/>
      <c r="AG59" s="41">
        <f t="shared" si="8"/>
        <v>-6.1481177799469886E-11</v>
      </c>
      <c r="AH59" s="41">
        <f t="shared" si="21"/>
        <v>-4.2383342075697979E-5</v>
      </c>
      <c r="AI59" s="41">
        <f t="shared" si="22"/>
        <v>0</v>
      </c>
      <c r="AJ59" s="41">
        <f t="shared" si="9"/>
        <v>-4.238340355687578E-5</v>
      </c>
      <c r="AK59" s="41">
        <f t="shared" si="10"/>
        <v>3.9059784439052167E-5</v>
      </c>
      <c r="AL59" s="41">
        <f t="shared" si="23"/>
        <v>1.7641730707788579E-6</v>
      </c>
      <c r="AM59" s="41">
        <f t="shared" si="11"/>
        <v>-1.559446047044755E-6</v>
      </c>
      <c r="AN59" s="41">
        <f t="shared" si="12"/>
        <v>4.2383342075697976E-7</v>
      </c>
      <c r="AO59" s="41">
        <f t="shared" si="13"/>
        <v>-1.1356126262877752E-6</v>
      </c>
      <c r="AP59" s="45"/>
      <c r="AQ59" s="45"/>
      <c r="AR59" s="48"/>
      <c r="AS59" s="48"/>
      <c r="AT59" s="51">
        <f t="shared" si="24"/>
        <v>55</v>
      </c>
      <c r="AU59" s="49">
        <f t="shared" si="25"/>
        <v>2.3650918149827784E-11</v>
      </c>
      <c r="AV59" s="49">
        <f t="shared" si="26"/>
        <v>2.1191671037848988E-11</v>
      </c>
      <c r="AW59" s="50">
        <f xml:space="preserve"> IF(ISERROR(ROUND((1000*NPV($AT$1,$AV60:$AV$124)-$AW$1*($AU60+NPV($AT$1,$AU61:$AU$124)))/AU60,3)), 0, ROUND((1000*NPV($AT$1,$AV60:$AV$124)-$AW$1*($AU60+NPV($AT$1,$AU61:$AU$124)))/AU60,3))</f>
        <v>929.45600000000002</v>
      </c>
      <c r="AX59" s="50">
        <f>IF(ISERROR(ROUND(MAX(0,1000*NPV($AT$2,$AV60:$AV$124)-$AW$2*($AU60+NPV($AT$2,$AU61:$AU$124)))/AU60,3)), 0, ROUND(MAX(0,1000*NPV($AT$2,$AV60:$AV$124)-$AW$2*($AU60+NPV($AT$2,$AU61:$AU$124)))/AU60,3))</f>
        <v>905.86099999999999</v>
      </c>
    </row>
    <row r="60" spans="1:50" ht="15" x14ac:dyDescent="0.25">
      <c r="A60">
        <v>35</v>
      </c>
      <c r="B60">
        <v>6.7344539580516105E-4</v>
      </c>
      <c r="C60">
        <f t="shared" si="31"/>
        <v>6.3303867205685141E-4</v>
      </c>
      <c r="D60" s="60"/>
      <c r="E60" s="5"/>
      <c r="F60" s="5"/>
      <c r="I60" s="51">
        <v>56</v>
      </c>
      <c r="J60" s="41"/>
      <c r="K60" s="41" t="str">
        <f t="shared" si="27"/>
        <v/>
      </c>
      <c r="L60" s="42">
        <f t="shared" si="28"/>
        <v>25</v>
      </c>
      <c r="M60" s="41">
        <f t="shared" si="29"/>
        <v>2000000</v>
      </c>
      <c r="N60" s="43">
        <f t="shared" si="1"/>
        <v>0</v>
      </c>
      <c r="O60" s="44">
        <f t="shared" si="2"/>
        <v>0</v>
      </c>
      <c r="P60" s="41">
        <f t="shared" si="3"/>
        <v>0</v>
      </c>
      <c r="Q60" s="41">
        <f t="shared" si="4"/>
        <v>0</v>
      </c>
      <c r="R60" s="44"/>
      <c r="S60" s="44">
        <f t="shared" si="14"/>
        <v>1000</v>
      </c>
      <c r="T60" s="52">
        <f t="shared" si="30"/>
        <v>0</v>
      </c>
      <c r="U60" s="53">
        <f t="shared" si="15"/>
        <v>2.4592471119787954E-12</v>
      </c>
      <c r="V60" s="53">
        <f t="shared" si="16"/>
        <v>2.4592471119787954E-12</v>
      </c>
      <c r="W60" s="53">
        <f t="shared" si="17"/>
        <v>0</v>
      </c>
      <c r="X60" s="46">
        <f t="shared" si="5"/>
        <v>0</v>
      </c>
      <c r="Y60" s="54"/>
      <c r="Z60" s="41">
        <f t="shared" si="18"/>
        <v>4.5715239674227266E-6</v>
      </c>
      <c r="AA60" s="41">
        <f t="shared" si="19"/>
        <v>4.9184942239575912E-8</v>
      </c>
      <c r="AB60" s="41">
        <f t="shared" si="6"/>
        <v>0</v>
      </c>
      <c r="AC60" s="41">
        <f t="shared" si="7"/>
        <v>0</v>
      </c>
      <c r="AD60" s="54"/>
      <c r="AE60" s="41">
        <f t="shared" si="20"/>
        <v>0</v>
      </c>
      <c r="AF60" s="41"/>
      <c r="AG60" s="41">
        <f t="shared" si="8"/>
        <v>0</v>
      </c>
      <c r="AH60" s="41">
        <f t="shared" si="21"/>
        <v>-4.9184942239575906E-6</v>
      </c>
      <c r="AI60" s="41">
        <f t="shared" si="22"/>
        <v>0</v>
      </c>
      <c r="AJ60" s="41">
        <f t="shared" si="9"/>
        <v>-4.9184942239575906E-6</v>
      </c>
      <c r="AK60" s="41">
        <f t="shared" si="10"/>
        <v>4.5715239674227266E-6</v>
      </c>
      <c r="AL60" s="41">
        <f t="shared" si="23"/>
        <v>1.8482835638649209E-7</v>
      </c>
      <c r="AM60" s="41">
        <f t="shared" si="11"/>
        <v>-1.6214190014837185E-7</v>
      </c>
      <c r="AN60" s="41">
        <f t="shared" si="12"/>
        <v>4.9184942239575912E-8</v>
      </c>
      <c r="AO60" s="41">
        <f t="shared" si="13"/>
        <v>-1.1295695790879594E-7</v>
      </c>
      <c r="AP60" s="45"/>
      <c r="AQ60" s="45"/>
      <c r="AR60" s="48"/>
      <c r="AS60" s="48"/>
      <c r="AT60" s="51">
        <f t="shared" si="24"/>
        <v>56</v>
      </c>
      <c r="AU60" s="49">
        <f t="shared" si="25"/>
        <v>2.4592471119787954E-12</v>
      </c>
      <c r="AV60" s="49">
        <f t="shared" si="26"/>
        <v>2.4592471119787954E-12</v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7.0164143797779598E-4</v>
      </c>
      <c r="C61">
        <f t="shared" si="31"/>
        <v>6.5954295169912819E-4</v>
      </c>
      <c r="D61" s="60"/>
      <c r="E61" s="5"/>
      <c r="F61" s="5"/>
      <c r="I61" s="51"/>
      <c r="J61" s="41"/>
      <c r="K61" s="41" t="str">
        <f t="shared" si="27"/>
        <v/>
      </c>
      <c r="L61" s="42" t="str">
        <f t="shared" si="28"/>
        <v/>
      </c>
      <c r="M61" s="41" t="str">
        <f t="shared" si="29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 t="shared" si="14"/>
        <v/>
      </c>
      <c r="T61" s="52">
        <f t="shared" si="30"/>
        <v>0</v>
      </c>
      <c r="U61" s="53" t="str">
        <f t="shared" si="15"/>
        <v/>
      </c>
      <c r="V61" s="53" t="str">
        <f t="shared" si="16"/>
        <v/>
      </c>
      <c r="W61" s="53" t="str">
        <f t="shared" si="17"/>
        <v/>
      </c>
      <c r="X61" s="46" t="str">
        <f t="shared" si="5"/>
        <v/>
      </c>
      <c r="Y61" s="54"/>
      <c r="Z61" s="41" t="str">
        <f t="shared" si="18"/>
        <v/>
      </c>
      <c r="AA61" s="41" t="str">
        <f t="shared" si="19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20"/>
        <v/>
      </c>
      <c r="AF61" s="41"/>
      <c r="AG61" s="41" t="str">
        <f t="shared" si="8"/>
        <v/>
      </c>
      <c r="AH61" s="41" t="str">
        <f t="shared" si="21"/>
        <v/>
      </c>
      <c r="AI61" s="41" t="str">
        <f t="shared" si="22"/>
        <v/>
      </c>
      <c r="AJ61" s="41">
        <f t="shared" si="9"/>
        <v>0</v>
      </c>
      <c r="AK61" s="41" t="str">
        <f t="shared" si="10"/>
        <v/>
      </c>
      <c r="AL61" s="41">
        <f t="shared" si="23"/>
        <v>0</v>
      </c>
      <c r="AM61" s="41">
        <f t="shared" si="11"/>
        <v>0</v>
      </c>
      <c r="AN61" s="41" t="str">
        <f t="shared" si="12"/>
        <v/>
      </c>
      <c r="AO61" s="41">
        <f t="shared" si="13"/>
        <v>0</v>
      </c>
      <c r="AP61" s="45"/>
      <c r="AQ61" s="45"/>
      <c r="AR61" s="48"/>
      <c r="AS61" s="48"/>
      <c r="AT61" s="51">
        <f t="shared" si="24"/>
        <v>57</v>
      </c>
      <c r="AU61" s="49" t="str">
        <f t="shared" si="25"/>
        <v/>
      </c>
      <c r="AV61" s="49" t="str">
        <f t="shared" si="26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7.6310898413622897E-4</v>
      </c>
      <c r="C62">
        <f t="shared" si="31"/>
        <v>7.1732244508805523E-4</v>
      </c>
      <c r="D62" s="60"/>
      <c r="E62" s="5"/>
      <c r="F62" s="5"/>
      <c r="I62" s="51"/>
      <c r="J62" s="41"/>
      <c r="K62" s="41" t="str">
        <f t="shared" si="27"/>
        <v/>
      </c>
      <c r="L62" s="42" t="str">
        <f t="shared" si="28"/>
        <v/>
      </c>
      <c r="M62" s="41" t="str">
        <f t="shared" si="29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 t="shared" si="14"/>
        <v/>
      </c>
      <c r="T62" s="52">
        <f t="shared" si="30"/>
        <v>0</v>
      </c>
      <c r="U62" s="53" t="str">
        <f t="shared" si="15"/>
        <v/>
      </c>
      <c r="V62" s="53" t="str">
        <f t="shared" si="16"/>
        <v/>
      </c>
      <c r="W62" s="53" t="str">
        <f t="shared" si="17"/>
        <v/>
      </c>
      <c r="X62" s="46" t="str">
        <f t="shared" si="5"/>
        <v/>
      </c>
      <c r="Y62" s="54"/>
      <c r="Z62" s="41" t="str">
        <f t="shared" si="18"/>
        <v/>
      </c>
      <c r="AA62" s="41" t="str">
        <f t="shared" si="19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20"/>
        <v/>
      </c>
      <c r="AF62" s="41"/>
      <c r="AG62" s="41" t="str">
        <f t="shared" si="8"/>
        <v/>
      </c>
      <c r="AH62" s="41" t="str">
        <f t="shared" si="21"/>
        <v/>
      </c>
      <c r="AI62" s="41" t="str">
        <f t="shared" si="22"/>
        <v/>
      </c>
      <c r="AJ62" s="41">
        <f t="shared" si="9"/>
        <v>0</v>
      </c>
      <c r="AK62" s="41" t="str">
        <f t="shared" si="10"/>
        <v/>
      </c>
      <c r="AL62" s="41">
        <f t="shared" si="23"/>
        <v>0</v>
      </c>
      <c r="AM62" s="41">
        <f t="shared" si="11"/>
        <v>0</v>
      </c>
      <c r="AN62" s="41" t="str">
        <f t="shared" si="12"/>
        <v/>
      </c>
      <c r="AO62" s="41">
        <f t="shared" si="13"/>
        <v>0</v>
      </c>
      <c r="AP62" s="45"/>
      <c r="AQ62" s="45"/>
      <c r="AR62" s="48"/>
      <c r="AS62" s="48"/>
      <c r="AT62" s="51">
        <f t="shared" si="24"/>
        <v>58</v>
      </c>
      <c r="AU62" s="49" t="str">
        <f t="shared" si="25"/>
        <v/>
      </c>
      <c r="AV62" s="49" t="str">
        <f t="shared" si="26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8.3463811600603698E-4</v>
      </c>
      <c r="C63">
        <f t="shared" si="31"/>
        <v>7.8455982904567477E-4</v>
      </c>
      <c r="D63" s="60"/>
      <c r="E63" s="5"/>
      <c r="F63" s="5"/>
      <c r="I63" s="51"/>
      <c r="J63" s="41"/>
      <c r="K63" s="41" t="str">
        <f t="shared" si="27"/>
        <v/>
      </c>
      <c r="L63" s="42" t="str">
        <f t="shared" si="28"/>
        <v/>
      </c>
      <c r="M63" s="41" t="str">
        <f t="shared" si="29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 t="shared" si="14"/>
        <v/>
      </c>
      <c r="T63" s="52">
        <f t="shared" si="30"/>
        <v>0</v>
      </c>
      <c r="U63" s="53" t="str">
        <f t="shared" si="15"/>
        <v/>
      </c>
      <c r="V63" s="53" t="str">
        <f t="shared" si="16"/>
        <v/>
      </c>
      <c r="W63" s="53" t="str">
        <f t="shared" si="17"/>
        <v/>
      </c>
      <c r="X63" s="46" t="str">
        <f t="shared" si="5"/>
        <v/>
      </c>
      <c r="Y63" s="54"/>
      <c r="Z63" s="41" t="str">
        <f t="shared" si="18"/>
        <v/>
      </c>
      <c r="AA63" s="41" t="str">
        <f t="shared" si="19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20"/>
        <v/>
      </c>
      <c r="AF63" s="41"/>
      <c r="AG63" s="41" t="str">
        <f t="shared" si="8"/>
        <v/>
      </c>
      <c r="AH63" s="41" t="str">
        <f t="shared" si="21"/>
        <v/>
      </c>
      <c r="AI63" s="41" t="str">
        <f t="shared" si="22"/>
        <v/>
      </c>
      <c r="AJ63" s="41">
        <f t="shared" si="9"/>
        <v>0</v>
      </c>
      <c r="AK63" s="41" t="str">
        <f t="shared" si="10"/>
        <v/>
      </c>
      <c r="AL63" s="41">
        <f t="shared" si="23"/>
        <v>0</v>
      </c>
      <c r="AM63" s="41">
        <f t="shared" si="11"/>
        <v>0</v>
      </c>
      <c r="AN63" s="41" t="str">
        <f t="shared" si="12"/>
        <v/>
      </c>
      <c r="AO63" s="41">
        <f t="shared" si="13"/>
        <v>0</v>
      </c>
      <c r="AP63" s="45"/>
      <c r="AQ63" s="45"/>
      <c r="AR63" s="48"/>
      <c r="AS63" s="48"/>
      <c r="AT63" s="51">
        <f t="shared" si="24"/>
        <v>59</v>
      </c>
      <c r="AU63" s="49" t="str">
        <f t="shared" si="25"/>
        <v/>
      </c>
      <c r="AV63" s="49" t="str">
        <f t="shared" si="26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9.0812443771137697E-4</v>
      </c>
      <c r="C64">
        <f t="shared" si="31"/>
        <v>8.5363697144869434E-4</v>
      </c>
      <c r="D64" s="60"/>
      <c r="E64" s="5"/>
      <c r="F64" s="5"/>
      <c r="I64" s="51"/>
      <c r="J64" s="41"/>
      <c r="K64" s="41" t="str">
        <f t="shared" si="27"/>
        <v/>
      </c>
      <c r="L64" s="42" t="str">
        <f t="shared" si="28"/>
        <v/>
      </c>
      <c r="M64" s="41" t="str">
        <f t="shared" si="29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 t="shared" si="14"/>
        <v/>
      </c>
      <c r="T64" s="52">
        <f t="shared" si="30"/>
        <v>0</v>
      </c>
      <c r="U64" s="53" t="str">
        <f t="shared" si="15"/>
        <v/>
      </c>
      <c r="V64" s="53" t="str">
        <f t="shared" si="16"/>
        <v/>
      </c>
      <c r="W64" s="53" t="str">
        <f t="shared" si="17"/>
        <v/>
      </c>
      <c r="X64" s="46" t="str">
        <f t="shared" si="5"/>
        <v/>
      </c>
      <c r="Y64" s="54"/>
      <c r="Z64" s="41" t="str">
        <f t="shared" si="18"/>
        <v/>
      </c>
      <c r="AA64" s="41" t="str">
        <f t="shared" si="19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20"/>
        <v/>
      </c>
      <c r="AF64" s="41"/>
      <c r="AG64" s="41" t="str">
        <f t="shared" si="8"/>
        <v/>
      </c>
      <c r="AH64" s="41" t="str">
        <f t="shared" si="21"/>
        <v/>
      </c>
      <c r="AI64" s="41" t="str">
        <f t="shared" si="22"/>
        <v/>
      </c>
      <c r="AJ64" s="41">
        <f t="shared" si="9"/>
        <v>0</v>
      </c>
      <c r="AK64" s="41" t="str">
        <f t="shared" si="10"/>
        <v/>
      </c>
      <c r="AL64" s="41">
        <f t="shared" si="23"/>
        <v>0</v>
      </c>
      <c r="AM64" s="41">
        <f t="shared" si="11"/>
        <v>0</v>
      </c>
      <c r="AN64" s="41" t="str">
        <f t="shared" si="12"/>
        <v/>
      </c>
      <c r="AO64" s="41">
        <f t="shared" si="13"/>
        <v>0</v>
      </c>
      <c r="AP64" s="45"/>
      <c r="AQ64" s="45"/>
      <c r="AR64" s="48"/>
      <c r="AS64" s="48"/>
      <c r="AT64" s="51">
        <f t="shared" si="24"/>
        <v>60</v>
      </c>
      <c r="AU64" s="49" t="str">
        <f t="shared" si="25"/>
        <v/>
      </c>
      <c r="AV64" s="49" t="str">
        <f t="shared" si="26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9.8479293204090101E-4</v>
      </c>
      <c r="C65">
        <f t="shared" si="31"/>
        <v>9.2570535611844688E-4</v>
      </c>
      <c r="D65" s="60"/>
      <c r="E65" s="5"/>
      <c r="F65" s="5"/>
      <c r="I65" s="51"/>
      <c r="J65" s="41"/>
      <c r="K65" s="41" t="str">
        <f t="shared" si="27"/>
        <v/>
      </c>
      <c r="L65" s="42" t="str">
        <f t="shared" si="28"/>
        <v/>
      </c>
      <c r="M65" s="41" t="str">
        <f t="shared" si="29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 t="shared" si="14"/>
        <v/>
      </c>
      <c r="T65" s="52">
        <f t="shared" si="30"/>
        <v>0</v>
      </c>
      <c r="U65" s="53" t="str">
        <f t="shared" si="15"/>
        <v/>
      </c>
      <c r="V65" s="53" t="str">
        <f t="shared" si="16"/>
        <v/>
      </c>
      <c r="W65" s="53" t="str">
        <f t="shared" si="17"/>
        <v/>
      </c>
      <c r="X65" s="46" t="str">
        <f t="shared" si="5"/>
        <v/>
      </c>
      <c r="Y65" s="54"/>
      <c r="Z65" s="41" t="str">
        <f t="shared" si="18"/>
        <v/>
      </c>
      <c r="AA65" s="41" t="str">
        <f t="shared" si="19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20"/>
        <v/>
      </c>
      <c r="AF65" s="41"/>
      <c r="AG65" s="41" t="str">
        <f t="shared" si="8"/>
        <v/>
      </c>
      <c r="AH65" s="41" t="str">
        <f t="shared" si="21"/>
        <v/>
      </c>
      <c r="AI65" s="41" t="str">
        <f t="shared" si="22"/>
        <v/>
      </c>
      <c r="AJ65" s="41">
        <f t="shared" si="9"/>
        <v>0</v>
      </c>
      <c r="AK65" s="41" t="str">
        <f t="shared" si="10"/>
        <v/>
      </c>
      <c r="AL65" s="41">
        <f t="shared" si="23"/>
        <v>0</v>
      </c>
      <c r="AM65" s="41">
        <f t="shared" si="11"/>
        <v>0</v>
      </c>
      <c r="AN65" s="41" t="str">
        <f t="shared" si="12"/>
        <v/>
      </c>
      <c r="AO65" s="41">
        <f t="shared" si="13"/>
        <v>0</v>
      </c>
      <c r="AP65" s="45"/>
      <c r="AQ65" s="45"/>
      <c r="AR65" s="48"/>
      <c r="AS65" s="48"/>
      <c r="AT65" s="51">
        <f t="shared" si="24"/>
        <v>61</v>
      </c>
      <c r="AU65" s="49" t="str">
        <f t="shared" si="25"/>
        <v/>
      </c>
      <c r="AV65" s="49" t="str">
        <f t="shared" si="26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1.07415544721889E-3</v>
      </c>
      <c r="C66">
        <f t="shared" si="31"/>
        <v>1.0097061203857565E-3</v>
      </c>
      <c r="D66" s="60"/>
      <c r="E66" s="5"/>
      <c r="F66" s="5"/>
      <c r="I66" s="51"/>
      <c r="J66" s="41"/>
      <c r="K66" s="41" t="str">
        <f t="shared" si="27"/>
        <v/>
      </c>
      <c r="L66" s="42" t="str">
        <f t="shared" si="28"/>
        <v/>
      </c>
      <c r="M66" s="41" t="str">
        <f t="shared" si="29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 t="shared" si="14"/>
        <v/>
      </c>
      <c r="T66" s="52">
        <f t="shared" si="30"/>
        <v>0</v>
      </c>
      <c r="U66" s="53" t="str">
        <f t="shared" si="15"/>
        <v/>
      </c>
      <c r="V66" s="53" t="str">
        <f t="shared" si="16"/>
        <v/>
      </c>
      <c r="W66" s="53" t="str">
        <f t="shared" si="17"/>
        <v/>
      </c>
      <c r="X66" s="46" t="str">
        <f t="shared" si="5"/>
        <v/>
      </c>
      <c r="Y66" s="54"/>
      <c r="Z66" s="41" t="str">
        <f t="shared" si="18"/>
        <v/>
      </c>
      <c r="AA66" s="41" t="str">
        <f t="shared" si="19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20"/>
        <v/>
      </c>
      <c r="AF66" s="41"/>
      <c r="AG66" s="41" t="str">
        <f t="shared" si="8"/>
        <v/>
      </c>
      <c r="AH66" s="41" t="str">
        <f t="shared" si="21"/>
        <v/>
      </c>
      <c r="AI66" s="41" t="str">
        <f t="shared" si="22"/>
        <v/>
      </c>
      <c r="AJ66" s="41">
        <f t="shared" si="9"/>
        <v>0</v>
      </c>
      <c r="AK66" s="41" t="str">
        <f t="shared" si="10"/>
        <v/>
      </c>
      <c r="AL66" s="41">
        <f t="shared" si="23"/>
        <v>0</v>
      </c>
      <c r="AM66" s="41">
        <f t="shared" si="11"/>
        <v>0</v>
      </c>
      <c r="AN66" s="41" t="str">
        <f t="shared" si="12"/>
        <v/>
      </c>
      <c r="AO66" s="41">
        <f t="shared" si="13"/>
        <v>0</v>
      </c>
      <c r="AP66" s="45"/>
      <c r="AQ66" s="45"/>
      <c r="AR66" s="48"/>
      <c r="AS66" s="48"/>
      <c r="AT66" s="51">
        <f t="shared" si="24"/>
        <v>62</v>
      </c>
      <c r="AU66" s="49" t="str">
        <f t="shared" si="25"/>
        <v/>
      </c>
      <c r="AV66" s="49" t="str">
        <f t="shared" si="26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1.16287456228303E-3</v>
      </c>
      <c r="C67">
        <f t="shared" si="31"/>
        <v>1.0931020885460482E-3</v>
      </c>
      <c r="D67" s="60"/>
      <c r="E67" s="5"/>
      <c r="F67" s="5"/>
      <c r="I67" s="51"/>
      <c r="J67" s="41"/>
      <c r="K67" s="41" t="str">
        <f t="shared" si="27"/>
        <v/>
      </c>
      <c r="L67" s="42" t="str">
        <f t="shared" si="28"/>
        <v/>
      </c>
      <c r="M67" s="41" t="str">
        <f t="shared" si="29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 t="shared" si="14"/>
        <v/>
      </c>
      <c r="T67" s="52">
        <f t="shared" si="30"/>
        <v>0</v>
      </c>
      <c r="U67" s="53" t="str">
        <f t="shared" si="15"/>
        <v/>
      </c>
      <c r="V67" s="53" t="str">
        <f t="shared" si="16"/>
        <v/>
      </c>
      <c r="W67" s="53" t="str">
        <f t="shared" si="17"/>
        <v/>
      </c>
      <c r="X67" s="46" t="str">
        <f t="shared" si="5"/>
        <v/>
      </c>
      <c r="Y67" s="54"/>
      <c r="Z67" s="41" t="str">
        <f t="shared" si="18"/>
        <v/>
      </c>
      <c r="AA67" s="41" t="str">
        <f t="shared" si="19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20"/>
        <v/>
      </c>
      <c r="AF67" s="41"/>
      <c r="AG67" s="41" t="str">
        <f t="shared" si="8"/>
        <v/>
      </c>
      <c r="AH67" s="41" t="str">
        <f t="shared" si="21"/>
        <v/>
      </c>
      <c r="AI67" s="41" t="str">
        <f t="shared" si="22"/>
        <v/>
      </c>
      <c r="AJ67" s="41">
        <f t="shared" si="9"/>
        <v>0</v>
      </c>
      <c r="AK67" s="41" t="str">
        <f t="shared" si="10"/>
        <v/>
      </c>
      <c r="AL67" s="41">
        <f t="shared" si="23"/>
        <v>0</v>
      </c>
      <c r="AM67" s="41">
        <f t="shared" si="11"/>
        <v>0</v>
      </c>
      <c r="AN67" s="41" t="str">
        <f t="shared" si="12"/>
        <v/>
      </c>
      <c r="AO67" s="41">
        <f t="shared" si="13"/>
        <v>0</v>
      </c>
      <c r="AP67" s="45"/>
      <c r="AQ67" s="45"/>
      <c r="AR67" s="48"/>
      <c r="AS67" s="48"/>
      <c r="AT67" s="51">
        <f t="shared" si="24"/>
        <v>63</v>
      </c>
      <c r="AU67" s="49" t="str">
        <f t="shared" si="25"/>
        <v/>
      </c>
      <c r="AV67" s="49" t="str">
        <f t="shared" si="26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1.2640568605671899E-3</v>
      </c>
      <c r="C68">
        <f t="shared" si="31"/>
        <v>1.1882134489331585E-3</v>
      </c>
      <c r="D68" s="60"/>
      <c r="E68" s="5"/>
      <c r="F68" s="5"/>
      <c r="I68" s="51"/>
      <c r="J68" s="41"/>
      <c r="K68" s="41" t="str">
        <f t="shared" si="27"/>
        <v/>
      </c>
      <c r="L68" s="42" t="str">
        <f t="shared" si="28"/>
        <v/>
      </c>
      <c r="M68" s="41" t="str">
        <f t="shared" si="29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 t="shared" si="14"/>
        <v/>
      </c>
      <c r="T68" s="52">
        <f t="shared" si="30"/>
        <v>0</v>
      </c>
      <c r="U68" s="53" t="str">
        <f t="shared" si="15"/>
        <v/>
      </c>
      <c r="V68" s="53" t="str">
        <f t="shared" si="16"/>
        <v/>
      </c>
      <c r="W68" s="53" t="str">
        <f t="shared" si="17"/>
        <v/>
      </c>
      <c r="X68" s="46" t="str">
        <f t="shared" si="5"/>
        <v/>
      </c>
      <c r="Y68" s="54"/>
      <c r="Z68" s="41" t="str">
        <f t="shared" si="18"/>
        <v/>
      </c>
      <c r="AA68" s="41" t="str">
        <f t="shared" si="19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20"/>
        <v/>
      </c>
      <c r="AF68" s="41"/>
      <c r="AG68" s="41" t="str">
        <f t="shared" si="8"/>
        <v/>
      </c>
      <c r="AH68" s="41" t="str">
        <f t="shared" si="21"/>
        <v/>
      </c>
      <c r="AI68" s="41" t="str">
        <f t="shared" si="22"/>
        <v/>
      </c>
      <c r="AJ68" s="41">
        <f t="shared" si="9"/>
        <v>0</v>
      </c>
      <c r="AK68" s="41" t="str">
        <f t="shared" si="10"/>
        <v/>
      </c>
      <c r="AL68" s="41">
        <f t="shared" si="23"/>
        <v>0</v>
      </c>
      <c r="AM68" s="41">
        <f t="shared" si="11"/>
        <v>0</v>
      </c>
      <c r="AN68" s="41" t="str">
        <f t="shared" si="12"/>
        <v/>
      </c>
      <c r="AO68" s="41">
        <f t="shared" si="13"/>
        <v>0</v>
      </c>
      <c r="AP68" s="45"/>
      <c r="AQ68" s="45"/>
      <c r="AR68" s="48"/>
      <c r="AS68" s="48"/>
      <c r="AT68" s="51">
        <f t="shared" si="24"/>
        <v>64</v>
      </c>
      <c r="AU68" s="49" t="str">
        <f t="shared" si="25"/>
        <v/>
      </c>
      <c r="AV68" s="49" t="str">
        <f t="shared" si="26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1.3729949625973499E-3</v>
      </c>
      <c r="C69">
        <f t="shared" si="31"/>
        <v>1.2906152648415089E-3</v>
      </c>
      <c r="D69" s="60"/>
      <c r="E69" s="5"/>
      <c r="F69" s="5"/>
      <c r="I69" s="51"/>
      <c r="J69" s="41"/>
      <c r="K69" s="41" t="str">
        <f t="shared" si="27"/>
        <v/>
      </c>
      <c r="L69" s="42" t="str">
        <f t="shared" si="28"/>
        <v/>
      </c>
      <c r="M69" s="41" t="str">
        <f t="shared" si="29"/>
        <v/>
      </c>
      <c r="N69" s="43">
        <f t="shared" ref="N69:N123" si="32">AX69</f>
        <v>0</v>
      </c>
      <c r="O69" s="44">
        <f t="shared" ref="O69:O123" si="33">AW69</f>
        <v>0</v>
      </c>
      <c r="P69" s="41" t="str">
        <f t="shared" ref="P69:P124" si="34">IF(I69&lt;&gt;"", M69*N69/1000, "")</f>
        <v/>
      </c>
      <c r="Q69" s="41" t="str">
        <f t="shared" ref="Q69:Q124" si="35">IF(I69&lt;&gt;"", M69*O69/1000, "")</f>
        <v/>
      </c>
      <c r="R69" s="44"/>
      <c r="S69" s="44" t="str">
        <f t="shared" si="14"/>
        <v/>
      </c>
      <c r="T69" s="52">
        <f t="shared" si="30"/>
        <v>0</v>
      </c>
      <c r="U69" s="53" t="str">
        <f t="shared" si="15"/>
        <v/>
      </c>
      <c r="V69" s="53" t="str">
        <f t="shared" si="16"/>
        <v/>
      </c>
      <c r="W69" s="53" t="str">
        <f t="shared" si="17"/>
        <v/>
      </c>
      <c r="X69" s="46" t="str">
        <f t="shared" ref="X69:X124" si="36">IF(I69&lt;&gt;"", U69-SUM(V69:W69), "")</f>
        <v/>
      </c>
      <c r="Y69" s="54"/>
      <c r="Z69" s="41" t="str">
        <f t="shared" si="18"/>
        <v/>
      </c>
      <c r="AA69" s="41" t="str">
        <f t="shared" si="19"/>
        <v/>
      </c>
      <c r="AB69" s="41" t="str">
        <f t="shared" ref="AB69:AB124" si="37">IF(I69&lt;&gt;"", Q69*X69, "" )</f>
        <v/>
      </c>
      <c r="AC69" s="41" t="str">
        <f t="shared" ref="AC69:AC124" si="38">IF(I69&lt;&gt;"", $H$14*M69*X69, "")</f>
        <v/>
      </c>
      <c r="AD69" s="54"/>
      <c r="AE69" s="41" t="str">
        <f t="shared" ref="AE69:AE124" si="39">IF(I69&lt;&gt;"", $X69*J69, "")</f>
        <v/>
      </c>
      <c r="AF69" s="41"/>
      <c r="AG69" s="41" t="str">
        <f t="shared" ref="AG69:AG124" si="40">IF(I69&lt;&gt;"", -$X69*L69, "")</f>
        <v/>
      </c>
      <c r="AH69" s="41" t="str">
        <f t="shared" si="21"/>
        <v/>
      </c>
      <c r="AI69" s="41" t="str">
        <f t="shared" si="22"/>
        <v/>
      </c>
      <c r="AJ69" s="41">
        <f t="shared" ref="AJ69:AJ124" si="41">SUM(AE69:AI69)</f>
        <v>0</v>
      </c>
      <c r="AK69" s="41" t="str">
        <f t="shared" ref="AK69:AK124" si="42">IF(I69&lt;&gt;"", Z69-AB69, "")</f>
        <v/>
      </c>
      <c r="AL69" s="41">
        <f t="shared" si="23"/>
        <v>0</v>
      </c>
      <c r="AM69" s="41">
        <f t="shared" ref="AM69:AM124" si="43">SUM(AJ69:AL69)</f>
        <v>0</v>
      </c>
      <c r="AN69" s="41" t="str">
        <f t="shared" ref="AN69:AN124" si="44">IF(I69&lt;&gt;"", AA69-AC69, "")</f>
        <v/>
      </c>
      <c r="AO69" s="41">
        <f t="shared" ref="AO69:AO78" si="45">SUM(AM69:AN69)</f>
        <v>0</v>
      </c>
      <c r="AP69" s="45"/>
      <c r="AQ69" s="45"/>
      <c r="AR69" s="48"/>
      <c r="AS69" s="48"/>
      <c r="AT69" s="51">
        <f t="shared" si="24"/>
        <v>65</v>
      </c>
      <c r="AU69" s="49" t="str">
        <f t="shared" si="25"/>
        <v/>
      </c>
      <c r="AV69" s="49" t="str">
        <f t="shared" si="26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1.49177132168521E-3</v>
      </c>
      <c r="C70">
        <f t="shared" si="31"/>
        <v>1.4022650423840973E-3</v>
      </c>
      <c r="D70" s="60"/>
      <c r="E70" s="5"/>
      <c r="F70" s="5"/>
      <c r="I70" s="51"/>
      <c r="J70" s="41"/>
      <c r="K70" s="41" t="str">
        <f t="shared" si="27"/>
        <v/>
      </c>
      <c r="L70" s="42" t="str">
        <f t="shared" si="28"/>
        <v/>
      </c>
      <c r="M70" s="41" t="str">
        <f t="shared" si="29"/>
        <v/>
      </c>
      <c r="N70" s="43">
        <f t="shared" si="32"/>
        <v>0</v>
      </c>
      <c r="O70" s="44">
        <f t="shared" si="33"/>
        <v>0</v>
      </c>
      <c r="P70" s="41" t="str">
        <f t="shared" si="34"/>
        <v/>
      </c>
      <c r="Q70" s="41" t="str">
        <f t="shared" si="35"/>
        <v/>
      </c>
      <c r="R70" s="44"/>
      <c r="S70" s="44" t="str">
        <f t="shared" ref="S70:S124" si="46">IF(I70&lt;&gt;"",_xlfn.XLOOKUP(D$4+I69,A$26:A$145,$B$26:$B$145,0) * 1000,"")</f>
        <v/>
      </c>
      <c r="T70" s="52">
        <f t="shared" si="30"/>
        <v>0</v>
      </c>
      <c r="U70" s="53" t="str">
        <f t="shared" ref="U70:U124" si="47">IF(I70&lt;&gt;"", X69, "")</f>
        <v/>
      </c>
      <c r="V70" s="53" t="str">
        <f t="shared" ref="V70:V124" si="48">IF(I70&lt;&gt;"", S70*U70/1000, "")</f>
        <v/>
      </c>
      <c r="W70" s="53" t="str">
        <f t="shared" ref="W70:W124" si="49">IF(I70&lt;&gt;"", MIN(T70*U70,U70-V70), "")</f>
        <v/>
      </c>
      <c r="X70" s="46" t="str">
        <f t="shared" si="36"/>
        <v/>
      </c>
      <c r="Y70" s="54"/>
      <c r="Z70" s="41" t="str">
        <f t="shared" ref="Z70:Z124" si="50">IF(I70&lt;&gt;"",AB69,"")</f>
        <v/>
      </c>
      <c r="AA70" s="41" t="str">
        <f t="shared" ref="AA70:AA124" si="51">IF(I70&lt;&gt;"", AC69, "")</f>
        <v/>
      </c>
      <c r="AB70" s="41" t="str">
        <f t="shared" si="37"/>
        <v/>
      </c>
      <c r="AC70" s="41" t="str">
        <f t="shared" si="38"/>
        <v/>
      </c>
      <c r="AD70" s="54"/>
      <c r="AE70" s="41" t="str">
        <f t="shared" si="39"/>
        <v/>
      </c>
      <c r="AF70" s="41"/>
      <c r="AG70" s="41" t="str">
        <f t="shared" si="40"/>
        <v/>
      </c>
      <c r="AH70" s="41" t="str">
        <f t="shared" ref="AH70:AH124" si="52">IF(I70&lt;&gt;"",-M70*V70,"")</f>
        <v/>
      </c>
      <c r="AI70" s="41" t="str">
        <f t="shared" ref="AI70:AI124" si="53">IF(I70 &lt;&gt; "", -P70*W70, "")</f>
        <v/>
      </c>
      <c r="AJ70" s="41">
        <f t="shared" si="41"/>
        <v>0</v>
      </c>
      <c r="AK70" s="41" t="str">
        <f t="shared" si="42"/>
        <v/>
      </c>
      <c r="AL70" s="41">
        <f t="shared" ref="AL70:AL124" si="54">$D$6*SUM(Z70:AA70,AE70:AF70)</f>
        <v>0</v>
      </c>
      <c r="AM70" s="41">
        <f t="shared" si="43"/>
        <v>0</v>
      </c>
      <c r="AN70" s="41" t="str">
        <f t="shared" si="44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5">AT69+1</f>
        <v>66</v>
      </c>
      <c r="AU70" s="49" t="str">
        <f t="shared" ref="AU70:AU124" si="56">IF(I70&lt;&gt;"", AU69-AV69, "")</f>
        <v/>
      </c>
      <c r="AV70" s="49" t="str">
        <f t="shared" ref="AV70:AV124" si="57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1.5784777539943301E-3</v>
      </c>
      <c r="C71">
        <f t="shared" si="31"/>
        <v>1.4837690887546703E-3</v>
      </c>
      <c r="D71" s="60"/>
      <c r="E71" s="5"/>
      <c r="F71" s="5"/>
      <c r="I71" s="51"/>
      <c r="J71" s="41"/>
      <c r="K71" s="41" t="str">
        <f t="shared" ref="K71:K124" si="58">IF(J71&lt;&gt;"",J71*$C$17,"")</f>
        <v/>
      </c>
      <c r="L71" s="42" t="str">
        <f t="shared" ref="L71:L124" si="59">IF(I71&lt;&gt;"",$C$21,"")</f>
        <v/>
      </c>
      <c r="M71" s="41" t="str">
        <f t="shared" ref="M71:M124" si="60">IF(I71&lt;&gt;"",$E$11,"")</f>
        <v/>
      </c>
      <c r="N71" s="43">
        <f t="shared" si="32"/>
        <v>0</v>
      </c>
      <c r="O71" s="44">
        <f t="shared" si="33"/>
        <v>0</v>
      </c>
      <c r="P71" s="41" t="str">
        <f t="shared" si="34"/>
        <v/>
      </c>
      <c r="Q71" s="41" t="str">
        <f t="shared" si="35"/>
        <v/>
      </c>
      <c r="R71" s="44"/>
      <c r="S71" s="44" t="str">
        <f t="shared" si="46"/>
        <v/>
      </c>
      <c r="T71" s="52">
        <f t="shared" si="30"/>
        <v>0</v>
      </c>
      <c r="U71" s="53" t="str">
        <f t="shared" si="47"/>
        <v/>
      </c>
      <c r="V71" s="53" t="str">
        <f t="shared" si="48"/>
        <v/>
      </c>
      <c r="W71" s="53" t="str">
        <f t="shared" si="49"/>
        <v/>
      </c>
      <c r="X71" s="46" t="str">
        <f t="shared" si="36"/>
        <v/>
      </c>
      <c r="Y71" s="54"/>
      <c r="Z71" s="41" t="str">
        <f t="shared" si="50"/>
        <v/>
      </c>
      <c r="AA71" s="41" t="str">
        <f t="shared" si="51"/>
        <v/>
      </c>
      <c r="AB71" s="41" t="str">
        <f t="shared" si="37"/>
        <v/>
      </c>
      <c r="AC71" s="41" t="str">
        <f t="shared" si="38"/>
        <v/>
      </c>
      <c r="AD71" s="54"/>
      <c r="AE71" s="41" t="str">
        <f t="shared" si="39"/>
        <v/>
      </c>
      <c r="AF71" s="41"/>
      <c r="AG71" s="41" t="str">
        <f t="shared" si="40"/>
        <v/>
      </c>
      <c r="AH71" s="41" t="str">
        <f t="shared" si="52"/>
        <v/>
      </c>
      <c r="AI71" s="41" t="str">
        <f t="shared" si="53"/>
        <v/>
      </c>
      <c r="AJ71" s="41">
        <f t="shared" si="41"/>
        <v>0</v>
      </c>
      <c r="AK71" s="41" t="str">
        <f t="shared" si="42"/>
        <v/>
      </c>
      <c r="AL71" s="41">
        <f t="shared" si="54"/>
        <v>0</v>
      </c>
      <c r="AM71" s="41">
        <f t="shared" si="43"/>
        <v>0</v>
      </c>
      <c r="AN71" s="41" t="str">
        <f t="shared" si="44"/>
        <v/>
      </c>
      <c r="AO71" s="41">
        <f t="shared" si="45"/>
        <v>0</v>
      </c>
      <c r="AP71" s="45"/>
      <c r="AQ71" s="45"/>
      <c r="AR71" s="48"/>
      <c r="AS71" s="48"/>
      <c r="AT71" s="51">
        <f t="shared" si="55"/>
        <v>67</v>
      </c>
      <c r="AU71" s="49" t="str">
        <f t="shared" si="56"/>
        <v/>
      </c>
      <c r="AV71" s="49" t="str">
        <f t="shared" si="57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1.7230158331753599E-3</v>
      </c>
      <c r="C72">
        <f t="shared" si="31"/>
        <v>1.6196348831848382E-3</v>
      </c>
      <c r="D72" s="60"/>
      <c r="E72" s="5"/>
      <c r="F72" s="5"/>
      <c r="I72" s="51"/>
      <c r="J72" s="41"/>
      <c r="K72" s="41" t="str">
        <f t="shared" si="58"/>
        <v/>
      </c>
      <c r="L72" s="42" t="str">
        <f t="shared" si="59"/>
        <v/>
      </c>
      <c r="M72" s="41" t="str">
        <f t="shared" si="60"/>
        <v/>
      </c>
      <c r="N72" s="43">
        <f>AX72</f>
        <v>0</v>
      </c>
      <c r="O72" s="44">
        <f t="shared" si="33"/>
        <v>0</v>
      </c>
      <c r="P72" s="41" t="str">
        <f t="shared" si="34"/>
        <v/>
      </c>
      <c r="Q72" s="41" t="str">
        <f t="shared" si="35"/>
        <v/>
      </c>
      <c r="R72" s="44"/>
      <c r="S72" s="44" t="str">
        <f t="shared" si="46"/>
        <v/>
      </c>
      <c r="T72" s="52">
        <f t="shared" si="30"/>
        <v>0</v>
      </c>
      <c r="U72" s="53" t="str">
        <f t="shared" si="47"/>
        <v/>
      </c>
      <c r="V72" s="53" t="str">
        <f t="shared" si="48"/>
        <v/>
      </c>
      <c r="W72" s="53" t="str">
        <f t="shared" si="49"/>
        <v/>
      </c>
      <c r="X72" s="46" t="str">
        <f t="shared" si="36"/>
        <v/>
      </c>
      <c r="Y72" s="54"/>
      <c r="Z72" s="41" t="str">
        <f t="shared" si="50"/>
        <v/>
      </c>
      <c r="AA72" s="41" t="str">
        <f t="shared" si="51"/>
        <v/>
      </c>
      <c r="AB72" s="41" t="str">
        <f t="shared" si="37"/>
        <v/>
      </c>
      <c r="AC72" s="41" t="str">
        <f t="shared" si="38"/>
        <v/>
      </c>
      <c r="AD72" s="54"/>
      <c r="AE72" s="41" t="str">
        <f t="shared" si="39"/>
        <v/>
      </c>
      <c r="AF72" s="41"/>
      <c r="AG72" s="41" t="str">
        <f t="shared" si="40"/>
        <v/>
      </c>
      <c r="AH72" s="41" t="str">
        <f t="shared" si="52"/>
        <v/>
      </c>
      <c r="AI72" s="41" t="str">
        <f t="shared" si="53"/>
        <v/>
      </c>
      <c r="AJ72" s="41">
        <f t="shared" si="41"/>
        <v>0</v>
      </c>
      <c r="AK72" s="41" t="str">
        <f t="shared" si="42"/>
        <v/>
      </c>
      <c r="AL72" s="41">
        <f t="shared" si="54"/>
        <v>0</v>
      </c>
      <c r="AM72" s="41">
        <f t="shared" si="43"/>
        <v>0</v>
      </c>
      <c r="AN72" s="41" t="str">
        <f t="shared" si="44"/>
        <v/>
      </c>
      <c r="AO72" s="41">
        <f t="shared" si="45"/>
        <v>0</v>
      </c>
      <c r="AP72" s="45"/>
      <c r="AQ72" s="45"/>
      <c r="AR72" s="48"/>
      <c r="AS72" s="48"/>
      <c r="AT72" s="51">
        <f t="shared" si="55"/>
        <v>68</v>
      </c>
      <c r="AU72" s="49" t="str">
        <f t="shared" si="56"/>
        <v/>
      </c>
      <c r="AV72" s="49" t="str">
        <f t="shared" si="57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1.88914938085338E-3</v>
      </c>
      <c r="C73">
        <f t="shared" si="31"/>
        <v>1.775800418002177E-3</v>
      </c>
      <c r="D73" s="60"/>
      <c r="E73" s="5"/>
      <c r="F73" s="5"/>
      <c r="I73" s="51"/>
      <c r="J73" s="41"/>
      <c r="K73" s="41" t="str">
        <f t="shared" si="58"/>
        <v/>
      </c>
      <c r="L73" s="42" t="str">
        <f t="shared" si="59"/>
        <v/>
      </c>
      <c r="M73" s="41" t="str">
        <f t="shared" si="60"/>
        <v/>
      </c>
      <c r="N73" s="43">
        <f t="shared" si="32"/>
        <v>0</v>
      </c>
      <c r="O73" s="44">
        <f t="shared" si="33"/>
        <v>0</v>
      </c>
      <c r="P73" s="41" t="str">
        <f t="shared" si="34"/>
        <v/>
      </c>
      <c r="Q73" s="41" t="str">
        <f t="shared" si="35"/>
        <v/>
      </c>
      <c r="R73" s="44"/>
      <c r="S73" s="44" t="str">
        <f t="shared" si="46"/>
        <v/>
      </c>
      <c r="T73" s="52">
        <f t="shared" si="30"/>
        <v>0</v>
      </c>
      <c r="U73" s="53" t="str">
        <f t="shared" si="47"/>
        <v/>
      </c>
      <c r="V73" s="53" t="str">
        <f t="shared" si="48"/>
        <v/>
      </c>
      <c r="W73" s="53" t="str">
        <f t="shared" si="49"/>
        <v/>
      </c>
      <c r="X73" s="46" t="str">
        <f t="shared" si="36"/>
        <v/>
      </c>
      <c r="Y73" s="54"/>
      <c r="Z73" s="41" t="str">
        <f t="shared" si="50"/>
        <v/>
      </c>
      <c r="AA73" s="41" t="str">
        <f t="shared" si="51"/>
        <v/>
      </c>
      <c r="AB73" s="41" t="str">
        <f t="shared" si="37"/>
        <v/>
      </c>
      <c r="AC73" s="41" t="str">
        <f t="shared" si="38"/>
        <v/>
      </c>
      <c r="AD73" s="54"/>
      <c r="AE73" s="41" t="str">
        <f t="shared" si="39"/>
        <v/>
      </c>
      <c r="AF73" s="41"/>
      <c r="AG73" s="41" t="str">
        <f t="shared" si="40"/>
        <v/>
      </c>
      <c r="AH73" s="41" t="str">
        <f t="shared" si="52"/>
        <v/>
      </c>
      <c r="AI73" s="41" t="str">
        <f t="shared" si="53"/>
        <v/>
      </c>
      <c r="AJ73" s="41">
        <f t="shared" si="41"/>
        <v>0</v>
      </c>
      <c r="AK73" s="41" t="str">
        <f t="shared" si="42"/>
        <v/>
      </c>
      <c r="AL73" s="41">
        <f t="shared" si="54"/>
        <v>0</v>
      </c>
      <c r="AM73" s="41">
        <f t="shared" si="43"/>
        <v>0</v>
      </c>
      <c r="AN73" s="41" t="str">
        <f t="shared" si="44"/>
        <v/>
      </c>
      <c r="AO73" s="41">
        <f t="shared" si="45"/>
        <v>0</v>
      </c>
      <c r="AP73" s="45"/>
      <c r="AQ73" s="45"/>
      <c r="AR73" s="48"/>
      <c r="AS73" s="48"/>
      <c r="AT73" s="51">
        <f t="shared" si="55"/>
        <v>69</v>
      </c>
      <c r="AU73" s="49" t="str">
        <f t="shared" si="56"/>
        <v/>
      </c>
      <c r="AV73" s="49" t="str">
        <f t="shared" si="57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2.0652205634448298E-3</v>
      </c>
      <c r="C74">
        <f t="shared" si="31"/>
        <v>1.9413073296381399E-3</v>
      </c>
      <c r="D74" s="60"/>
      <c r="E74" s="5"/>
      <c r="F74" s="5"/>
      <c r="I74" s="51"/>
      <c r="J74" s="41"/>
      <c r="K74" s="41" t="str">
        <f t="shared" si="58"/>
        <v/>
      </c>
      <c r="L74" s="42" t="str">
        <f t="shared" si="59"/>
        <v/>
      </c>
      <c r="M74" s="41" t="str">
        <f t="shared" si="60"/>
        <v/>
      </c>
      <c r="N74" s="43">
        <f t="shared" si="32"/>
        <v>0</v>
      </c>
      <c r="O74" s="44">
        <f t="shared" si="33"/>
        <v>0</v>
      </c>
      <c r="P74" s="41" t="str">
        <f t="shared" si="34"/>
        <v/>
      </c>
      <c r="Q74" s="41" t="str">
        <f t="shared" si="35"/>
        <v/>
      </c>
      <c r="R74" s="44"/>
      <c r="S74" s="44" t="str">
        <f t="shared" si="46"/>
        <v/>
      </c>
      <c r="T74" s="52">
        <f t="shared" si="30"/>
        <v>0</v>
      </c>
      <c r="U74" s="53" t="str">
        <f t="shared" si="47"/>
        <v/>
      </c>
      <c r="V74" s="53" t="str">
        <f t="shared" si="48"/>
        <v/>
      </c>
      <c r="W74" s="53" t="str">
        <f t="shared" si="49"/>
        <v/>
      </c>
      <c r="X74" s="46" t="str">
        <f t="shared" si="36"/>
        <v/>
      </c>
      <c r="Y74" s="54"/>
      <c r="Z74" s="41" t="str">
        <f t="shared" si="50"/>
        <v/>
      </c>
      <c r="AA74" s="41" t="str">
        <f t="shared" si="51"/>
        <v/>
      </c>
      <c r="AB74" s="41" t="str">
        <f t="shared" si="37"/>
        <v/>
      </c>
      <c r="AC74" s="41" t="str">
        <f t="shared" si="38"/>
        <v/>
      </c>
      <c r="AD74" s="54"/>
      <c r="AE74" s="41" t="str">
        <f t="shared" si="39"/>
        <v/>
      </c>
      <c r="AF74" s="41"/>
      <c r="AG74" s="41" t="str">
        <f t="shared" si="40"/>
        <v/>
      </c>
      <c r="AH74" s="41" t="str">
        <f t="shared" si="52"/>
        <v/>
      </c>
      <c r="AI74" s="41" t="str">
        <f t="shared" si="53"/>
        <v/>
      </c>
      <c r="AJ74" s="41">
        <f t="shared" si="41"/>
        <v>0</v>
      </c>
      <c r="AK74" s="41" t="str">
        <f t="shared" si="42"/>
        <v/>
      </c>
      <c r="AL74" s="41">
        <f t="shared" si="54"/>
        <v>0</v>
      </c>
      <c r="AM74" s="41">
        <f t="shared" si="43"/>
        <v>0</v>
      </c>
      <c r="AN74" s="41" t="str">
        <f t="shared" si="44"/>
        <v/>
      </c>
      <c r="AO74" s="41">
        <f t="shared" si="45"/>
        <v>0</v>
      </c>
      <c r="AP74" s="45"/>
      <c r="AQ74" s="45"/>
      <c r="AR74" s="48"/>
      <c r="AS74" s="48"/>
      <c r="AT74" s="51">
        <f t="shared" si="55"/>
        <v>70</v>
      </c>
      <c r="AU74" s="49" t="str">
        <f t="shared" si="56"/>
        <v/>
      </c>
      <c r="AV74" s="49" t="str">
        <f t="shared" si="57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2.2581657130202899E-3</v>
      </c>
      <c r="C75">
        <f t="shared" si="31"/>
        <v>2.1226757702390723E-3</v>
      </c>
      <c r="D75" s="60"/>
      <c r="E75" s="5"/>
      <c r="F75" s="5"/>
      <c r="I75" s="51"/>
      <c r="J75" s="41"/>
      <c r="K75" s="41" t="str">
        <f t="shared" si="58"/>
        <v/>
      </c>
      <c r="L75" s="42" t="str">
        <f t="shared" si="59"/>
        <v/>
      </c>
      <c r="M75" s="41" t="str">
        <f t="shared" si="60"/>
        <v/>
      </c>
      <c r="N75" s="43">
        <f t="shared" si="32"/>
        <v>0</v>
      </c>
      <c r="O75" s="44">
        <f t="shared" si="33"/>
        <v>0</v>
      </c>
      <c r="P75" s="41" t="str">
        <f t="shared" si="34"/>
        <v/>
      </c>
      <c r="Q75" s="41" t="str">
        <f t="shared" si="35"/>
        <v/>
      </c>
      <c r="R75" s="44"/>
      <c r="S75" s="44" t="str">
        <f t="shared" si="46"/>
        <v/>
      </c>
      <c r="T75" s="52">
        <f t="shared" si="30"/>
        <v>0</v>
      </c>
      <c r="U75" s="53" t="str">
        <f t="shared" si="47"/>
        <v/>
      </c>
      <c r="V75" s="53" t="str">
        <f t="shared" si="48"/>
        <v/>
      </c>
      <c r="W75" s="53" t="str">
        <f t="shared" si="49"/>
        <v/>
      </c>
      <c r="X75" s="46" t="str">
        <f t="shared" si="36"/>
        <v/>
      </c>
      <c r="Y75" s="54"/>
      <c r="Z75" s="41" t="str">
        <f t="shared" si="50"/>
        <v/>
      </c>
      <c r="AA75" s="41" t="str">
        <f t="shared" si="51"/>
        <v/>
      </c>
      <c r="AB75" s="41" t="str">
        <f t="shared" si="37"/>
        <v/>
      </c>
      <c r="AC75" s="41" t="str">
        <f t="shared" si="38"/>
        <v/>
      </c>
      <c r="AD75" s="54"/>
      <c r="AE75" s="41" t="str">
        <f t="shared" si="39"/>
        <v/>
      </c>
      <c r="AF75" s="41"/>
      <c r="AG75" s="41" t="str">
        <f t="shared" si="40"/>
        <v/>
      </c>
      <c r="AH75" s="41" t="str">
        <f t="shared" si="52"/>
        <v/>
      </c>
      <c r="AI75" s="41" t="str">
        <f t="shared" si="53"/>
        <v/>
      </c>
      <c r="AJ75" s="41">
        <f t="shared" si="41"/>
        <v>0</v>
      </c>
      <c r="AK75" s="41" t="str">
        <f t="shared" si="42"/>
        <v/>
      </c>
      <c r="AL75" s="41">
        <f t="shared" si="54"/>
        <v>0</v>
      </c>
      <c r="AM75" s="41">
        <f t="shared" si="43"/>
        <v>0</v>
      </c>
      <c r="AN75" s="41" t="str">
        <f t="shared" si="44"/>
        <v/>
      </c>
      <c r="AO75" s="41">
        <f t="shared" si="45"/>
        <v>0</v>
      </c>
      <c r="AP75" s="45"/>
      <c r="AQ75" s="45"/>
      <c r="AR75" s="48"/>
      <c r="AS75" s="48"/>
      <c r="AT75" s="51">
        <f t="shared" si="55"/>
        <v>71</v>
      </c>
      <c r="AU75" s="49" t="str">
        <f t="shared" si="56"/>
        <v/>
      </c>
      <c r="AV75" s="49" t="str">
        <f t="shared" si="57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2.4649969906303001E-3</v>
      </c>
      <c r="C76">
        <f t="shared" si="31"/>
        <v>2.3170971711924818E-3</v>
      </c>
      <c r="D76" s="60"/>
      <c r="E76" s="5"/>
      <c r="F76" s="5"/>
      <c r="I76" s="51"/>
      <c r="J76" s="41"/>
      <c r="K76" s="41" t="str">
        <f t="shared" si="58"/>
        <v/>
      </c>
      <c r="L76" s="42" t="str">
        <f t="shared" si="59"/>
        <v/>
      </c>
      <c r="M76" s="41" t="str">
        <f t="shared" si="60"/>
        <v/>
      </c>
      <c r="N76" s="43">
        <f t="shared" si="32"/>
        <v>0</v>
      </c>
      <c r="O76" s="44">
        <f t="shared" si="33"/>
        <v>0</v>
      </c>
      <c r="P76" s="41" t="str">
        <f t="shared" si="34"/>
        <v/>
      </c>
      <c r="Q76" s="41" t="str">
        <f t="shared" si="35"/>
        <v/>
      </c>
      <c r="R76" s="44"/>
      <c r="S76" s="44" t="str">
        <f t="shared" si="46"/>
        <v/>
      </c>
      <c r="T76" s="52">
        <f t="shared" si="30"/>
        <v>0</v>
      </c>
      <c r="U76" s="53" t="str">
        <f t="shared" si="47"/>
        <v/>
      </c>
      <c r="V76" s="53" t="str">
        <f t="shared" si="48"/>
        <v/>
      </c>
      <c r="W76" s="53" t="str">
        <f t="shared" si="49"/>
        <v/>
      </c>
      <c r="X76" s="46" t="str">
        <f t="shared" si="36"/>
        <v/>
      </c>
      <c r="Y76" s="54"/>
      <c r="Z76" s="41" t="str">
        <f t="shared" si="50"/>
        <v/>
      </c>
      <c r="AA76" s="41" t="str">
        <f t="shared" si="51"/>
        <v/>
      </c>
      <c r="AB76" s="41" t="str">
        <f t="shared" si="37"/>
        <v/>
      </c>
      <c r="AC76" s="41" t="str">
        <f t="shared" si="38"/>
        <v/>
      </c>
      <c r="AD76" s="54"/>
      <c r="AE76" s="41" t="str">
        <f t="shared" si="39"/>
        <v/>
      </c>
      <c r="AF76" s="41"/>
      <c r="AG76" s="41" t="str">
        <f t="shared" si="40"/>
        <v/>
      </c>
      <c r="AH76" s="41" t="str">
        <f t="shared" si="52"/>
        <v/>
      </c>
      <c r="AI76" s="41" t="str">
        <f t="shared" si="53"/>
        <v/>
      </c>
      <c r="AJ76" s="41">
        <f t="shared" si="41"/>
        <v>0</v>
      </c>
      <c r="AK76" s="41" t="str">
        <f t="shared" si="42"/>
        <v/>
      </c>
      <c r="AL76" s="41">
        <f t="shared" si="54"/>
        <v>0</v>
      </c>
      <c r="AM76" s="41">
        <f t="shared" si="43"/>
        <v>0</v>
      </c>
      <c r="AN76" s="41" t="str">
        <f t="shared" si="44"/>
        <v/>
      </c>
      <c r="AO76" s="41">
        <f t="shared" si="45"/>
        <v>0</v>
      </c>
      <c r="AP76" s="45"/>
      <c r="AQ76" s="45"/>
      <c r="AR76" s="48"/>
      <c r="AS76" s="48"/>
      <c r="AT76" s="51">
        <f t="shared" si="55"/>
        <v>72</v>
      </c>
      <c r="AU76" s="49" t="str">
        <f t="shared" si="56"/>
        <v/>
      </c>
      <c r="AV76" s="49" t="str">
        <f t="shared" si="57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2.7031201476708198E-3</v>
      </c>
      <c r="C77">
        <f t="shared" si="31"/>
        <v>2.5409329388105706E-3</v>
      </c>
      <c r="D77" s="60"/>
      <c r="E77" s="5"/>
      <c r="F77" s="5"/>
      <c r="I77" s="51"/>
      <c r="J77" s="41"/>
      <c r="K77" s="41" t="str">
        <f t="shared" si="58"/>
        <v/>
      </c>
      <c r="L77" s="42" t="str">
        <f t="shared" si="59"/>
        <v/>
      </c>
      <c r="M77" s="41" t="str">
        <f t="shared" si="60"/>
        <v/>
      </c>
      <c r="N77" s="43">
        <f t="shared" si="32"/>
        <v>0</v>
      </c>
      <c r="O77" s="44">
        <f t="shared" si="33"/>
        <v>0</v>
      </c>
      <c r="P77" s="41" t="str">
        <f t="shared" si="34"/>
        <v/>
      </c>
      <c r="Q77" s="41" t="str">
        <f t="shared" si="35"/>
        <v/>
      </c>
      <c r="R77" s="44"/>
      <c r="S77" s="44" t="str">
        <f t="shared" si="46"/>
        <v/>
      </c>
      <c r="T77" s="52">
        <f t="shared" si="30"/>
        <v>0</v>
      </c>
      <c r="U77" s="53" t="str">
        <f t="shared" si="47"/>
        <v/>
      </c>
      <c r="V77" s="53" t="str">
        <f t="shared" si="48"/>
        <v/>
      </c>
      <c r="W77" s="53" t="str">
        <f t="shared" si="49"/>
        <v/>
      </c>
      <c r="X77" s="46" t="str">
        <f t="shared" si="36"/>
        <v/>
      </c>
      <c r="Y77" s="54"/>
      <c r="Z77" s="41" t="str">
        <f t="shared" si="50"/>
        <v/>
      </c>
      <c r="AA77" s="41" t="str">
        <f t="shared" si="51"/>
        <v/>
      </c>
      <c r="AB77" s="41" t="str">
        <f t="shared" si="37"/>
        <v/>
      </c>
      <c r="AC77" s="41" t="str">
        <f t="shared" si="38"/>
        <v/>
      </c>
      <c r="AD77" s="54"/>
      <c r="AE77" s="41" t="str">
        <f t="shared" si="39"/>
        <v/>
      </c>
      <c r="AF77" s="41"/>
      <c r="AG77" s="41" t="str">
        <f t="shared" si="40"/>
        <v/>
      </c>
      <c r="AH77" s="41" t="str">
        <f t="shared" si="52"/>
        <v/>
      </c>
      <c r="AI77" s="41" t="str">
        <f t="shared" si="53"/>
        <v/>
      </c>
      <c r="AJ77" s="41">
        <f t="shared" si="41"/>
        <v>0</v>
      </c>
      <c r="AK77" s="41" t="str">
        <f t="shared" si="42"/>
        <v/>
      </c>
      <c r="AL77" s="41">
        <f t="shared" si="54"/>
        <v>0</v>
      </c>
      <c r="AM77" s="41">
        <f t="shared" si="43"/>
        <v>0</v>
      </c>
      <c r="AN77" s="41" t="str">
        <f t="shared" si="44"/>
        <v/>
      </c>
      <c r="AO77" s="41">
        <f t="shared" si="45"/>
        <v>0</v>
      </c>
      <c r="AP77" s="45"/>
      <c r="AQ77" s="45"/>
      <c r="AR77" s="48"/>
      <c r="AS77" s="48"/>
      <c r="AT77" s="51">
        <f t="shared" si="55"/>
        <v>73</v>
      </c>
      <c r="AU77" s="49" t="str">
        <f t="shared" si="56"/>
        <v/>
      </c>
      <c r="AV77" s="49" t="str">
        <f t="shared" si="57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2.97495698813721E-3</v>
      </c>
      <c r="C78">
        <f t="shared" si="31"/>
        <v>2.7964595688489773E-3</v>
      </c>
      <c r="D78" s="60"/>
      <c r="E78" s="5"/>
      <c r="F78" s="5"/>
      <c r="I78" s="51"/>
      <c r="J78" s="41"/>
      <c r="K78" s="41" t="str">
        <f t="shared" si="58"/>
        <v/>
      </c>
      <c r="L78" s="42" t="str">
        <f t="shared" si="59"/>
        <v/>
      </c>
      <c r="M78" s="41" t="str">
        <f t="shared" si="60"/>
        <v/>
      </c>
      <c r="N78" s="43">
        <f>AX78</f>
        <v>0</v>
      </c>
      <c r="O78" s="44">
        <f t="shared" si="33"/>
        <v>0</v>
      </c>
      <c r="P78" s="41" t="str">
        <f t="shared" si="34"/>
        <v/>
      </c>
      <c r="Q78" s="41" t="str">
        <f t="shared" si="35"/>
        <v/>
      </c>
      <c r="R78" s="44"/>
      <c r="S78" s="44" t="str">
        <f t="shared" si="46"/>
        <v/>
      </c>
      <c r="T78" s="52">
        <f t="shared" si="30"/>
        <v>0</v>
      </c>
      <c r="U78" s="53" t="str">
        <f t="shared" si="47"/>
        <v/>
      </c>
      <c r="V78" s="53" t="str">
        <f t="shared" si="48"/>
        <v/>
      </c>
      <c r="W78" s="53" t="str">
        <f t="shared" si="49"/>
        <v/>
      </c>
      <c r="X78" s="46" t="str">
        <f t="shared" si="36"/>
        <v/>
      </c>
      <c r="Y78" s="54"/>
      <c r="Z78" s="41" t="str">
        <f t="shared" si="50"/>
        <v/>
      </c>
      <c r="AA78" s="41" t="str">
        <f t="shared" si="51"/>
        <v/>
      </c>
      <c r="AB78" s="41" t="str">
        <f t="shared" si="37"/>
        <v/>
      </c>
      <c r="AC78" s="41" t="str">
        <f t="shared" si="38"/>
        <v/>
      </c>
      <c r="AD78" s="54"/>
      <c r="AE78" s="41" t="str">
        <f t="shared" si="39"/>
        <v/>
      </c>
      <c r="AF78" s="41"/>
      <c r="AG78" s="41" t="str">
        <f t="shared" si="40"/>
        <v/>
      </c>
      <c r="AH78" s="41" t="str">
        <f t="shared" si="52"/>
        <v/>
      </c>
      <c r="AI78" s="41" t="str">
        <f t="shared" si="53"/>
        <v/>
      </c>
      <c r="AJ78" s="41">
        <f t="shared" si="41"/>
        <v>0</v>
      </c>
      <c r="AK78" s="41" t="str">
        <f t="shared" si="42"/>
        <v/>
      </c>
      <c r="AL78" s="41">
        <f t="shared" si="54"/>
        <v>0</v>
      </c>
      <c r="AM78" s="41">
        <f t="shared" si="43"/>
        <v>0</v>
      </c>
      <c r="AN78" s="41" t="str">
        <f t="shared" si="44"/>
        <v/>
      </c>
      <c r="AO78" s="41">
        <f t="shared" si="45"/>
        <v>0</v>
      </c>
      <c r="AP78" s="45"/>
      <c r="AQ78" s="45"/>
      <c r="AR78" s="48"/>
      <c r="AS78" s="48"/>
      <c r="AT78" s="51">
        <f t="shared" si="55"/>
        <v>74</v>
      </c>
      <c r="AU78" s="49" t="str">
        <f t="shared" si="56"/>
        <v/>
      </c>
      <c r="AV78" s="49" t="str">
        <f t="shared" si="57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3.2747586367367601E-3</v>
      </c>
      <c r="C79">
        <f t="shared" si="31"/>
        <v>3.0782731185325543E-3</v>
      </c>
      <c r="D79" s="60"/>
      <c r="E79" s="5"/>
      <c r="F79" s="5"/>
      <c r="I79" s="51"/>
      <c r="J79" s="41"/>
      <c r="K79" s="41" t="str">
        <f t="shared" si="58"/>
        <v/>
      </c>
      <c r="L79" s="42" t="str">
        <f t="shared" si="59"/>
        <v/>
      </c>
      <c r="M79" s="41" t="str">
        <f t="shared" si="60"/>
        <v/>
      </c>
      <c r="N79" s="43">
        <f t="shared" si="32"/>
        <v>0</v>
      </c>
      <c r="O79" s="44">
        <f t="shared" si="33"/>
        <v>0</v>
      </c>
      <c r="P79" s="41" t="str">
        <f t="shared" si="34"/>
        <v/>
      </c>
      <c r="Q79" s="41" t="str">
        <f t="shared" si="35"/>
        <v/>
      </c>
      <c r="R79" s="44"/>
      <c r="S79" s="44" t="str">
        <f t="shared" si="46"/>
        <v/>
      </c>
      <c r="T79" s="52">
        <f t="shared" si="30"/>
        <v>0</v>
      </c>
      <c r="U79" s="53" t="str">
        <f t="shared" si="47"/>
        <v/>
      </c>
      <c r="V79" s="53" t="str">
        <f t="shared" si="48"/>
        <v/>
      </c>
      <c r="W79" s="53" t="str">
        <f t="shared" si="49"/>
        <v/>
      </c>
      <c r="X79" s="46" t="str">
        <f t="shared" si="36"/>
        <v/>
      </c>
      <c r="Y79" s="54"/>
      <c r="Z79" s="41" t="str">
        <f t="shared" si="50"/>
        <v/>
      </c>
      <c r="AA79" s="41" t="str">
        <f t="shared" si="51"/>
        <v/>
      </c>
      <c r="AB79" s="41" t="str">
        <f t="shared" si="37"/>
        <v/>
      </c>
      <c r="AC79" s="41" t="str">
        <f t="shared" si="38"/>
        <v/>
      </c>
      <c r="AD79" s="54"/>
      <c r="AE79" s="41" t="str">
        <f t="shared" si="39"/>
        <v/>
      </c>
      <c r="AF79" s="41"/>
      <c r="AG79" s="41" t="str">
        <f t="shared" si="40"/>
        <v/>
      </c>
      <c r="AH79" s="41" t="str">
        <f t="shared" si="52"/>
        <v/>
      </c>
      <c r="AI79" s="41" t="str">
        <f t="shared" si="53"/>
        <v/>
      </c>
      <c r="AJ79" s="41">
        <f t="shared" si="41"/>
        <v>0</v>
      </c>
      <c r="AK79" s="41" t="str">
        <f t="shared" si="42"/>
        <v/>
      </c>
      <c r="AL79" s="41">
        <f t="shared" si="54"/>
        <v>0</v>
      </c>
      <c r="AM79" s="41">
        <f t="shared" si="43"/>
        <v>0</v>
      </c>
      <c r="AN79" s="41" t="str">
        <f t="shared" si="44"/>
        <v/>
      </c>
      <c r="AO79" s="41">
        <f>SUM(AM79:AN79)</f>
        <v>0</v>
      </c>
      <c r="AP79" s="45"/>
      <c r="AQ79" s="45"/>
      <c r="AR79" s="48"/>
      <c r="AS79" s="48"/>
      <c r="AT79" s="51">
        <f t="shared" si="55"/>
        <v>75</v>
      </c>
      <c r="AU79" s="49" t="str">
        <f t="shared" si="56"/>
        <v/>
      </c>
      <c r="AV79" s="49" t="str">
        <f t="shared" si="57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3.6162154780752199E-3</v>
      </c>
      <c r="C80">
        <f t="shared" si="31"/>
        <v>3.3992425493907063E-3</v>
      </c>
      <c r="D80" s="60"/>
      <c r="E80" s="5"/>
      <c r="F80" s="5"/>
      <c r="I80" s="51"/>
      <c r="J80" s="41"/>
      <c r="K80" s="41" t="str">
        <f t="shared" si="58"/>
        <v/>
      </c>
      <c r="L80" s="42" t="str">
        <f t="shared" si="59"/>
        <v/>
      </c>
      <c r="M80" s="41" t="str">
        <f t="shared" si="60"/>
        <v/>
      </c>
      <c r="N80" s="43">
        <f t="shared" si="32"/>
        <v>0</v>
      </c>
      <c r="O80" s="44">
        <f t="shared" si="33"/>
        <v>0</v>
      </c>
      <c r="P80" s="41" t="str">
        <f t="shared" si="34"/>
        <v/>
      </c>
      <c r="Q80" s="41" t="str">
        <f t="shared" si="35"/>
        <v/>
      </c>
      <c r="R80" s="45"/>
      <c r="S80" s="44" t="str">
        <f t="shared" si="46"/>
        <v/>
      </c>
      <c r="T80" s="52">
        <f t="shared" si="30"/>
        <v>0</v>
      </c>
      <c r="U80" s="53" t="str">
        <f t="shared" si="47"/>
        <v/>
      </c>
      <c r="V80" s="53" t="str">
        <f t="shared" si="48"/>
        <v/>
      </c>
      <c r="W80" s="53" t="str">
        <f t="shared" si="49"/>
        <v/>
      </c>
      <c r="X80" s="46" t="str">
        <f t="shared" si="36"/>
        <v/>
      </c>
      <c r="Y80" s="45"/>
      <c r="Z80" s="41" t="str">
        <f t="shared" si="50"/>
        <v/>
      </c>
      <c r="AA80" s="41" t="str">
        <f t="shared" si="51"/>
        <v/>
      </c>
      <c r="AB80" s="41" t="str">
        <f t="shared" si="37"/>
        <v/>
      </c>
      <c r="AC80" s="41" t="str">
        <f t="shared" si="38"/>
        <v/>
      </c>
      <c r="AD80" s="45"/>
      <c r="AE80" s="41" t="str">
        <f t="shared" si="39"/>
        <v/>
      </c>
      <c r="AF80" s="41"/>
      <c r="AG80" s="41" t="str">
        <f t="shared" si="40"/>
        <v/>
      </c>
      <c r="AH80" s="41" t="str">
        <f t="shared" si="52"/>
        <v/>
      </c>
      <c r="AI80" s="41" t="str">
        <f t="shared" si="53"/>
        <v/>
      </c>
      <c r="AJ80" s="41">
        <f t="shared" si="41"/>
        <v>0</v>
      </c>
      <c r="AK80" s="41" t="str">
        <f t="shared" si="42"/>
        <v/>
      </c>
      <c r="AL80" s="41">
        <f t="shared" si="54"/>
        <v>0</v>
      </c>
      <c r="AM80" s="41">
        <f t="shared" si="43"/>
        <v>0</v>
      </c>
      <c r="AN80" s="41" t="str">
        <f t="shared" si="44"/>
        <v/>
      </c>
      <c r="AO80" s="41">
        <f t="shared" ref="AO80:AO124" si="61">SUM(AM80:AN80)</f>
        <v>0</v>
      </c>
      <c r="AP80" s="45"/>
      <c r="AQ80" s="48"/>
      <c r="AR80" s="48"/>
      <c r="AS80" s="48"/>
      <c r="AT80" s="51">
        <f t="shared" si="55"/>
        <v>76</v>
      </c>
      <c r="AU80" s="49" t="str">
        <f t="shared" si="56"/>
        <v/>
      </c>
      <c r="AV80" s="49" t="str">
        <f t="shared" si="57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3.81500467564477E-3</v>
      </c>
      <c r="C81">
        <f t="shared" si="31"/>
        <v>3.5861043951060838E-3</v>
      </c>
      <c r="D81" s="60"/>
      <c r="E81" s="5"/>
      <c r="F81" s="5"/>
      <c r="I81" s="51"/>
      <c r="J81" s="41"/>
      <c r="K81" s="41" t="str">
        <f t="shared" si="58"/>
        <v/>
      </c>
      <c r="L81" s="42" t="str">
        <f t="shared" si="59"/>
        <v/>
      </c>
      <c r="M81" s="41" t="str">
        <f t="shared" si="60"/>
        <v/>
      </c>
      <c r="N81" s="43">
        <f t="shared" si="32"/>
        <v>0</v>
      </c>
      <c r="O81" s="44">
        <f t="shared" si="33"/>
        <v>0</v>
      </c>
      <c r="P81" s="41" t="str">
        <f t="shared" si="34"/>
        <v/>
      </c>
      <c r="Q81" s="41" t="str">
        <f t="shared" si="35"/>
        <v/>
      </c>
      <c r="R81" s="45"/>
      <c r="S81" s="44" t="str">
        <f t="shared" si="46"/>
        <v/>
      </c>
      <c r="T81" s="52">
        <f t="shared" ref="T81:T124" si="62">$C$13</f>
        <v>0</v>
      </c>
      <c r="U81" s="53" t="str">
        <f t="shared" si="47"/>
        <v/>
      </c>
      <c r="V81" s="53" t="str">
        <f t="shared" si="48"/>
        <v/>
      </c>
      <c r="W81" s="53" t="str">
        <f t="shared" si="49"/>
        <v/>
      </c>
      <c r="X81" s="46" t="str">
        <f t="shared" si="36"/>
        <v/>
      </c>
      <c r="Y81" s="45"/>
      <c r="Z81" s="41" t="str">
        <f t="shared" si="50"/>
        <v/>
      </c>
      <c r="AA81" s="41" t="str">
        <f t="shared" si="51"/>
        <v/>
      </c>
      <c r="AB81" s="41" t="str">
        <f t="shared" si="37"/>
        <v/>
      </c>
      <c r="AC81" s="41" t="str">
        <f t="shared" si="38"/>
        <v/>
      </c>
      <c r="AD81" s="48"/>
      <c r="AE81" s="41" t="str">
        <f t="shared" si="39"/>
        <v/>
      </c>
      <c r="AF81" s="41"/>
      <c r="AG81" s="41" t="str">
        <f t="shared" si="40"/>
        <v/>
      </c>
      <c r="AH81" s="41" t="str">
        <f t="shared" si="52"/>
        <v/>
      </c>
      <c r="AI81" s="41" t="str">
        <f t="shared" si="53"/>
        <v/>
      </c>
      <c r="AJ81" s="41">
        <f t="shared" si="41"/>
        <v>0</v>
      </c>
      <c r="AK81" s="41" t="str">
        <f t="shared" si="42"/>
        <v/>
      </c>
      <c r="AL81" s="41">
        <f t="shared" si="54"/>
        <v>0</v>
      </c>
      <c r="AM81" s="41">
        <f t="shared" si="43"/>
        <v>0</v>
      </c>
      <c r="AN81" s="41" t="str">
        <f t="shared" si="44"/>
        <v/>
      </c>
      <c r="AO81" s="41">
        <f t="shared" si="61"/>
        <v>0</v>
      </c>
      <c r="AP81" s="45"/>
      <c r="AQ81" s="48"/>
      <c r="AR81" s="48"/>
      <c r="AS81" s="48"/>
      <c r="AT81" s="51">
        <f t="shared" si="55"/>
        <v>77</v>
      </c>
      <c r="AU81" s="49" t="str">
        <f t="shared" si="56"/>
        <v/>
      </c>
      <c r="AV81" s="49" t="str">
        <f t="shared" si="57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4.1996374364784402E-3</v>
      </c>
      <c r="C82">
        <f t="shared" si="31"/>
        <v>3.9476591902897337E-3</v>
      </c>
      <c r="D82" s="60"/>
      <c r="E82" s="5"/>
      <c r="F82" s="5"/>
      <c r="I82" s="51"/>
      <c r="J82" s="41"/>
      <c r="K82" s="41" t="str">
        <f t="shared" si="58"/>
        <v/>
      </c>
      <c r="L82" s="42" t="str">
        <f t="shared" si="59"/>
        <v/>
      </c>
      <c r="M82" s="41" t="str">
        <f t="shared" si="60"/>
        <v/>
      </c>
      <c r="N82" s="43">
        <f t="shared" si="32"/>
        <v>0</v>
      </c>
      <c r="O82" s="44">
        <f t="shared" si="33"/>
        <v>0</v>
      </c>
      <c r="P82" s="41" t="str">
        <f t="shared" si="34"/>
        <v/>
      </c>
      <c r="Q82" s="41" t="str">
        <f t="shared" si="35"/>
        <v/>
      </c>
      <c r="R82" s="45"/>
      <c r="S82" s="44" t="str">
        <f t="shared" si="46"/>
        <v/>
      </c>
      <c r="T82" s="52">
        <f t="shared" si="62"/>
        <v>0</v>
      </c>
      <c r="U82" s="53" t="str">
        <f t="shared" si="47"/>
        <v/>
      </c>
      <c r="V82" s="53" t="str">
        <f t="shared" si="48"/>
        <v/>
      </c>
      <c r="W82" s="53" t="str">
        <f t="shared" si="49"/>
        <v/>
      </c>
      <c r="X82" s="46" t="str">
        <f t="shared" si="36"/>
        <v/>
      </c>
      <c r="Y82" s="45"/>
      <c r="Z82" s="41" t="str">
        <f t="shared" si="50"/>
        <v/>
      </c>
      <c r="AA82" s="41" t="str">
        <f t="shared" si="51"/>
        <v/>
      </c>
      <c r="AB82" s="41" t="str">
        <f t="shared" si="37"/>
        <v/>
      </c>
      <c r="AC82" s="41" t="str">
        <f t="shared" si="38"/>
        <v/>
      </c>
      <c r="AD82" s="48"/>
      <c r="AE82" s="41" t="str">
        <f t="shared" si="39"/>
        <v/>
      </c>
      <c r="AF82" s="41"/>
      <c r="AG82" s="41" t="str">
        <f t="shared" si="40"/>
        <v/>
      </c>
      <c r="AH82" s="41" t="str">
        <f t="shared" si="52"/>
        <v/>
      </c>
      <c r="AI82" s="41" t="str">
        <f t="shared" si="53"/>
        <v/>
      </c>
      <c r="AJ82" s="41">
        <f t="shared" si="41"/>
        <v>0</v>
      </c>
      <c r="AK82" s="41" t="str">
        <f t="shared" si="42"/>
        <v/>
      </c>
      <c r="AL82" s="41">
        <f t="shared" si="54"/>
        <v>0</v>
      </c>
      <c r="AM82" s="41">
        <f t="shared" si="43"/>
        <v>0</v>
      </c>
      <c r="AN82" s="41" t="str">
        <f t="shared" si="44"/>
        <v/>
      </c>
      <c r="AO82" s="41">
        <f t="shared" si="61"/>
        <v>0</v>
      </c>
      <c r="AP82" s="45"/>
      <c r="AQ82" s="48"/>
      <c r="AR82" s="48"/>
      <c r="AS82" s="48"/>
      <c r="AT82" s="51">
        <f t="shared" si="55"/>
        <v>78</v>
      </c>
      <c r="AU82" s="49" t="str">
        <f t="shared" si="56"/>
        <v/>
      </c>
      <c r="AV82" s="49" t="str">
        <f t="shared" si="57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4.6111826410046904E-3</v>
      </c>
      <c r="C83">
        <f t="shared" si="31"/>
        <v>4.3345116825444091E-3</v>
      </c>
      <c r="D83" s="60"/>
      <c r="E83" s="5"/>
      <c r="F83" s="5"/>
      <c r="I83" s="51"/>
      <c r="J83" s="41"/>
      <c r="K83" s="41" t="str">
        <f t="shared" si="58"/>
        <v/>
      </c>
      <c r="L83" s="42" t="str">
        <f t="shared" si="59"/>
        <v/>
      </c>
      <c r="M83" s="41" t="str">
        <f t="shared" si="60"/>
        <v/>
      </c>
      <c r="N83" s="43">
        <f t="shared" si="32"/>
        <v>0</v>
      </c>
      <c r="O83" s="44">
        <f t="shared" si="33"/>
        <v>0</v>
      </c>
      <c r="P83" s="41" t="str">
        <f t="shared" si="34"/>
        <v/>
      </c>
      <c r="Q83" s="41" t="str">
        <f t="shared" si="35"/>
        <v/>
      </c>
      <c r="R83" s="45"/>
      <c r="S83" s="44" t="str">
        <f t="shared" si="46"/>
        <v/>
      </c>
      <c r="T83" s="52">
        <f t="shared" si="62"/>
        <v>0</v>
      </c>
      <c r="U83" s="53" t="str">
        <f t="shared" si="47"/>
        <v/>
      </c>
      <c r="V83" s="53" t="str">
        <f t="shared" si="48"/>
        <v/>
      </c>
      <c r="W83" s="53" t="str">
        <f t="shared" si="49"/>
        <v/>
      </c>
      <c r="X83" s="46" t="str">
        <f t="shared" si="36"/>
        <v/>
      </c>
      <c r="Y83" s="45"/>
      <c r="Z83" s="41" t="str">
        <f t="shared" si="50"/>
        <v/>
      </c>
      <c r="AA83" s="41" t="str">
        <f t="shared" si="51"/>
        <v/>
      </c>
      <c r="AB83" s="41" t="str">
        <f t="shared" si="37"/>
        <v/>
      </c>
      <c r="AC83" s="41" t="str">
        <f t="shared" si="38"/>
        <v/>
      </c>
      <c r="AD83" s="48"/>
      <c r="AE83" s="41" t="str">
        <f t="shared" si="39"/>
        <v/>
      </c>
      <c r="AF83" s="41"/>
      <c r="AG83" s="41" t="str">
        <f t="shared" si="40"/>
        <v/>
      </c>
      <c r="AH83" s="41" t="str">
        <f t="shared" si="52"/>
        <v/>
      </c>
      <c r="AI83" s="41" t="str">
        <f t="shared" si="53"/>
        <v/>
      </c>
      <c r="AJ83" s="41">
        <f t="shared" si="41"/>
        <v>0</v>
      </c>
      <c r="AK83" s="41" t="str">
        <f t="shared" si="42"/>
        <v/>
      </c>
      <c r="AL83" s="41">
        <f t="shared" si="54"/>
        <v>0</v>
      </c>
      <c r="AM83" s="41">
        <f t="shared" si="43"/>
        <v>0</v>
      </c>
      <c r="AN83" s="41" t="str">
        <f t="shared" si="44"/>
        <v/>
      </c>
      <c r="AO83" s="41">
        <f t="shared" si="61"/>
        <v>0</v>
      </c>
      <c r="AP83" s="45"/>
      <c r="AQ83" s="48"/>
      <c r="AR83" s="48"/>
      <c r="AS83" s="48"/>
      <c r="AT83" s="51">
        <f t="shared" si="55"/>
        <v>79</v>
      </c>
      <c r="AU83" s="49" t="str">
        <f t="shared" si="56"/>
        <v/>
      </c>
      <c r="AV83" s="49" t="str">
        <f t="shared" si="57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5.0640250805401603E-3</v>
      </c>
      <c r="C84">
        <f t="shared" si="31"/>
        <v>4.76018357570775E-3</v>
      </c>
      <c r="D84" s="60"/>
      <c r="E84" s="5"/>
      <c r="F84" s="5"/>
      <c r="I84" s="51"/>
      <c r="J84" s="41"/>
      <c r="K84" s="41" t="str">
        <f t="shared" si="58"/>
        <v/>
      </c>
      <c r="L84" s="42" t="str">
        <f t="shared" si="59"/>
        <v/>
      </c>
      <c r="M84" s="41" t="str">
        <f t="shared" si="60"/>
        <v/>
      </c>
      <c r="N84" s="43">
        <f t="shared" si="32"/>
        <v>0</v>
      </c>
      <c r="O84" s="44">
        <f t="shared" si="33"/>
        <v>0</v>
      </c>
      <c r="P84" s="41" t="str">
        <f t="shared" si="34"/>
        <v/>
      </c>
      <c r="Q84" s="41" t="str">
        <f t="shared" si="35"/>
        <v/>
      </c>
      <c r="R84" s="45"/>
      <c r="S84" s="44" t="str">
        <f t="shared" si="46"/>
        <v/>
      </c>
      <c r="T84" s="52">
        <f t="shared" si="62"/>
        <v>0</v>
      </c>
      <c r="U84" s="53" t="str">
        <f t="shared" si="47"/>
        <v/>
      </c>
      <c r="V84" s="53" t="str">
        <f t="shared" si="48"/>
        <v/>
      </c>
      <c r="W84" s="53" t="str">
        <f t="shared" si="49"/>
        <v/>
      </c>
      <c r="X84" s="46" t="str">
        <f t="shared" si="36"/>
        <v/>
      </c>
      <c r="Y84" s="45"/>
      <c r="Z84" s="41" t="str">
        <f t="shared" si="50"/>
        <v/>
      </c>
      <c r="AA84" s="41" t="str">
        <f t="shared" si="51"/>
        <v/>
      </c>
      <c r="AB84" s="41" t="str">
        <f t="shared" si="37"/>
        <v/>
      </c>
      <c r="AC84" s="41" t="str">
        <f t="shared" si="38"/>
        <v/>
      </c>
      <c r="AD84" s="48"/>
      <c r="AE84" s="41" t="str">
        <f t="shared" si="39"/>
        <v/>
      </c>
      <c r="AF84" s="41"/>
      <c r="AG84" s="41" t="str">
        <f t="shared" si="40"/>
        <v/>
      </c>
      <c r="AH84" s="41" t="str">
        <f t="shared" si="52"/>
        <v/>
      </c>
      <c r="AI84" s="41" t="str">
        <f t="shared" si="53"/>
        <v/>
      </c>
      <c r="AJ84" s="41">
        <f t="shared" si="41"/>
        <v>0</v>
      </c>
      <c r="AK84" s="41" t="str">
        <f t="shared" si="42"/>
        <v/>
      </c>
      <c r="AL84" s="41">
        <f t="shared" si="54"/>
        <v>0</v>
      </c>
      <c r="AM84" s="41">
        <f t="shared" si="43"/>
        <v>0</v>
      </c>
      <c r="AN84" s="41" t="str">
        <f t="shared" si="44"/>
        <v/>
      </c>
      <c r="AO84" s="41">
        <f t="shared" si="61"/>
        <v>0</v>
      </c>
      <c r="AP84" s="45"/>
      <c r="AQ84" s="48"/>
      <c r="AR84" s="48"/>
      <c r="AS84" s="48"/>
      <c r="AT84" s="51">
        <f t="shared" si="55"/>
        <v>80</v>
      </c>
      <c r="AU84" s="49" t="str">
        <f t="shared" si="56"/>
        <v/>
      </c>
      <c r="AV84" s="49" t="str">
        <f t="shared" si="57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5.6066013796265404E-3</v>
      </c>
      <c r="C85">
        <f t="shared" si="31"/>
        <v>5.2702052968489474E-3</v>
      </c>
      <c r="D85" s="60"/>
      <c r="E85" s="5"/>
      <c r="F85" s="5"/>
      <c r="I85" s="51"/>
      <c r="J85" s="41"/>
      <c r="K85" s="41" t="str">
        <f t="shared" si="58"/>
        <v/>
      </c>
      <c r="L85" s="42" t="str">
        <f t="shared" si="59"/>
        <v/>
      </c>
      <c r="M85" s="41" t="str">
        <f t="shared" si="60"/>
        <v/>
      </c>
      <c r="N85" s="43">
        <f t="shared" si="32"/>
        <v>0</v>
      </c>
      <c r="O85" s="44">
        <f t="shared" si="33"/>
        <v>0</v>
      </c>
      <c r="P85" s="41" t="str">
        <f t="shared" si="34"/>
        <v/>
      </c>
      <c r="Q85" s="41" t="str">
        <f t="shared" si="35"/>
        <v/>
      </c>
      <c r="R85" s="45"/>
      <c r="S85" s="44" t="str">
        <f t="shared" si="46"/>
        <v/>
      </c>
      <c r="T85" s="52">
        <f t="shared" si="62"/>
        <v>0</v>
      </c>
      <c r="U85" s="53" t="str">
        <f t="shared" si="47"/>
        <v/>
      </c>
      <c r="V85" s="53" t="str">
        <f t="shared" si="48"/>
        <v/>
      </c>
      <c r="W85" s="53" t="str">
        <f t="shared" si="49"/>
        <v/>
      </c>
      <c r="X85" s="46" t="str">
        <f t="shared" si="36"/>
        <v/>
      </c>
      <c r="Y85" s="45"/>
      <c r="Z85" s="41" t="str">
        <f t="shared" si="50"/>
        <v/>
      </c>
      <c r="AA85" s="41" t="str">
        <f t="shared" si="51"/>
        <v/>
      </c>
      <c r="AB85" s="41" t="str">
        <f t="shared" si="37"/>
        <v/>
      </c>
      <c r="AC85" s="41" t="str">
        <f t="shared" si="38"/>
        <v/>
      </c>
      <c r="AD85" s="48"/>
      <c r="AE85" s="41" t="str">
        <f t="shared" si="39"/>
        <v/>
      </c>
      <c r="AF85" s="41"/>
      <c r="AG85" s="41" t="str">
        <f t="shared" si="40"/>
        <v/>
      </c>
      <c r="AH85" s="41" t="str">
        <f t="shared" si="52"/>
        <v/>
      </c>
      <c r="AI85" s="41" t="str">
        <f t="shared" si="53"/>
        <v/>
      </c>
      <c r="AJ85" s="41">
        <f t="shared" si="41"/>
        <v>0</v>
      </c>
      <c r="AK85" s="41" t="str">
        <f t="shared" si="42"/>
        <v/>
      </c>
      <c r="AL85" s="41">
        <f t="shared" si="54"/>
        <v>0</v>
      </c>
      <c r="AM85" s="41">
        <f t="shared" si="43"/>
        <v>0</v>
      </c>
      <c r="AN85" s="41" t="str">
        <f t="shared" si="44"/>
        <v/>
      </c>
      <c r="AO85" s="41">
        <f t="shared" si="61"/>
        <v>0</v>
      </c>
      <c r="AP85" s="45"/>
      <c r="AQ85" s="48"/>
      <c r="AR85" s="48"/>
      <c r="AS85" s="48"/>
      <c r="AT85" s="51">
        <f t="shared" si="55"/>
        <v>81</v>
      </c>
      <c r="AU85" s="49" t="str">
        <f t="shared" si="56"/>
        <v/>
      </c>
      <c r="AV85" s="49" t="str">
        <f t="shared" si="57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6.1851828668624299E-3</v>
      </c>
      <c r="C86">
        <f t="shared" si="31"/>
        <v>5.8140718948506837E-3</v>
      </c>
      <c r="D86" s="60"/>
      <c r="E86" s="5"/>
      <c r="F86" s="5"/>
      <c r="I86" s="51"/>
      <c r="J86" s="41"/>
      <c r="K86" s="41" t="str">
        <f t="shared" si="58"/>
        <v/>
      </c>
      <c r="L86" s="42" t="str">
        <f t="shared" si="59"/>
        <v/>
      </c>
      <c r="M86" s="41" t="str">
        <f t="shared" si="60"/>
        <v/>
      </c>
      <c r="N86" s="43">
        <f t="shared" si="32"/>
        <v>0</v>
      </c>
      <c r="O86" s="44">
        <f t="shared" si="33"/>
        <v>0</v>
      </c>
      <c r="P86" s="41" t="str">
        <f t="shared" si="34"/>
        <v/>
      </c>
      <c r="Q86" s="41" t="str">
        <f t="shared" si="35"/>
        <v/>
      </c>
      <c r="R86" s="45"/>
      <c r="S86" s="44" t="str">
        <f t="shared" si="46"/>
        <v/>
      </c>
      <c r="T86" s="52">
        <f t="shared" si="62"/>
        <v>0</v>
      </c>
      <c r="U86" s="53" t="str">
        <f t="shared" si="47"/>
        <v/>
      </c>
      <c r="V86" s="53" t="str">
        <f t="shared" si="48"/>
        <v/>
      </c>
      <c r="W86" s="53" t="str">
        <f t="shared" si="49"/>
        <v/>
      </c>
      <c r="X86" s="46" t="str">
        <f t="shared" si="36"/>
        <v/>
      </c>
      <c r="Y86" s="45"/>
      <c r="Z86" s="41" t="str">
        <f t="shared" si="50"/>
        <v/>
      </c>
      <c r="AA86" s="41" t="str">
        <f t="shared" si="51"/>
        <v/>
      </c>
      <c r="AB86" s="41" t="str">
        <f t="shared" si="37"/>
        <v/>
      </c>
      <c r="AC86" s="41" t="str">
        <f t="shared" si="38"/>
        <v/>
      </c>
      <c r="AD86" s="45"/>
      <c r="AE86" s="41" t="str">
        <f t="shared" si="39"/>
        <v/>
      </c>
      <c r="AF86" s="41"/>
      <c r="AG86" s="41" t="str">
        <f t="shared" si="40"/>
        <v/>
      </c>
      <c r="AH86" s="41" t="str">
        <f t="shared" si="52"/>
        <v/>
      </c>
      <c r="AI86" s="41" t="str">
        <f t="shared" si="53"/>
        <v/>
      </c>
      <c r="AJ86" s="41">
        <f t="shared" si="41"/>
        <v>0</v>
      </c>
      <c r="AK86" s="41" t="str">
        <f t="shared" si="42"/>
        <v/>
      </c>
      <c r="AL86" s="41">
        <f t="shared" si="54"/>
        <v>0</v>
      </c>
      <c r="AM86" s="41">
        <f t="shared" si="43"/>
        <v>0</v>
      </c>
      <c r="AN86" s="41" t="str">
        <f t="shared" si="44"/>
        <v/>
      </c>
      <c r="AO86" s="41">
        <f t="shared" si="61"/>
        <v>0</v>
      </c>
      <c r="AP86" s="45"/>
      <c r="AQ86" s="48"/>
      <c r="AR86" s="48"/>
      <c r="AS86" s="48"/>
      <c r="AT86" s="51">
        <f t="shared" si="55"/>
        <v>82</v>
      </c>
      <c r="AU86" s="49" t="str">
        <f t="shared" si="56"/>
        <v/>
      </c>
      <c r="AV86" s="49" t="str">
        <f t="shared" si="57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6.76087552434368E-3</v>
      </c>
      <c r="C87">
        <f t="shared" si="31"/>
        <v>6.3552229928830585E-3</v>
      </c>
      <c r="D87" s="60"/>
      <c r="E87" s="5"/>
      <c r="F87" s="5"/>
      <c r="I87" s="51"/>
      <c r="J87" s="41"/>
      <c r="K87" s="41" t="str">
        <f t="shared" si="58"/>
        <v/>
      </c>
      <c r="L87" s="42" t="str">
        <f t="shared" si="59"/>
        <v/>
      </c>
      <c r="M87" s="41" t="str">
        <f t="shared" si="60"/>
        <v/>
      </c>
      <c r="N87" s="43">
        <f t="shared" si="32"/>
        <v>0</v>
      </c>
      <c r="O87" s="44">
        <f t="shared" si="33"/>
        <v>0</v>
      </c>
      <c r="P87" s="41" t="str">
        <f t="shared" si="34"/>
        <v/>
      </c>
      <c r="Q87" s="41" t="str">
        <f t="shared" si="35"/>
        <v/>
      </c>
      <c r="R87" s="45"/>
      <c r="S87" s="44" t="str">
        <f t="shared" si="46"/>
        <v/>
      </c>
      <c r="T87" s="52">
        <f t="shared" si="62"/>
        <v>0</v>
      </c>
      <c r="U87" s="53" t="str">
        <f t="shared" si="47"/>
        <v/>
      </c>
      <c r="V87" s="53" t="str">
        <f t="shared" si="48"/>
        <v/>
      </c>
      <c r="W87" s="53" t="str">
        <f t="shared" si="49"/>
        <v/>
      </c>
      <c r="X87" s="46" t="str">
        <f t="shared" si="36"/>
        <v/>
      </c>
      <c r="Y87" s="45"/>
      <c r="Z87" s="41" t="str">
        <f t="shared" si="50"/>
        <v/>
      </c>
      <c r="AA87" s="41" t="str">
        <f t="shared" si="51"/>
        <v/>
      </c>
      <c r="AB87" s="41" t="str">
        <f t="shared" si="37"/>
        <v/>
      </c>
      <c r="AC87" s="41" t="str">
        <f t="shared" si="38"/>
        <v/>
      </c>
      <c r="AD87" s="45"/>
      <c r="AE87" s="41" t="str">
        <f t="shared" si="39"/>
        <v/>
      </c>
      <c r="AF87" s="41"/>
      <c r="AG87" s="41" t="str">
        <f t="shared" si="40"/>
        <v/>
      </c>
      <c r="AH87" s="41" t="str">
        <f t="shared" si="52"/>
        <v/>
      </c>
      <c r="AI87" s="41" t="str">
        <f t="shared" si="53"/>
        <v/>
      </c>
      <c r="AJ87" s="41">
        <f t="shared" si="41"/>
        <v>0</v>
      </c>
      <c r="AK87" s="41" t="str">
        <f t="shared" si="42"/>
        <v/>
      </c>
      <c r="AL87" s="41">
        <f t="shared" si="54"/>
        <v>0</v>
      </c>
      <c r="AM87" s="41">
        <f t="shared" si="43"/>
        <v>0</v>
      </c>
      <c r="AN87" s="41" t="str">
        <f t="shared" si="44"/>
        <v/>
      </c>
      <c r="AO87" s="41">
        <f t="shared" si="61"/>
        <v>0</v>
      </c>
      <c r="AP87" s="45"/>
      <c r="AQ87" s="48"/>
      <c r="AR87" s="48"/>
      <c r="AS87" s="48"/>
      <c r="AT87" s="51">
        <f t="shared" si="55"/>
        <v>83</v>
      </c>
      <c r="AU87" s="49" t="str">
        <f t="shared" si="56"/>
        <v/>
      </c>
      <c r="AV87" s="49" t="str">
        <f t="shared" si="57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7.3949416018176404E-3</v>
      </c>
      <c r="C88">
        <f t="shared" si="31"/>
        <v>6.9512451057085816E-3</v>
      </c>
      <c r="D88" s="60"/>
      <c r="E88" s="5"/>
      <c r="F88" s="5"/>
      <c r="I88" s="51"/>
      <c r="J88" s="41"/>
      <c r="K88" s="41" t="str">
        <f t="shared" si="58"/>
        <v/>
      </c>
      <c r="L88" s="42" t="str">
        <f t="shared" si="59"/>
        <v/>
      </c>
      <c r="M88" s="41" t="str">
        <f t="shared" si="60"/>
        <v/>
      </c>
      <c r="N88" s="43">
        <f t="shared" si="32"/>
        <v>0</v>
      </c>
      <c r="O88" s="44">
        <f t="shared" si="33"/>
        <v>0</v>
      </c>
      <c r="P88" s="41" t="str">
        <f t="shared" si="34"/>
        <v/>
      </c>
      <c r="Q88" s="41" t="str">
        <f t="shared" si="35"/>
        <v/>
      </c>
      <c r="R88" s="45"/>
      <c r="S88" s="44" t="str">
        <f t="shared" si="46"/>
        <v/>
      </c>
      <c r="T88" s="52">
        <f t="shared" si="62"/>
        <v>0</v>
      </c>
      <c r="U88" s="53" t="str">
        <f t="shared" si="47"/>
        <v/>
      </c>
      <c r="V88" s="53" t="str">
        <f t="shared" si="48"/>
        <v/>
      </c>
      <c r="W88" s="53" t="str">
        <f t="shared" si="49"/>
        <v/>
      </c>
      <c r="X88" s="46" t="str">
        <f t="shared" si="36"/>
        <v/>
      </c>
      <c r="Y88" s="45"/>
      <c r="Z88" s="41" t="str">
        <f t="shared" si="50"/>
        <v/>
      </c>
      <c r="AA88" s="41" t="str">
        <f t="shared" si="51"/>
        <v/>
      </c>
      <c r="AB88" s="41" t="str">
        <f t="shared" si="37"/>
        <v/>
      </c>
      <c r="AC88" s="41" t="str">
        <f t="shared" si="38"/>
        <v/>
      </c>
      <c r="AD88" s="45"/>
      <c r="AE88" s="41" t="str">
        <f t="shared" si="39"/>
        <v/>
      </c>
      <c r="AF88" s="41"/>
      <c r="AG88" s="41" t="str">
        <f t="shared" si="40"/>
        <v/>
      </c>
      <c r="AH88" s="41" t="str">
        <f t="shared" si="52"/>
        <v/>
      </c>
      <c r="AI88" s="41" t="str">
        <f t="shared" si="53"/>
        <v/>
      </c>
      <c r="AJ88" s="41">
        <f t="shared" si="41"/>
        <v>0</v>
      </c>
      <c r="AK88" s="41" t="str">
        <f t="shared" si="42"/>
        <v/>
      </c>
      <c r="AL88" s="41">
        <f t="shared" si="54"/>
        <v>0</v>
      </c>
      <c r="AM88" s="41">
        <f t="shared" si="43"/>
        <v>0</v>
      </c>
      <c r="AN88" s="41" t="str">
        <f t="shared" si="44"/>
        <v/>
      </c>
      <c r="AO88" s="41">
        <f t="shared" si="61"/>
        <v>0</v>
      </c>
      <c r="AP88" s="45"/>
      <c r="AQ88" s="48"/>
      <c r="AR88" s="48"/>
      <c r="AS88" s="48"/>
      <c r="AT88" s="51">
        <f t="shared" si="55"/>
        <v>84</v>
      </c>
      <c r="AU88" s="49" t="str">
        <f t="shared" si="56"/>
        <v/>
      </c>
      <c r="AV88" s="49" t="str">
        <f t="shared" si="57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8.0696894943389497E-3</v>
      </c>
      <c r="C89">
        <f t="shared" si="31"/>
        <v>7.5855081246786124E-3</v>
      </c>
      <c r="D89" s="60"/>
      <c r="E89" s="5"/>
      <c r="F89" s="5"/>
      <c r="I89" s="51"/>
      <c r="J89" s="41"/>
      <c r="K89" s="41" t="str">
        <f t="shared" si="58"/>
        <v/>
      </c>
      <c r="L89" s="42" t="str">
        <f t="shared" si="59"/>
        <v/>
      </c>
      <c r="M89" s="41" t="str">
        <f t="shared" si="60"/>
        <v/>
      </c>
      <c r="N89" s="43">
        <f t="shared" si="32"/>
        <v>0</v>
      </c>
      <c r="O89" s="44">
        <f t="shared" si="33"/>
        <v>0</v>
      </c>
      <c r="P89" s="41" t="str">
        <f t="shared" si="34"/>
        <v/>
      </c>
      <c r="Q89" s="41" t="str">
        <f t="shared" si="35"/>
        <v/>
      </c>
      <c r="R89" s="45"/>
      <c r="S89" s="44" t="str">
        <f t="shared" si="46"/>
        <v/>
      </c>
      <c r="T89" s="52">
        <f t="shared" si="62"/>
        <v>0</v>
      </c>
      <c r="U89" s="53" t="str">
        <f t="shared" si="47"/>
        <v/>
      </c>
      <c r="V89" s="53" t="str">
        <f t="shared" si="48"/>
        <v/>
      </c>
      <c r="W89" s="53" t="str">
        <f t="shared" si="49"/>
        <v/>
      </c>
      <c r="X89" s="46" t="str">
        <f t="shared" si="36"/>
        <v/>
      </c>
      <c r="Y89" s="45"/>
      <c r="Z89" s="41" t="str">
        <f t="shared" si="50"/>
        <v/>
      </c>
      <c r="AA89" s="41" t="str">
        <f t="shared" si="51"/>
        <v/>
      </c>
      <c r="AB89" s="41" t="str">
        <f t="shared" si="37"/>
        <v/>
      </c>
      <c r="AC89" s="41" t="str">
        <f t="shared" si="38"/>
        <v/>
      </c>
      <c r="AD89" s="45"/>
      <c r="AE89" s="41" t="str">
        <f t="shared" si="39"/>
        <v/>
      </c>
      <c r="AF89" s="41"/>
      <c r="AG89" s="41" t="str">
        <f t="shared" si="40"/>
        <v/>
      </c>
      <c r="AH89" s="41" t="str">
        <f t="shared" si="52"/>
        <v/>
      </c>
      <c r="AI89" s="41" t="str">
        <f t="shared" si="53"/>
        <v/>
      </c>
      <c r="AJ89" s="41">
        <f t="shared" si="41"/>
        <v>0</v>
      </c>
      <c r="AK89" s="41" t="str">
        <f t="shared" si="42"/>
        <v/>
      </c>
      <c r="AL89" s="41">
        <f t="shared" si="54"/>
        <v>0</v>
      </c>
      <c r="AM89" s="41">
        <f t="shared" si="43"/>
        <v>0</v>
      </c>
      <c r="AN89" s="41" t="str">
        <f t="shared" si="44"/>
        <v/>
      </c>
      <c r="AO89" s="41">
        <f t="shared" si="61"/>
        <v>0</v>
      </c>
      <c r="AP89" s="45"/>
      <c r="AQ89" s="48"/>
      <c r="AR89" s="48"/>
      <c r="AS89" s="48"/>
      <c r="AT89" s="51">
        <f t="shared" si="55"/>
        <v>85</v>
      </c>
      <c r="AU89" s="49" t="str">
        <f t="shared" si="56"/>
        <v/>
      </c>
      <c r="AV89" s="49" t="str">
        <f t="shared" si="57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9.1815528447021198E-3</v>
      </c>
      <c r="C90">
        <f t="shared" si="31"/>
        <v>8.6306596740199915E-3</v>
      </c>
      <c r="D90" s="60"/>
      <c r="E90" s="5"/>
      <c r="F90" s="5"/>
      <c r="I90" s="51"/>
      <c r="J90" s="41"/>
      <c r="K90" s="41" t="str">
        <f t="shared" si="58"/>
        <v/>
      </c>
      <c r="L90" s="42" t="str">
        <f t="shared" si="59"/>
        <v/>
      </c>
      <c r="M90" s="41" t="str">
        <f t="shared" si="60"/>
        <v/>
      </c>
      <c r="N90" s="43">
        <f t="shared" si="32"/>
        <v>0</v>
      </c>
      <c r="O90" s="44">
        <f t="shared" si="33"/>
        <v>0</v>
      </c>
      <c r="P90" s="41" t="str">
        <f t="shared" si="34"/>
        <v/>
      </c>
      <c r="Q90" s="41" t="str">
        <f t="shared" si="35"/>
        <v/>
      </c>
      <c r="R90" s="45"/>
      <c r="S90" s="44" t="str">
        <f t="shared" si="46"/>
        <v/>
      </c>
      <c r="T90" s="52">
        <f t="shared" si="62"/>
        <v>0</v>
      </c>
      <c r="U90" s="53" t="str">
        <f t="shared" si="47"/>
        <v/>
      </c>
      <c r="V90" s="53" t="str">
        <f t="shared" si="48"/>
        <v/>
      </c>
      <c r="W90" s="53" t="str">
        <f t="shared" si="49"/>
        <v/>
      </c>
      <c r="X90" s="46" t="str">
        <f t="shared" si="36"/>
        <v/>
      </c>
      <c r="Y90" s="45"/>
      <c r="Z90" s="41" t="str">
        <f t="shared" si="50"/>
        <v/>
      </c>
      <c r="AA90" s="41" t="str">
        <f t="shared" si="51"/>
        <v/>
      </c>
      <c r="AB90" s="41" t="str">
        <f t="shared" si="37"/>
        <v/>
      </c>
      <c r="AC90" s="41" t="str">
        <f t="shared" si="38"/>
        <v/>
      </c>
      <c r="AD90" s="45"/>
      <c r="AE90" s="41" t="str">
        <f t="shared" si="39"/>
        <v/>
      </c>
      <c r="AF90" s="41"/>
      <c r="AG90" s="41" t="str">
        <f t="shared" si="40"/>
        <v/>
      </c>
      <c r="AH90" s="41" t="str">
        <f t="shared" si="52"/>
        <v/>
      </c>
      <c r="AI90" s="41" t="str">
        <f t="shared" si="53"/>
        <v/>
      </c>
      <c r="AJ90" s="41">
        <f t="shared" si="41"/>
        <v>0</v>
      </c>
      <c r="AK90" s="41" t="str">
        <f t="shared" si="42"/>
        <v/>
      </c>
      <c r="AL90" s="41">
        <f t="shared" si="54"/>
        <v>0</v>
      </c>
      <c r="AM90" s="41">
        <f t="shared" si="43"/>
        <v>0</v>
      </c>
      <c r="AN90" s="41" t="str">
        <f t="shared" si="44"/>
        <v/>
      </c>
      <c r="AO90" s="41">
        <f t="shared" si="61"/>
        <v>0</v>
      </c>
      <c r="AP90" s="45"/>
      <c r="AQ90" s="48"/>
      <c r="AR90" s="48"/>
      <c r="AS90" s="48"/>
      <c r="AT90" s="51">
        <f t="shared" si="55"/>
        <v>86</v>
      </c>
      <c r="AU90" s="49" t="str">
        <f t="shared" si="56"/>
        <v/>
      </c>
      <c r="AV90" s="49" t="str">
        <f t="shared" si="57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1.1644701667791701E-2</v>
      </c>
      <c r="C91">
        <f t="shared" ref="C91:C144" si="63">B91*(1-$F$16)</f>
        <v>1.0946019567724199E-2</v>
      </c>
      <c r="D91" s="60"/>
      <c r="E91" s="5"/>
      <c r="F91" s="5"/>
      <c r="I91" s="51"/>
      <c r="J91" s="41"/>
      <c r="K91" s="41" t="str">
        <f t="shared" si="58"/>
        <v/>
      </c>
      <c r="L91" s="42" t="str">
        <f t="shared" si="59"/>
        <v/>
      </c>
      <c r="M91" s="41" t="str">
        <f t="shared" si="60"/>
        <v/>
      </c>
      <c r="N91" s="43">
        <f t="shared" si="32"/>
        <v>0</v>
      </c>
      <c r="O91" s="44">
        <f t="shared" si="33"/>
        <v>0</v>
      </c>
      <c r="P91" s="41" t="str">
        <f t="shared" si="34"/>
        <v/>
      </c>
      <c r="Q91" s="41" t="str">
        <f t="shared" si="35"/>
        <v/>
      </c>
      <c r="R91" s="45"/>
      <c r="S91" s="44" t="str">
        <f t="shared" si="46"/>
        <v/>
      </c>
      <c r="T91" s="52">
        <f t="shared" si="62"/>
        <v>0</v>
      </c>
      <c r="U91" s="53" t="str">
        <f t="shared" si="47"/>
        <v/>
      </c>
      <c r="V91" s="53" t="str">
        <f t="shared" si="48"/>
        <v/>
      </c>
      <c r="W91" s="53" t="str">
        <f t="shared" si="49"/>
        <v/>
      </c>
      <c r="X91" s="46" t="str">
        <f t="shared" si="36"/>
        <v/>
      </c>
      <c r="Y91" s="45"/>
      <c r="Z91" s="41" t="str">
        <f t="shared" si="50"/>
        <v/>
      </c>
      <c r="AA91" s="41" t="str">
        <f t="shared" si="51"/>
        <v/>
      </c>
      <c r="AB91" s="41" t="str">
        <f t="shared" si="37"/>
        <v/>
      </c>
      <c r="AC91" s="41" t="str">
        <f t="shared" si="38"/>
        <v/>
      </c>
      <c r="AD91" s="45"/>
      <c r="AE91" s="41" t="str">
        <f t="shared" si="39"/>
        <v/>
      </c>
      <c r="AF91" s="41"/>
      <c r="AG91" s="41" t="str">
        <f t="shared" si="40"/>
        <v/>
      </c>
      <c r="AH91" s="41" t="str">
        <f t="shared" si="52"/>
        <v/>
      </c>
      <c r="AI91" s="41" t="str">
        <f t="shared" si="53"/>
        <v/>
      </c>
      <c r="AJ91" s="41">
        <f t="shared" si="41"/>
        <v>0</v>
      </c>
      <c r="AK91" s="41" t="str">
        <f t="shared" si="42"/>
        <v/>
      </c>
      <c r="AL91" s="41">
        <f t="shared" si="54"/>
        <v>0</v>
      </c>
      <c r="AM91" s="41">
        <f t="shared" si="43"/>
        <v>0</v>
      </c>
      <c r="AN91" s="41" t="str">
        <f t="shared" si="44"/>
        <v/>
      </c>
      <c r="AO91" s="41">
        <f t="shared" si="61"/>
        <v>0</v>
      </c>
      <c r="AP91" s="45"/>
      <c r="AQ91" s="48"/>
      <c r="AR91" s="48"/>
      <c r="AS91" s="48"/>
      <c r="AT91" s="51">
        <f t="shared" si="55"/>
        <v>87</v>
      </c>
      <c r="AU91" s="49" t="str">
        <f t="shared" si="56"/>
        <v/>
      </c>
      <c r="AV91" s="49" t="str">
        <f t="shared" si="57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1.27568609079478E-2</v>
      </c>
      <c r="C92">
        <f t="shared" si="63"/>
        <v>1.1991449253470931E-2</v>
      </c>
      <c r="D92" s="60"/>
      <c r="E92" s="5"/>
      <c r="F92" s="5"/>
      <c r="I92" s="51"/>
      <c r="J92" s="41"/>
      <c r="K92" s="41" t="str">
        <f t="shared" si="58"/>
        <v/>
      </c>
      <c r="L92" s="42" t="str">
        <f t="shared" si="59"/>
        <v/>
      </c>
      <c r="M92" s="41" t="str">
        <f t="shared" si="60"/>
        <v/>
      </c>
      <c r="N92" s="43">
        <f t="shared" si="32"/>
        <v>0</v>
      </c>
      <c r="O92" s="44">
        <f t="shared" si="33"/>
        <v>0</v>
      </c>
      <c r="P92" s="41" t="str">
        <f t="shared" si="34"/>
        <v/>
      </c>
      <c r="Q92" s="41" t="str">
        <f t="shared" si="35"/>
        <v/>
      </c>
      <c r="R92" s="45"/>
      <c r="S92" s="44" t="str">
        <f t="shared" si="46"/>
        <v/>
      </c>
      <c r="T92" s="52">
        <f t="shared" si="62"/>
        <v>0</v>
      </c>
      <c r="U92" s="53" t="str">
        <f t="shared" si="47"/>
        <v/>
      </c>
      <c r="V92" s="53" t="str">
        <f t="shared" si="48"/>
        <v/>
      </c>
      <c r="W92" s="53" t="str">
        <f t="shared" si="49"/>
        <v/>
      </c>
      <c r="X92" s="46" t="str">
        <f t="shared" si="36"/>
        <v/>
      </c>
      <c r="Y92" s="45"/>
      <c r="Z92" s="41" t="str">
        <f t="shared" si="50"/>
        <v/>
      </c>
      <c r="AA92" s="41" t="str">
        <f t="shared" si="51"/>
        <v/>
      </c>
      <c r="AB92" s="41" t="str">
        <f t="shared" si="37"/>
        <v/>
      </c>
      <c r="AC92" s="41" t="str">
        <f t="shared" si="38"/>
        <v/>
      </c>
      <c r="AD92" s="45"/>
      <c r="AE92" s="41" t="str">
        <f t="shared" si="39"/>
        <v/>
      </c>
      <c r="AF92" s="41"/>
      <c r="AG92" s="41" t="str">
        <f t="shared" si="40"/>
        <v/>
      </c>
      <c r="AH92" s="41" t="str">
        <f t="shared" si="52"/>
        <v/>
      </c>
      <c r="AI92" s="41" t="str">
        <f t="shared" si="53"/>
        <v/>
      </c>
      <c r="AJ92" s="41">
        <f t="shared" si="41"/>
        <v>0</v>
      </c>
      <c r="AK92" s="41" t="str">
        <f t="shared" si="42"/>
        <v/>
      </c>
      <c r="AL92" s="41">
        <f t="shared" si="54"/>
        <v>0</v>
      </c>
      <c r="AM92" s="41">
        <f t="shared" si="43"/>
        <v>0</v>
      </c>
      <c r="AN92" s="41" t="str">
        <f t="shared" si="44"/>
        <v/>
      </c>
      <c r="AO92" s="41">
        <f t="shared" si="61"/>
        <v>0</v>
      </c>
      <c r="AP92" s="45"/>
      <c r="AQ92" s="48"/>
      <c r="AR92" s="48"/>
      <c r="AS92" s="48"/>
      <c r="AT92" s="51">
        <f t="shared" si="55"/>
        <v>88</v>
      </c>
      <c r="AU92" s="49" t="str">
        <f t="shared" si="56"/>
        <v/>
      </c>
      <c r="AV92" s="49" t="str">
        <f t="shared" si="57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1.39399922860715E-2</v>
      </c>
      <c r="C93">
        <f t="shared" si="63"/>
        <v>1.310359274890721E-2</v>
      </c>
      <c r="D93" s="60"/>
      <c r="E93" s="5"/>
      <c r="F93" s="5"/>
      <c r="I93" s="51"/>
      <c r="J93" s="41"/>
      <c r="K93" s="41" t="str">
        <f t="shared" si="58"/>
        <v/>
      </c>
      <c r="L93" s="42" t="str">
        <f t="shared" si="59"/>
        <v/>
      </c>
      <c r="M93" s="41" t="str">
        <f t="shared" si="60"/>
        <v/>
      </c>
      <c r="N93" s="43">
        <f t="shared" si="32"/>
        <v>0</v>
      </c>
      <c r="O93" s="44">
        <f t="shared" si="33"/>
        <v>0</v>
      </c>
      <c r="P93" s="41" t="str">
        <f t="shared" si="34"/>
        <v/>
      </c>
      <c r="Q93" s="41" t="str">
        <f t="shared" si="35"/>
        <v/>
      </c>
      <c r="R93" s="45"/>
      <c r="S93" s="44" t="str">
        <f t="shared" si="46"/>
        <v/>
      </c>
      <c r="T93" s="52">
        <f t="shared" si="62"/>
        <v>0</v>
      </c>
      <c r="U93" s="53" t="str">
        <f t="shared" si="47"/>
        <v/>
      </c>
      <c r="V93" s="53" t="str">
        <f t="shared" si="48"/>
        <v/>
      </c>
      <c r="W93" s="53" t="str">
        <f t="shared" si="49"/>
        <v/>
      </c>
      <c r="X93" s="46" t="str">
        <f t="shared" si="36"/>
        <v/>
      </c>
      <c r="Y93" s="45"/>
      <c r="Z93" s="41" t="str">
        <f t="shared" si="50"/>
        <v/>
      </c>
      <c r="AA93" s="41" t="str">
        <f t="shared" si="51"/>
        <v/>
      </c>
      <c r="AB93" s="41" t="str">
        <f t="shared" si="37"/>
        <v/>
      </c>
      <c r="AC93" s="41" t="str">
        <f t="shared" si="38"/>
        <v/>
      </c>
      <c r="AD93" s="45"/>
      <c r="AE93" s="41" t="str">
        <f t="shared" si="39"/>
        <v/>
      </c>
      <c r="AF93" s="41"/>
      <c r="AG93" s="41" t="str">
        <f t="shared" si="40"/>
        <v/>
      </c>
      <c r="AH93" s="41" t="str">
        <f t="shared" si="52"/>
        <v/>
      </c>
      <c r="AI93" s="41" t="str">
        <f t="shared" si="53"/>
        <v/>
      </c>
      <c r="AJ93" s="41">
        <f t="shared" si="41"/>
        <v>0</v>
      </c>
      <c r="AK93" s="41" t="str">
        <f t="shared" si="42"/>
        <v/>
      </c>
      <c r="AL93" s="41">
        <f t="shared" si="54"/>
        <v>0</v>
      </c>
      <c r="AM93" s="41">
        <f t="shared" si="43"/>
        <v>0</v>
      </c>
      <c r="AN93" s="41" t="str">
        <f t="shared" si="44"/>
        <v/>
      </c>
      <c r="AO93" s="41">
        <f t="shared" si="61"/>
        <v>0</v>
      </c>
      <c r="AP93" s="45"/>
      <c r="AQ93" s="48"/>
      <c r="AR93" s="48"/>
      <c r="AS93" s="48"/>
      <c r="AT93" s="51">
        <f t="shared" si="55"/>
        <v>89</v>
      </c>
      <c r="AU93" s="49" t="str">
        <f t="shared" si="56"/>
        <v/>
      </c>
      <c r="AV93" s="49" t="str">
        <f t="shared" si="57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1.52718300964033E-2</v>
      </c>
      <c r="C94">
        <f t="shared" si="63"/>
        <v>1.4355520290619102E-2</v>
      </c>
      <c r="D94" s="60"/>
      <c r="E94" s="5"/>
      <c r="F94" s="5"/>
      <c r="I94" s="40"/>
      <c r="J94" s="41"/>
      <c r="K94" s="41" t="str">
        <f t="shared" si="58"/>
        <v/>
      </c>
      <c r="L94" s="42" t="str">
        <f t="shared" si="59"/>
        <v/>
      </c>
      <c r="M94" s="41" t="str">
        <f t="shared" si="60"/>
        <v/>
      </c>
      <c r="N94" s="43">
        <f t="shared" si="32"/>
        <v>0</v>
      </c>
      <c r="O94" s="44">
        <f>AW94</f>
        <v>0</v>
      </c>
      <c r="P94" s="41" t="str">
        <f t="shared" si="34"/>
        <v/>
      </c>
      <c r="Q94" s="41" t="str">
        <f t="shared" si="35"/>
        <v/>
      </c>
      <c r="R94" s="48"/>
      <c r="S94" s="44" t="str">
        <f t="shared" si="46"/>
        <v/>
      </c>
      <c r="T94" s="52">
        <f t="shared" si="62"/>
        <v>0</v>
      </c>
      <c r="U94" s="53" t="str">
        <f t="shared" si="47"/>
        <v/>
      </c>
      <c r="V94" s="53" t="str">
        <f t="shared" si="48"/>
        <v/>
      </c>
      <c r="W94" s="53" t="str">
        <f t="shared" si="49"/>
        <v/>
      </c>
      <c r="X94" s="46" t="str">
        <f t="shared" si="36"/>
        <v/>
      </c>
      <c r="Y94" s="48"/>
      <c r="Z94" s="41" t="str">
        <f t="shared" si="50"/>
        <v/>
      </c>
      <c r="AA94" s="41" t="str">
        <f t="shared" si="51"/>
        <v/>
      </c>
      <c r="AB94" s="41" t="str">
        <f t="shared" si="37"/>
        <v/>
      </c>
      <c r="AC94" s="41" t="str">
        <f t="shared" si="38"/>
        <v/>
      </c>
      <c r="AD94" s="48"/>
      <c r="AE94" s="41" t="str">
        <f t="shared" si="39"/>
        <v/>
      </c>
      <c r="AF94" s="41"/>
      <c r="AG94" s="41" t="str">
        <f t="shared" si="40"/>
        <v/>
      </c>
      <c r="AH94" s="41" t="str">
        <f t="shared" si="52"/>
        <v/>
      </c>
      <c r="AI94" s="41" t="str">
        <f t="shared" si="53"/>
        <v/>
      </c>
      <c r="AJ94" s="41">
        <f t="shared" si="41"/>
        <v>0</v>
      </c>
      <c r="AK94" s="41" t="str">
        <f t="shared" si="42"/>
        <v/>
      </c>
      <c r="AL94" s="41">
        <f t="shared" si="54"/>
        <v>0</v>
      </c>
      <c r="AM94" s="41">
        <f t="shared" si="43"/>
        <v>0</v>
      </c>
      <c r="AN94" s="41" t="str">
        <f t="shared" si="44"/>
        <v/>
      </c>
      <c r="AO94" s="41">
        <f t="shared" si="61"/>
        <v>0</v>
      </c>
      <c r="AP94" s="48"/>
      <c r="AQ94" s="48"/>
      <c r="AR94" s="48"/>
      <c r="AS94" s="48"/>
      <c r="AT94" s="51">
        <f t="shared" si="55"/>
        <v>90</v>
      </c>
      <c r="AU94" s="49" t="str">
        <f t="shared" si="56"/>
        <v/>
      </c>
      <c r="AV94" s="49" t="str">
        <f t="shared" si="57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1.6773476255652502E-2</v>
      </c>
      <c r="C95">
        <f t="shared" si="63"/>
        <v>1.576706768031335E-2</v>
      </c>
      <c r="D95" s="60"/>
      <c r="E95" s="5"/>
      <c r="F95" s="5"/>
      <c r="I95" s="40"/>
      <c r="J95" s="41"/>
      <c r="K95" s="41" t="str">
        <f t="shared" si="58"/>
        <v/>
      </c>
      <c r="L95" s="42" t="str">
        <f t="shared" si="59"/>
        <v/>
      </c>
      <c r="M95" s="41" t="str">
        <f t="shared" si="60"/>
        <v/>
      </c>
      <c r="N95" s="43">
        <f t="shared" si="32"/>
        <v>0</v>
      </c>
      <c r="O95" s="44">
        <f t="shared" si="33"/>
        <v>0</v>
      </c>
      <c r="P95" s="41" t="str">
        <f t="shared" si="34"/>
        <v/>
      </c>
      <c r="Q95" s="41" t="str">
        <f t="shared" si="35"/>
        <v/>
      </c>
      <c r="R95" s="48"/>
      <c r="S95" s="44" t="str">
        <f t="shared" si="46"/>
        <v/>
      </c>
      <c r="T95" s="52">
        <f t="shared" si="62"/>
        <v>0</v>
      </c>
      <c r="U95" s="53" t="str">
        <f t="shared" si="47"/>
        <v/>
      </c>
      <c r="V95" s="53" t="str">
        <f t="shared" si="48"/>
        <v/>
      </c>
      <c r="W95" s="53" t="str">
        <f t="shared" si="49"/>
        <v/>
      </c>
      <c r="X95" s="46" t="str">
        <f t="shared" si="36"/>
        <v/>
      </c>
      <c r="Y95" s="48"/>
      <c r="Z95" s="41" t="str">
        <f t="shared" si="50"/>
        <v/>
      </c>
      <c r="AA95" s="41" t="str">
        <f t="shared" si="51"/>
        <v/>
      </c>
      <c r="AB95" s="41" t="str">
        <f t="shared" si="37"/>
        <v/>
      </c>
      <c r="AC95" s="41" t="str">
        <f t="shared" si="38"/>
        <v/>
      </c>
      <c r="AD95" s="48"/>
      <c r="AE95" s="41" t="str">
        <f t="shared" si="39"/>
        <v/>
      </c>
      <c r="AF95" s="41"/>
      <c r="AG95" s="41" t="str">
        <f t="shared" si="40"/>
        <v/>
      </c>
      <c r="AH95" s="41" t="str">
        <f t="shared" si="52"/>
        <v/>
      </c>
      <c r="AI95" s="41" t="str">
        <f t="shared" si="53"/>
        <v/>
      </c>
      <c r="AJ95" s="41">
        <f t="shared" si="41"/>
        <v>0</v>
      </c>
      <c r="AK95" s="41" t="str">
        <f t="shared" si="42"/>
        <v/>
      </c>
      <c r="AL95" s="41">
        <f t="shared" si="54"/>
        <v>0</v>
      </c>
      <c r="AM95" s="41">
        <f t="shared" si="43"/>
        <v>0</v>
      </c>
      <c r="AN95" s="41" t="str">
        <f t="shared" si="44"/>
        <v/>
      </c>
      <c r="AO95" s="41">
        <f t="shared" si="61"/>
        <v>0</v>
      </c>
      <c r="AP95" s="48"/>
      <c r="AQ95" s="48"/>
      <c r="AR95" s="48"/>
      <c r="AS95" s="48"/>
      <c r="AT95" s="51">
        <f t="shared" si="55"/>
        <v>91</v>
      </c>
      <c r="AU95" s="49" t="str">
        <f t="shared" si="56"/>
        <v/>
      </c>
      <c r="AV95" s="49" t="str">
        <f t="shared" si="57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1.84936014394733E-2</v>
      </c>
      <c r="C96">
        <f t="shared" si="63"/>
        <v>1.7383985353104901E-2</v>
      </c>
      <c r="D96" s="60"/>
      <c r="E96" s="5"/>
      <c r="F96" s="5"/>
      <c r="I96" s="40"/>
      <c r="J96" s="41"/>
      <c r="K96" s="41" t="str">
        <f t="shared" si="58"/>
        <v/>
      </c>
      <c r="L96" s="42" t="str">
        <f t="shared" si="59"/>
        <v/>
      </c>
      <c r="M96" s="41" t="str">
        <f t="shared" si="60"/>
        <v/>
      </c>
      <c r="N96" s="43">
        <f t="shared" si="32"/>
        <v>0</v>
      </c>
      <c r="O96" s="44">
        <f t="shared" si="33"/>
        <v>0</v>
      </c>
      <c r="P96" s="41" t="str">
        <f t="shared" si="34"/>
        <v/>
      </c>
      <c r="Q96" s="41" t="str">
        <f t="shared" si="35"/>
        <v/>
      </c>
      <c r="R96" s="48"/>
      <c r="S96" s="44" t="str">
        <f t="shared" si="46"/>
        <v/>
      </c>
      <c r="T96" s="52">
        <f t="shared" si="62"/>
        <v>0</v>
      </c>
      <c r="U96" s="53" t="str">
        <f t="shared" si="47"/>
        <v/>
      </c>
      <c r="V96" s="53" t="str">
        <f t="shared" si="48"/>
        <v/>
      </c>
      <c r="W96" s="53" t="str">
        <f t="shared" si="49"/>
        <v/>
      </c>
      <c r="X96" s="46" t="str">
        <f t="shared" si="36"/>
        <v/>
      </c>
      <c r="Y96" s="48"/>
      <c r="Z96" s="41" t="str">
        <f t="shared" si="50"/>
        <v/>
      </c>
      <c r="AA96" s="41" t="str">
        <f t="shared" si="51"/>
        <v/>
      </c>
      <c r="AB96" s="41" t="str">
        <f t="shared" si="37"/>
        <v/>
      </c>
      <c r="AC96" s="41" t="str">
        <f t="shared" si="38"/>
        <v/>
      </c>
      <c r="AD96" s="48"/>
      <c r="AE96" s="41" t="str">
        <f t="shared" si="39"/>
        <v/>
      </c>
      <c r="AF96" s="41"/>
      <c r="AG96" s="41" t="str">
        <f t="shared" si="40"/>
        <v/>
      </c>
      <c r="AH96" s="41" t="str">
        <f t="shared" si="52"/>
        <v/>
      </c>
      <c r="AI96" s="41" t="str">
        <f t="shared" si="53"/>
        <v/>
      </c>
      <c r="AJ96" s="41">
        <f>SUM(AE96:AI96)</f>
        <v>0</v>
      </c>
      <c r="AK96" s="41" t="str">
        <f t="shared" si="42"/>
        <v/>
      </c>
      <c r="AL96" s="41">
        <f t="shared" si="54"/>
        <v>0</v>
      </c>
      <c r="AM96" s="41">
        <f t="shared" si="43"/>
        <v>0</v>
      </c>
      <c r="AN96" s="41" t="str">
        <f t="shared" si="44"/>
        <v/>
      </c>
      <c r="AO96" s="41">
        <f t="shared" si="61"/>
        <v>0</v>
      </c>
      <c r="AP96" s="48"/>
      <c r="AQ96" s="48"/>
      <c r="AR96" s="48"/>
      <c r="AS96" s="48"/>
      <c r="AT96" s="51">
        <f t="shared" si="55"/>
        <v>92</v>
      </c>
      <c r="AU96" s="49" t="str">
        <f t="shared" si="56"/>
        <v/>
      </c>
      <c r="AV96" s="49" t="str">
        <f t="shared" si="57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2.0477517472598999E-2</v>
      </c>
      <c r="C97">
        <f t="shared" si="63"/>
        <v>1.9248866424243057E-2</v>
      </c>
      <c r="D97" s="60"/>
      <c r="E97" s="5"/>
      <c r="F97" s="5"/>
      <c r="I97" s="40"/>
      <c r="J97" s="41"/>
      <c r="K97" s="41" t="str">
        <f t="shared" si="58"/>
        <v/>
      </c>
      <c r="L97" s="42" t="str">
        <f t="shared" si="59"/>
        <v/>
      </c>
      <c r="M97" s="41" t="str">
        <f t="shared" si="60"/>
        <v/>
      </c>
      <c r="N97" s="43">
        <f t="shared" si="32"/>
        <v>0</v>
      </c>
      <c r="O97" s="44">
        <f t="shared" si="33"/>
        <v>0</v>
      </c>
      <c r="P97" s="41" t="str">
        <f t="shared" si="34"/>
        <v/>
      </c>
      <c r="Q97" s="41" t="str">
        <f t="shared" si="35"/>
        <v/>
      </c>
      <c r="R97" s="48"/>
      <c r="S97" s="44" t="str">
        <f t="shared" si="46"/>
        <v/>
      </c>
      <c r="T97" s="52">
        <f t="shared" si="62"/>
        <v>0</v>
      </c>
      <c r="U97" s="53" t="str">
        <f t="shared" si="47"/>
        <v/>
      </c>
      <c r="V97" s="53" t="str">
        <f t="shared" si="48"/>
        <v/>
      </c>
      <c r="W97" s="53" t="str">
        <f t="shared" si="49"/>
        <v/>
      </c>
      <c r="X97" s="46" t="str">
        <f t="shared" si="36"/>
        <v/>
      </c>
      <c r="Y97" s="48"/>
      <c r="Z97" s="41" t="str">
        <f t="shared" si="50"/>
        <v/>
      </c>
      <c r="AA97" s="41" t="str">
        <f t="shared" si="51"/>
        <v/>
      </c>
      <c r="AB97" s="41" t="str">
        <f t="shared" si="37"/>
        <v/>
      </c>
      <c r="AC97" s="41" t="str">
        <f t="shared" si="38"/>
        <v/>
      </c>
      <c r="AD97" s="48"/>
      <c r="AE97" s="41" t="str">
        <f t="shared" si="39"/>
        <v/>
      </c>
      <c r="AF97" s="41"/>
      <c r="AG97" s="41" t="str">
        <f t="shared" si="40"/>
        <v/>
      </c>
      <c r="AH97" s="41" t="str">
        <f t="shared" si="52"/>
        <v/>
      </c>
      <c r="AI97" s="41" t="str">
        <f t="shared" si="53"/>
        <v/>
      </c>
      <c r="AJ97" s="41">
        <f t="shared" si="41"/>
        <v>0</v>
      </c>
      <c r="AK97" s="41" t="str">
        <f t="shared" si="42"/>
        <v/>
      </c>
      <c r="AL97" s="41">
        <f t="shared" si="54"/>
        <v>0</v>
      </c>
      <c r="AM97" s="41">
        <f t="shared" si="43"/>
        <v>0</v>
      </c>
      <c r="AN97" s="41" t="str">
        <f t="shared" si="44"/>
        <v/>
      </c>
      <c r="AO97" s="41">
        <f t="shared" si="61"/>
        <v>0</v>
      </c>
      <c r="AP97" s="48"/>
      <c r="AQ97" s="48"/>
      <c r="AR97" s="48"/>
      <c r="AS97" s="48"/>
      <c r="AT97" s="51">
        <f t="shared" si="55"/>
        <v>93</v>
      </c>
      <c r="AU97" s="49" t="str">
        <f t="shared" si="56"/>
        <v/>
      </c>
      <c r="AV97" s="49" t="str">
        <f t="shared" si="57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2.2766625658052399E-2</v>
      </c>
      <c r="C98">
        <f t="shared" si="63"/>
        <v>2.1400628118569253E-2</v>
      </c>
      <c r="D98" s="60"/>
      <c r="E98" s="5"/>
      <c r="F98" s="5"/>
      <c r="I98" s="40"/>
      <c r="J98" s="41"/>
      <c r="K98" s="41" t="str">
        <f t="shared" si="58"/>
        <v/>
      </c>
      <c r="L98" s="42" t="str">
        <f t="shared" si="59"/>
        <v/>
      </c>
      <c r="M98" s="41" t="str">
        <f t="shared" si="60"/>
        <v/>
      </c>
      <c r="N98" s="43">
        <f t="shared" si="32"/>
        <v>0</v>
      </c>
      <c r="O98" s="44">
        <f t="shared" si="33"/>
        <v>0</v>
      </c>
      <c r="P98" s="41" t="str">
        <f t="shared" si="34"/>
        <v/>
      </c>
      <c r="Q98" s="41" t="str">
        <f t="shared" si="35"/>
        <v/>
      </c>
      <c r="R98" s="48"/>
      <c r="S98" s="44" t="str">
        <f t="shared" si="46"/>
        <v/>
      </c>
      <c r="T98" s="52">
        <f t="shared" si="62"/>
        <v>0</v>
      </c>
      <c r="U98" s="53" t="str">
        <f t="shared" si="47"/>
        <v/>
      </c>
      <c r="V98" s="53" t="str">
        <f t="shared" si="48"/>
        <v/>
      </c>
      <c r="W98" s="53" t="str">
        <f t="shared" si="49"/>
        <v/>
      </c>
      <c r="X98" s="46" t="str">
        <f t="shared" si="36"/>
        <v/>
      </c>
      <c r="Y98" s="48"/>
      <c r="Z98" s="41" t="str">
        <f t="shared" si="50"/>
        <v/>
      </c>
      <c r="AA98" s="41" t="str">
        <f t="shared" si="51"/>
        <v/>
      </c>
      <c r="AB98" s="41" t="str">
        <f t="shared" si="37"/>
        <v/>
      </c>
      <c r="AC98" s="41" t="str">
        <f t="shared" si="38"/>
        <v/>
      </c>
      <c r="AD98" s="48"/>
      <c r="AE98" s="41" t="str">
        <f t="shared" si="39"/>
        <v/>
      </c>
      <c r="AF98" s="41"/>
      <c r="AG98" s="41" t="str">
        <f t="shared" si="40"/>
        <v/>
      </c>
      <c r="AH98" s="41" t="str">
        <f t="shared" si="52"/>
        <v/>
      </c>
      <c r="AI98" s="41" t="str">
        <f t="shared" si="53"/>
        <v/>
      </c>
      <c r="AJ98" s="41">
        <f t="shared" si="41"/>
        <v>0</v>
      </c>
      <c r="AK98" s="41" t="str">
        <f t="shared" si="42"/>
        <v/>
      </c>
      <c r="AL98" s="41">
        <f t="shared" si="54"/>
        <v>0</v>
      </c>
      <c r="AM98" s="41">
        <f t="shared" si="43"/>
        <v>0</v>
      </c>
      <c r="AN98" s="41" t="str">
        <f t="shared" si="44"/>
        <v/>
      </c>
      <c r="AO98" s="41">
        <f t="shared" si="61"/>
        <v>0</v>
      </c>
      <c r="AP98" s="48"/>
      <c r="AQ98" s="48"/>
      <c r="AR98" s="48"/>
      <c r="AS98" s="48"/>
      <c r="AT98" s="51">
        <f t="shared" si="55"/>
        <v>94</v>
      </c>
      <c r="AU98" s="49" t="str">
        <f t="shared" si="56"/>
        <v/>
      </c>
      <c r="AV98" s="49" t="str">
        <f t="shared" si="57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2.54936301166078E-2</v>
      </c>
      <c r="C99">
        <f t="shared" si="63"/>
        <v>2.3964012309611329E-2</v>
      </c>
      <c r="D99" s="60"/>
      <c r="E99" s="5"/>
      <c r="F99" s="5"/>
      <c r="I99" s="40"/>
      <c r="J99" s="41"/>
      <c r="K99" s="41" t="str">
        <f t="shared" si="58"/>
        <v/>
      </c>
      <c r="L99" s="42" t="str">
        <f t="shared" si="59"/>
        <v/>
      </c>
      <c r="M99" s="41" t="str">
        <f t="shared" si="60"/>
        <v/>
      </c>
      <c r="N99" s="43">
        <f t="shared" si="32"/>
        <v>0</v>
      </c>
      <c r="O99" s="44">
        <f t="shared" si="33"/>
        <v>0</v>
      </c>
      <c r="P99" s="41" t="str">
        <f t="shared" si="34"/>
        <v/>
      </c>
      <c r="Q99" s="41" t="str">
        <f t="shared" si="35"/>
        <v/>
      </c>
      <c r="R99" s="48"/>
      <c r="S99" s="44" t="str">
        <f t="shared" si="46"/>
        <v/>
      </c>
      <c r="T99" s="52">
        <f t="shared" si="62"/>
        <v>0</v>
      </c>
      <c r="U99" s="53" t="str">
        <f t="shared" si="47"/>
        <v/>
      </c>
      <c r="V99" s="53" t="str">
        <f t="shared" si="48"/>
        <v/>
      </c>
      <c r="W99" s="53" t="str">
        <f t="shared" si="49"/>
        <v/>
      </c>
      <c r="X99" s="46" t="str">
        <f t="shared" si="36"/>
        <v/>
      </c>
      <c r="Y99" s="48"/>
      <c r="Z99" s="41" t="str">
        <f t="shared" si="50"/>
        <v/>
      </c>
      <c r="AA99" s="41" t="str">
        <f t="shared" si="51"/>
        <v/>
      </c>
      <c r="AB99" s="41" t="str">
        <f t="shared" si="37"/>
        <v/>
      </c>
      <c r="AC99" s="41" t="str">
        <f t="shared" si="38"/>
        <v/>
      </c>
      <c r="AD99" s="48"/>
      <c r="AE99" s="41" t="str">
        <f t="shared" si="39"/>
        <v/>
      </c>
      <c r="AF99" s="41"/>
      <c r="AG99" s="41" t="str">
        <f t="shared" si="40"/>
        <v/>
      </c>
      <c r="AH99" s="41" t="str">
        <f t="shared" si="52"/>
        <v/>
      </c>
      <c r="AI99" s="41" t="str">
        <f t="shared" si="53"/>
        <v/>
      </c>
      <c r="AJ99" s="41">
        <f t="shared" si="41"/>
        <v>0</v>
      </c>
      <c r="AK99" s="41" t="str">
        <f t="shared" si="42"/>
        <v/>
      </c>
      <c r="AL99" s="41">
        <f t="shared" si="54"/>
        <v>0</v>
      </c>
      <c r="AM99" s="41">
        <f t="shared" si="43"/>
        <v>0</v>
      </c>
      <c r="AN99" s="41" t="str">
        <f t="shared" si="44"/>
        <v/>
      </c>
      <c r="AO99" s="41">
        <f t="shared" si="61"/>
        <v>0</v>
      </c>
      <c r="AP99" s="48"/>
      <c r="AQ99" s="48"/>
      <c r="AR99" s="48"/>
      <c r="AS99" s="48"/>
      <c r="AT99" s="51">
        <f t="shared" si="55"/>
        <v>95</v>
      </c>
      <c r="AU99" s="49" t="str">
        <f t="shared" si="56"/>
        <v/>
      </c>
      <c r="AV99" s="49" t="str">
        <f t="shared" si="57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2.8639468023114501E-2</v>
      </c>
      <c r="C100">
        <f t="shared" si="63"/>
        <v>2.692109994172763E-2</v>
      </c>
      <c r="D100" s="60"/>
      <c r="E100" s="5"/>
      <c r="F100" s="5"/>
      <c r="I100" s="40"/>
      <c r="J100" s="41"/>
      <c r="K100" s="41" t="str">
        <f t="shared" si="58"/>
        <v/>
      </c>
      <c r="L100" s="42" t="str">
        <f t="shared" si="59"/>
        <v/>
      </c>
      <c r="M100" s="41" t="str">
        <f t="shared" si="60"/>
        <v/>
      </c>
      <c r="N100" s="43">
        <f t="shared" si="32"/>
        <v>0</v>
      </c>
      <c r="O100" s="44">
        <f t="shared" si="33"/>
        <v>0</v>
      </c>
      <c r="P100" s="41" t="str">
        <f t="shared" si="34"/>
        <v/>
      </c>
      <c r="Q100" s="41" t="str">
        <f t="shared" si="35"/>
        <v/>
      </c>
      <c r="R100" s="48"/>
      <c r="S100" s="44" t="str">
        <f t="shared" si="46"/>
        <v/>
      </c>
      <c r="T100" s="52">
        <f t="shared" si="62"/>
        <v>0</v>
      </c>
      <c r="U100" s="53" t="str">
        <f t="shared" si="47"/>
        <v/>
      </c>
      <c r="V100" s="53" t="str">
        <f t="shared" si="48"/>
        <v/>
      </c>
      <c r="W100" s="53" t="str">
        <f t="shared" si="49"/>
        <v/>
      </c>
      <c r="X100" s="46" t="str">
        <f t="shared" si="36"/>
        <v/>
      </c>
      <c r="Y100" s="48"/>
      <c r="Z100" s="41" t="str">
        <f t="shared" si="50"/>
        <v/>
      </c>
      <c r="AA100" s="41" t="str">
        <f t="shared" si="51"/>
        <v/>
      </c>
      <c r="AB100" s="41" t="str">
        <f t="shared" si="37"/>
        <v/>
      </c>
      <c r="AC100" s="41" t="str">
        <f t="shared" si="38"/>
        <v/>
      </c>
      <c r="AD100" s="48"/>
      <c r="AE100" s="41" t="str">
        <f t="shared" si="39"/>
        <v/>
      </c>
      <c r="AF100" s="41"/>
      <c r="AG100" s="41" t="str">
        <f t="shared" si="40"/>
        <v/>
      </c>
      <c r="AH100" s="41" t="str">
        <f t="shared" si="52"/>
        <v/>
      </c>
      <c r="AI100" s="41" t="str">
        <f t="shared" si="53"/>
        <v/>
      </c>
      <c r="AJ100" s="41">
        <f t="shared" si="41"/>
        <v>0</v>
      </c>
      <c r="AK100" s="41" t="str">
        <f t="shared" si="42"/>
        <v/>
      </c>
      <c r="AL100" s="41">
        <f t="shared" si="54"/>
        <v>0</v>
      </c>
      <c r="AM100" s="41">
        <f t="shared" si="43"/>
        <v>0</v>
      </c>
      <c r="AN100" s="41" t="str">
        <f t="shared" si="44"/>
        <v/>
      </c>
      <c r="AO100" s="41">
        <f t="shared" si="61"/>
        <v>0</v>
      </c>
      <c r="AP100" s="48"/>
      <c r="AQ100" s="48"/>
      <c r="AR100" s="48"/>
      <c r="AS100" s="48"/>
      <c r="AT100" s="51">
        <f t="shared" si="55"/>
        <v>96</v>
      </c>
      <c r="AU100" s="49" t="str">
        <f t="shared" si="56"/>
        <v/>
      </c>
      <c r="AV100" s="49" t="str">
        <f t="shared" si="57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3.6972147468375502E-2</v>
      </c>
      <c r="C101">
        <f t="shared" si="63"/>
        <v>3.4753818620272971E-2</v>
      </c>
      <c r="D101" s="60"/>
      <c r="E101" s="5"/>
      <c r="F101" s="5"/>
      <c r="I101" s="40"/>
      <c r="J101" s="41"/>
      <c r="K101" s="41" t="str">
        <f t="shared" si="58"/>
        <v/>
      </c>
      <c r="L101" s="42" t="str">
        <f t="shared" si="59"/>
        <v/>
      </c>
      <c r="M101" s="41" t="str">
        <f t="shared" si="60"/>
        <v/>
      </c>
      <c r="N101" s="43">
        <f t="shared" si="32"/>
        <v>0</v>
      </c>
      <c r="O101" s="44">
        <f t="shared" si="33"/>
        <v>0</v>
      </c>
      <c r="P101" s="41" t="str">
        <f t="shared" si="34"/>
        <v/>
      </c>
      <c r="Q101" s="41" t="str">
        <f t="shared" si="35"/>
        <v/>
      </c>
      <c r="R101" s="48"/>
      <c r="S101" s="44" t="str">
        <f t="shared" si="46"/>
        <v/>
      </c>
      <c r="T101" s="52">
        <f t="shared" si="62"/>
        <v>0</v>
      </c>
      <c r="U101" s="53" t="str">
        <f t="shared" si="47"/>
        <v/>
      </c>
      <c r="V101" s="53" t="str">
        <f t="shared" si="48"/>
        <v/>
      </c>
      <c r="W101" s="53" t="str">
        <f t="shared" si="49"/>
        <v/>
      </c>
      <c r="X101" s="46" t="str">
        <f t="shared" si="36"/>
        <v/>
      </c>
      <c r="Y101" s="48"/>
      <c r="Z101" s="41" t="str">
        <f t="shared" si="50"/>
        <v/>
      </c>
      <c r="AA101" s="41" t="str">
        <f t="shared" si="51"/>
        <v/>
      </c>
      <c r="AB101" s="41" t="str">
        <f t="shared" si="37"/>
        <v/>
      </c>
      <c r="AC101" s="41" t="str">
        <f t="shared" si="38"/>
        <v/>
      </c>
      <c r="AD101" s="48"/>
      <c r="AE101" s="41" t="str">
        <f t="shared" si="39"/>
        <v/>
      </c>
      <c r="AF101" s="41"/>
      <c r="AG101" s="41" t="str">
        <f t="shared" si="40"/>
        <v/>
      </c>
      <c r="AH101" s="41" t="str">
        <f t="shared" si="52"/>
        <v/>
      </c>
      <c r="AI101" s="41" t="str">
        <f t="shared" si="53"/>
        <v/>
      </c>
      <c r="AJ101" s="41">
        <f t="shared" si="41"/>
        <v>0</v>
      </c>
      <c r="AK101" s="41" t="str">
        <f t="shared" si="42"/>
        <v/>
      </c>
      <c r="AL101" s="41">
        <f t="shared" si="54"/>
        <v>0</v>
      </c>
      <c r="AM101" s="41">
        <f t="shared" si="43"/>
        <v>0</v>
      </c>
      <c r="AN101" s="41" t="str">
        <f t="shared" si="44"/>
        <v/>
      </c>
      <c r="AO101" s="41">
        <f t="shared" si="61"/>
        <v>0</v>
      </c>
      <c r="AP101" s="48"/>
      <c r="AQ101" s="48"/>
      <c r="AR101" s="48"/>
      <c r="AS101" s="48"/>
      <c r="AT101" s="51">
        <f t="shared" si="55"/>
        <v>97</v>
      </c>
      <c r="AU101" s="49" t="str">
        <f t="shared" si="56"/>
        <v/>
      </c>
      <c r="AV101" s="49" t="str">
        <f t="shared" si="57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4.17471217729148E-2</v>
      </c>
      <c r="C102">
        <f t="shared" si="63"/>
        <v>3.9242294466539908E-2</v>
      </c>
      <c r="D102" s="60"/>
      <c r="E102" s="5"/>
      <c r="F102" s="5"/>
      <c r="I102" s="40"/>
      <c r="J102" s="41"/>
      <c r="K102" s="41" t="str">
        <f t="shared" si="58"/>
        <v/>
      </c>
      <c r="L102" s="42" t="str">
        <f t="shared" si="59"/>
        <v/>
      </c>
      <c r="M102" s="41" t="str">
        <f t="shared" si="60"/>
        <v/>
      </c>
      <c r="N102" s="43">
        <f t="shared" si="32"/>
        <v>0</v>
      </c>
      <c r="O102" s="44">
        <f t="shared" si="33"/>
        <v>0</v>
      </c>
      <c r="P102" s="41" t="str">
        <f t="shared" si="34"/>
        <v/>
      </c>
      <c r="Q102" s="41" t="str">
        <f t="shared" si="35"/>
        <v/>
      </c>
      <c r="R102" s="48"/>
      <c r="S102" s="44" t="str">
        <f t="shared" si="46"/>
        <v/>
      </c>
      <c r="T102" s="52">
        <f t="shared" si="62"/>
        <v>0</v>
      </c>
      <c r="U102" s="53" t="str">
        <f t="shared" si="47"/>
        <v/>
      </c>
      <c r="V102" s="53" t="str">
        <f t="shared" si="48"/>
        <v/>
      </c>
      <c r="W102" s="53" t="str">
        <f t="shared" si="49"/>
        <v/>
      </c>
      <c r="X102" s="46" t="str">
        <f t="shared" si="36"/>
        <v/>
      </c>
      <c r="Y102" s="48"/>
      <c r="Z102" s="41" t="str">
        <f t="shared" si="50"/>
        <v/>
      </c>
      <c r="AA102" s="41" t="str">
        <f t="shared" si="51"/>
        <v/>
      </c>
      <c r="AB102" s="41" t="str">
        <f t="shared" si="37"/>
        <v/>
      </c>
      <c r="AC102" s="41" t="str">
        <f t="shared" si="38"/>
        <v/>
      </c>
      <c r="AD102" s="48"/>
      <c r="AE102" s="41" t="str">
        <f t="shared" si="39"/>
        <v/>
      </c>
      <c r="AF102" s="41"/>
      <c r="AG102" s="41" t="str">
        <f t="shared" si="40"/>
        <v/>
      </c>
      <c r="AH102" s="41" t="str">
        <f t="shared" si="52"/>
        <v/>
      </c>
      <c r="AI102" s="41" t="str">
        <f t="shared" si="53"/>
        <v/>
      </c>
      <c r="AJ102" s="41">
        <f t="shared" si="41"/>
        <v>0</v>
      </c>
      <c r="AK102" s="41" t="str">
        <f t="shared" si="42"/>
        <v/>
      </c>
      <c r="AL102" s="41">
        <f t="shared" si="54"/>
        <v>0</v>
      </c>
      <c r="AM102" s="41">
        <f t="shared" si="43"/>
        <v>0</v>
      </c>
      <c r="AN102" s="41" t="str">
        <f t="shared" si="44"/>
        <v/>
      </c>
      <c r="AO102" s="41">
        <f t="shared" si="61"/>
        <v>0</v>
      </c>
      <c r="AP102" s="48"/>
      <c r="AQ102" s="48"/>
      <c r="AR102" s="48"/>
      <c r="AS102" s="48"/>
      <c r="AT102" s="51">
        <f t="shared" si="55"/>
        <v>98</v>
      </c>
      <c r="AU102" s="49" t="str">
        <f t="shared" si="56"/>
        <v/>
      </c>
      <c r="AV102" s="49" t="str">
        <f t="shared" si="57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4.7085483572676202E-2</v>
      </c>
      <c r="C103">
        <f t="shared" si="63"/>
        <v>4.4260354558315625E-2</v>
      </c>
      <c r="D103" s="60"/>
      <c r="E103" s="5"/>
      <c r="F103" s="5"/>
      <c r="I103" s="40"/>
      <c r="J103" s="41"/>
      <c r="K103" s="41" t="str">
        <f t="shared" si="58"/>
        <v/>
      </c>
      <c r="L103" s="42" t="str">
        <f t="shared" si="59"/>
        <v/>
      </c>
      <c r="M103" s="41" t="str">
        <f t="shared" si="60"/>
        <v/>
      </c>
      <c r="N103" s="43">
        <f t="shared" si="32"/>
        <v>0</v>
      </c>
      <c r="O103" s="44">
        <f t="shared" si="33"/>
        <v>0</v>
      </c>
      <c r="P103" s="41" t="str">
        <f t="shared" si="34"/>
        <v/>
      </c>
      <c r="Q103" s="41" t="str">
        <f t="shared" si="35"/>
        <v/>
      </c>
      <c r="R103" s="48"/>
      <c r="S103" s="44" t="str">
        <f t="shared" si="46"/>
        <v/>
      </c>
      <c r="T103" s="52">
        <f t="shared" si="62"/>
        <v>0</v>
      </c>
      <c r="U103" s="53" t="str">
        <f t="shared" si="47"/>
        <v/>
      </c>
      <c r="V103" s="53" t="str">
        <f t="shared" si="48"/>
        <v/>
      </c>
      <c r="W103" s="53" t="str">
        <f t="shared" si="49"/>
        <v/>
      </c>
      <c r="X103" s="46" t="str">
        <f t="shared" si="36"/>
        <v/>
      </c>
      <c r="Y103" s="48"/>
      <c r="Z103" s="41" t="str">
        <f t="shared" si="50"/>
        <v/>
      </c>
      <c r="AA103" s="41" t="str">
        <f t="shared" si="51"/>
        <v/>
      </c>
      <c r="AB103" s="41" t="str">
        <f t="shared" si="37"/>
        <v/>
      </c>
      <c r="AC103" s="41" t="str">
        <f t="shared" si="38"/>
        <v/>
      </c>
      <c r="AD103" s="48"/>
      <c r="AE103" s="41" t="str">
        <f t="shared" si="39"/>
        <v/>
      </c>
      <c r="AF103" s="41"/>
      <c r="AG103" s="41" t="str">
        <f t="shared" si="40"/>
        <v/>
      </c>
      <c r="AH103" s="41" t="str">
        <f t="shared" si="52"/>
        <v/>
      </c>
      <c r="AI103" s="41" t="str">
        <f t="shared" si="53"/>
        <v/>
      </c>
      <c r="AJ103" s="41">
        <f t="shared" si="41"/>
        <v>0</v>
      </c>
      <c r="AK103" s="41" t="str">
        <f t="shared" si="42"/>
        <v/>
      </c>
      <c r="AL103" s="41">
        <f t="shared" si="54"/>
        <v>0</v>
      </c>
      <c r="AM103" s="41">
        <f t="shared" si="43"/>
        <v>0</v>
      </c>
      <c r="AN103" s="41" t="str">
        <f t="shared" si="44"/>
        <v/>
      </c>
      <c r="AO103" s="41">
        <f t="shared" si="61"/>
        <v>0</v>
      </c>
      <c r="AP103" s="48"/>
      <c r="AQ103" s="48"/>
      <c r="AR103" s="48"/>
      <c r="AS103" s="48"/>
      <c r="AT103" s="51">
        <f t="shared" si="55"/>
        <v>99</v>
      </c>
      <c r="AU103" s="49" t="str">
        <f t="shared" si="56"/>
        <v/>
      </c>
      <c r="AV103" s="49" t="str">
        <f t="shared" si="57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5.3025010084243998E-2</v>
      </c>
      <c r="C104">
        <f t="shared" si="63"/>
        <v>4.9843509479189356E-2</v>
      </c>
      <c r="D104" s="60"/>
      <c r="E104" s="5"/>
      <c r="F104" s="5"/>
      <c r="I104" s="40"/>
      <c r="J104" s="41"/>
      <c r="K104" s="41" t="str">
        <f t="shared" si="58"/>
        <v/>
      </c>
      <c r="L104" s="42" t="str">
        <f t="shared" si="59"/>
        <v/>
      </c>
      <c r="M104" s="41" t="str">
        <f t="shared" si="60"/>
        <v/>
      </c>
      <c r="N104" s="43">
        <f t="shared" si="32"/>
        <v>0</v>
      </c>
      <c r="O104" s="44">
        <f t="shared" si="33"/>
        <v>0</v>
      </c>
      <c r="P104" s="41" t="str">
        <f t="shared" si="34"/>
        <v/>
      </c>
      <c r="Q104" s="41" t="str">
        <f t="shared" si="35"/>
        <v/>
      </c>
      <c r="R104" s="48"/>
      <c r="S104" s="44" t="str">
        <f t="shared" si="46"/>
        <v/>
      </c>
      <c r="T104" s="52">
        <f t="shared" si="62"/>
        <v>0</v>
      </c>
      <c r="U104" s="53" t="str">
        <f t="shared" si="47"/>
        <v/>
      </c>
      <c r="V104" s="53" t="str">
        <f t="shared" si="48"/>
        <v/>
      </c>
      <c r="W104" s="53" t="str">
        <f t="shared" si="49"/>
        <v/>
      </c>
      <c r="X104" s="46" t="str">
        <f t="shared" si="36"/>
        <v/>
      </c>
      <c r="Y104" s="48"/>
      <c r="Z104" s="41" t="str">
        <f t="shared" si="50"/>
        <v/>
      </c>
      <c r="AA104" s="41" t="str">
        <f t="shared" si="51"/>
        <v/>
      </c>
      <c r="AB104" s="41" t="str">
        <f t="shared" si="37"/>
        <v/>
      </c>
      <c r="AC104" s="41" t="str">
        <f t="shared" si="38"/>
        <v/>
      </c>
      <c r="AD104" s="48"/>
      <c r="AE104" s="41" t="str">
        <f t="shared" si="39"/>
        <v/>
      </c>
      <c r="AF104" s="41"/>
      <c r="AG104" s="41" t="str">
        <f t="shared" si="40"/>
        <v/>
      </c>
      <c r="AH104" s="41" t="str">
        <f t="shared" si="52"/>
        <v/>
      </c>
      <c r="AI104" s="41" t="str">
        <f t="shared" si="53"/>
        <v/>
      </c>
      <c r="AJ104" s="41">
        <f t="shared" si="41"/>
        <v>0</v>
      </c>
      <c r="AK104" s="41" t="str">
        <f t="shared" si="42"/>
        <v/>
      </c>
      <c r="AL104" s="41">
        <f t="shared" si="54"/>
        <v>0</v>
      </c>
      <c r="AM104" s="41">
        <f t="shared" si="43"/>
        <v>0</v>
      </c>
      <c r="AN104" s="41" t="str">
        <f t="shared" si="44"/>
        <v/>
      </c>
      <c r="AO104" s="41">
        <f t="shared" si="61"/>
        <v>0</v>
      </c>
      <c r="AP104" s="48"/>
      <c r="AQ104" s="48"/>
      <c r="AR104" s="48"/>
      <c r="AS104" s="48"/>
      <c r="AT104" s="51">
        <f t="shared" si="55"/>
        <v>100</v>
      </c>
      <c r="AU104" s="49" t="str">
        <f t="shared" si="56"/>
        <v/>
      </c>
      <c r="AV104" s="49" t="str">
        <f t="shared" si="57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5.9506610754154497E-2</v>
      </c>
      <c r="C105">
        <f t="shared" si="63"/>
        <v>5.5936214108905223E-2</v>
      </c>
      <c r="D105" s="60"/>
      <c r="E105" s="5"/>
      <c r="F105" s="5"/>
      <c r="I105" s="40"/>
      <c r="J105" s="41"/>
      <c r="K105" s="41" t="str">
        <f t="shared" si="58"/>
        <v/>
      </c>
      <c r="L105" s="42" t="str">
        <f t="shared" si="59"/>
        <v/>
      </c>
      <c r="M105" s="41" t="str">
        <f t="shared" si="60"/>
        <v/>
      </c>
      <c r="N105" s="43">
        <f t="shared" si="32"/>
        <v>0</v>
      </c>
      <c r="O105" s="44">
        <f t="shared" si="33"/>
        <v>0</v>
      </c>
      <c r="P105" s="41" t="str">
        <f t="shared" si="34"/>
        <v/>
      </c>
      <c r="Q105" s="41" t="str">
        <f t="shared" si="35"/>
        <v/>
      </c>
      <c r="R105" s="48"/>
      <c r="S105" s="44" t="str">
        <f t="shared" si="46"/>
        <v/>
      </c>
      <c r="T105" s="52">
        <f t="shared" si="62"/>
        <v>0</v>
      </c>
      <c r="U105" s="53" t="str">
        <f t="shared" si="47"/>
        <v/>
      </c>
      <c r="V105" s="53" t="str">
        <f t="shared" si="48"/>
        <v/>
      </c>
      <c r="W105" s="53" t="str">
        <f t="shared" si="49"/>
        <v/>
      </c>
      <c r="X105" s="46" t="str">
        <f t="shared" si="36"/>
        <v/>
      </c>
      <c r="Y105" s="48"/>
      <c r="Z105" s="41" t="str">
        <f t="shared" si="50"/>
        <v/>
      </c>
      <c r="AA105" s="41" t="str">
        <f t="shared" si="51"/>
        <v/>
      </c>
      <c r="AB105" s="41" t="str">
        <f t="shared" si="37"/>
        <v/>
      </c>
      <c r="AC105" s="41" t="str">
        <f t="shared" si="38"/>
        <v/>
      </c>
      <c r="AD105" s="48"/>
      <c r="AE105" s="41" t="str">
        <f t="shared" si="39"/>
        <v/>
      </c>
      <c r="AF105" s="41"/>
      <c r="AG105" s="41" t="str">
        <f t="shared" si="40"/>
        <v/>
      </c>
      <c r="AH105" s="41" t="str">
        <f t="shared" si="52"/>
        <v/>
      </c>
      <c r="AI105" s="41" t="str">
        <f t="shared" si="53"/>
        <v/>
      </c>
      <c r="AJ105" s="41">
        <f t="shared" si="41"/>
        <v>0</v>
      </c>
      <c r="AK105" s="41" t="str">
        <f t="shared" si="42"/>
        <v/>
      </c>
      <c r="AL105" s="41">
        <f t="shared" si="54"/>
        <v>0</v>
      </c>
      <c r="AM105" s="41">
        <f t="shared" si="43"/>
        <v>0</v>
      </c>
      <c r="AN105" s="41" t="str">
        <f t="shared" si="44"/>
        <v/>
      </c>
      <c r="AO105" s="41">
        <f t="shared" si="61"/>
        <v>0</v>
      </c>
      <c r="AP105" s="48"/>
      <c r="AQ105" s="48"/>
      <c r="AR105" s="48"/>
      <c r="AS105" s="48"/>
      <c r="AT105" s="51">
        <f t="shared" si="55"/>
        <v>101</v>
      </c>
      <c r="AU105" s="49" t="str">
        <f t="shared" si="56"/>
        <v/>
      </c>
      <c r="AV105" s="49" t="str">
        <f t="shared" si="57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6.6629843904551594E-2</v>
      </c>
      <c r="C106">
        <f t="shared" si="63"/>
        <v>6.2632053270278501E-2</v>
      </c>
      <c r="D106" s="60"/>
      <c r="E106" s="5"/>
      <c r="F106" s="5"/>
      <c r="I106" s="40"/>
      <c r="J106" s="41"/>
      <c r="K106" s="41" t="str">
        <f t="shared" si="58"/>
        <v/>
      </c>
      <c r="L106" s="42" t="str">
        <f t="shared" si="59"/>
        <v/>
      </c>
      <c r="M106" s="41" t="str">
        <f t="shared" si="60"/>
        <v/>
      </c>
      <c r="N106" s="43">
        <f t="shared" si="32"/>
        <v>0</v>
      </c>
      <c r="O106" s="44">
        <f t="shared" si="33"/>
        <v>0</v>
      </c>
      <c r="P106" s="41" t="str">
        <f t="shared" si="34"/>
        <v/>
      </c>
      <c r="Q106" s="41" t="str">
        <f t="shared" si="35"/>
        <v/>
      </c>
      <c r="R106" s="48"/>
      <c r="S106" s="44" t="str">
        <f t="shared" si="46"/>
        <v/>
      </c>
      <c r="T106" s="52">
        <f t="shared" si="62"/>
        <v>0</v>
      </c>
      <c r="U106" s="53" t="str">
        <f t="shared" si="47"/>
        <v/>
      </c>
      <c r="V106" s="53" t="str">
        <f t="shared" si="48"/>
        <v/>
      </c>
      <c r="W106" s="53" t="str">
        <f t="shared" si="49"/>
        <v/>
      </c>
      <c r="X106" s="46" t="str">
        <f t="shared" si="36"/>
        <v/>
      </c>
      <c r="Y106" s="48"/>
      <c r="Z106" s="41" t="str">
        <f t="shared" si="50"/>
        <v/>
      </c>
      <c r="AA106" s="41" t="str">
        <f t="shared" si="51"/>
        <v/>
      </c>
      <c r="AB106" s="41" t="str">
        <f t="shared" si="37"/>
        <v/>
      </c>
      <c r="AC106" s="41" t="str">
        <f t="shared" si="38"/>
        <v/>
      </c>
      <c r="AD106" s="48"/>
      <c r="AE106" s="41" t="str">
        <f t="shared" si="39"/>
        <v/>
      </c>
      <c r="AF106" s="41"/>
      <c r="AG106" s="41" t="str">
        <f t="shared" si="40"/>
        <v/>
      </c>
      <c r="AH106" s="41" t="str">
        <f t="shared" si="52"/>
        <v/>
      </c>
      <c r="AI106" s="41" t="str">
        <f t="shared" si="53"/>
        <v/>
      </c>
      <c r="AJ106" s="41">
        <f t="shared" si="41"/>
        <v>0</v>
      </c>
      <c r="AK106" s="41" t="str">
        <f t="shared" si="42"/>
        <v/>
      </c>
      <c r="AL106" s="41">
        <f t="shared" si="54"/>
        <v>0</v>
      </c>
      <c r="AM106" s="41">
        <f t="shared" si="43"/>
        <v>0</v>
      </c>
      <c r="AN106" s="41" t="str">
        <f t="shared" si="44"/>
        <v/>
      </c>
      <c r="AO106" s="41">
        <f t="shared" si="61"/>
        <v>0</v>
      </c>
      <c r="AP106" s="48"/>
      <c r="AQ106" s="48"/>
      <c r="AR106" s="48"/>
      <c r="AS106" s="48"/>
      <c r="AT106" s="51">
        <f t="shared" si="55"/>
        <v>102</v>
      </c>
      <c r="AU106" s="49" t="str">
        <f t="shared" si="56"/>
        <v/>
      </c>
      <c r="AV106" s="49" t="str">
        <f t="shared" si="57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7.46418422641935E-2</v>
      </c>
      <c r="C107">
        <f t="shared" si="63"/>
        <v>7.0163331728341882E-2</v>
      </c>
      <c r="D107" s="60"/>
      <c r="E107" s="5"/>
      <c r="F107" s="5"/>
      <c r="I107" s="40"/>
      <c r="J107" s="41"/>
      <c r="K107" s="41" t="str">
        <f t="shared" si="58"/>
        <v/>
      </c>
      <c r="L107" s="42" t="str">
        <f t="shared" si="59"/>
        <v/>
      </c>
      <c r="M107" s="41" t="str">
        <f t="shared" si="60"/>
        <v/>
      </c>
      <c r="N107" s="43">
        <f t="shared" si="32"/>
        <v>0</v>
      </c>
      <c r="O107" s="44">
        <f t="shared" si="33"/>
        <v>0</v>
      </c>
      <c r="P107" s="41" t="str">
        <f t="shared" si="34"/>
        <v/>
      </c>
      <c r="Q107" s="41" t="str">
        <f t="shared" si="35"/>
        <v/>
      </c>
      <c r="R107" s="48"/>
      <c r="S107" s="44" t="str">
        <f t="shared" si="46"/>
        <v/>
      </c>
      <c r="T107" s="52">
        <f t="shared" si="62"/>
        <v>0</v>
      </c>
      <c r="U107" s="53" t="str">
        <f t="shared" si="47"/>
        <v/>
      </c>
      <c r="V107" s="53" t="str">
        <f t="shared" si="48"/>
        <v/>
      </c>
      <c r="W107" s="53" t="str">
        <f t="shared" si="49"/>
        <v/>
      </c>
      <c r="X107" s="46" t="str">
        <f t="shared" si="36"/>
        <v/>
      </c>
      <c r="Y107" s="48"/>
      <c r="Z107" s="41" t="str">
        <f t="shared" si="50"/>
        <v/>
      </c>
      <c r="AA107" s="41" t="str">
        <f t="shared" si="51"/>
        <v/>
      </c>
      <c r="AB107" s="41" t="str">
        <f t="shared" si="37"/>
        <v/>
      </c>
      <c r="AC107" s="41" t="str">
        <f t="shared" si="38"/>
        <v/>
      </c>
      <c r="AD107" s="48"/>
      <c r="AE107" s="41" t="str">
        <f t="shared" si="39"/>
        <v/>
      </c>
      <c r="AF107" s="41"/>
      <c r="AG107" s="41" t="str">
        <f t="shared" si="40"/>
        <v/>
      </c>
      <c r="AH107" s="41" t="str">
        <f t="shared" si="52"/>
        <v/>
      </c>
      <c r="AI107" s="41" t="str">
        <f t="shared" si="53"/>
        <v/>
      </c>
      <c r="AJ107" s="41">
        <f t="shared" si="41"/>
        <v>0</v>
      </c>
      <c r="AK107" s="41" t="str">
        <f t="shared" si="42"/>
        <v/>
      </c>
      <c r="AL107" s="41">
        <f t="shared" si="54"/>
        <v>0</v>
      </c>
      <c r="AM107" s="41">
        <f t="shared" si="43"/>
        <v>0</v>
      </c>
      <c r="AN107" s="41" t="str">
        <f t="shared" si="44"/>
        <v/>
      </c>
      <c r="AO107" s="41">
        <f t="shared" si="61"/>
        <v>0</v>
      </c>
      <c r="AP107" s="48"/>
      <c r="AQ107" s="48"/>
      <c r="AR107" s="48"/>
      <c r="AS107" s="48"/>
      <c r="AT107" s="51">
        <f t="shared" si="55"/>
        <v>103</v>
      </c>
      <c r="AU107" s="49" t="str">
        <f t="shared" si="56"/>
        <v/>
      </c>
      <c r="AV107" s="49" t="str">
        <f t="shared" si="57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8.3642060863608994E-2</v>
      </c>
      <c r="C108">
        <f t="shared" si="63"/>
        <v>7.8623537211792452E-2</v>
      </c>
      <c r="D108" s="60"/>
      <c r="E108" s="5"/>
      <c r="F108" s="5"/>
      <c r="I108" s="40"/>
      <c r="J108" s="41"/>
      <c r="K108" s="41" t="str">
        <f t="shared" si="58"/>
        <v/>
      </c>
      <c r="L108" s="42" t="str">
        <f t="shared" si="59"/>
        <v/>
      </c>
      <c r="M108" s="41" t="str">
        <f t="shared" si="60"/>
        <v/>
      </c>
      <c r="N108" s="43">
        <f t="shared" si="32"/>
        <v>0</v>
      </c>
      <c r="O108" s="44">
        <f t="shared" si="33"/>
        <v>0</v>
      </c>
      <c r="P108" s="41" t="str">
        <f t="shared" si="34"/>
        <v/>
      </c>
      <c r="Q108" s="41" t="str">
        <f t="shared" si="35"/>
        <v/>
      </c>
      <c r="R108" s="48"/>
      <c r="S108" s="44" t="str">
        <f t="shared" si="46"/>
        <v/>
      </c>
      <c r="T108" s="52">
        <f t="shared" si="62"/>
        <v>0</v>
      </c>
      <c r="U108" s="53" t="str">
        <f t="shared" si="47"/>
        <v/>
      </c>
      <c r="V108" s="53" t="str">
        <f t="shared" si="48"/>
        <v/>
      </c>
      <c r="W108" s="53" t="str">
        <f t="shared" si="49"/>
        <v/>
      </c>
      <c r="X108" s="46" t="str">
        <f t="shared" si="36"/>
        <v/>
      </c>
      <c r="Y108" s="48"/>
      <c r="Z108" s="41" t="str">
        <f t="shared" si="50"/>
        <v/>
      </c>
      <c r="AA108" s="41" t="str">
        <f t="shared" si="51"/>
        <v/>
      </c>
      <c r="AB108" s="41" t="str">
        <f t="shared" si="37"/>
        <v/>
      </c>
      <c r="AC108" s="41" t="str">
        <f t="shared" si="38"/>
        <v/>
      </c>
      <c r="AD108" s="48"/>
      <c r="AE108" s="41" t="str">
        <f t="shared" si="39"/>
        <v/>
      </c>
      <c r="AF108" s="41"/>
      <c r="AG108" s="41" t="str">
        <f t="shared" si="40"/>
        <v/>
      </c>
      <c r="AH108" s="41" t="str">
        <f t="shared" si="52"/>
        <v/>
      </c>
      <c r="AI108" s="41" t="str">
        <f t="shared" si="53"/>
        <v/>
      </c>
      <c r="AJ108" s="41">
        <f t="shared" si="41"/>
        <v>0</v>
      </c>
      <c r="AK108" s="41" t="str">
        <f t="shared" si="42"/>
        <v/>
      </c>
      <c r="AL108" s="41">
        <f t="shared" si="54"/>
        <v>0</v>
      </c>
      <c r="AM108" s="41">
        <f t="shared" si="43"/>
        <v>0</v>
      </c>
      <c r="AN108" s="41" t="str">
        <f t="shared" si="44"/>
        <v/>
      </c>
      <c r="AO108" s="41">
        <f t="shared" si="61"/>
        <v>0</v>
      </c>
      <c r="AP108" s="48"/>
      <c r="AQ108" s="48"/>
      <c r="AR108" s="48"/>
      <c r="AS108" s="48"/>
      <c r="AT108" s="51">
        <f t="shared" si="55"/>
        <v>104</v>
      </c>
      <c r="AU108" s="49" t="str">
        <f t="shared" si="56"/>
        <v/>
      </c>
      <c r="AV108" s="49" t="str">
        <f t="shared" si="57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9.3789185454894702E-2</v>
      </c>
      <c r="C109">
        <f t="shared" si="63"/>
        <v>8.816183432760101E-2</v>
      </c>
      <c r="D109" s="60"/>
      <c r="E109" s="5"/>
      <c r="F109" s="5"/>
      <c r="I109" s="40"/>
      <c r="J109" s="41"/>
      <c r="K109" s="41" t="str">
        <f t="shared" si="58"/>
        <v/>
      </c>
      <c r="L109" s="42" t="str">
        <f t="shared" si="59"/>
        <v/>
      </c>
      <c r="M109" s="41" t="str">
        <f t="shared" si="60"/>
        <v/>
      </c>
      <c r="N109" s="43">
        <f t="shared" si="32"/>
        <v>0</v>
      </c>
      <c r="O109" s="44">
        <f t="shared" si="33"/>
        <v>0</v>
      </c>
      <c r="P109" s="41" t="str">
        <f t="shared" si="34"/>
        <v/>
      </c>
      <c r="Q109" s="41" t="str">
        <f t="shared" si="35"/>
        <v/>
      </c>
      <c r="R109" s="48"/>
      <c r="S109" s="44" t="str">
        <f t="shared" si="46"/>
        <v/>
      </c>
      <c r="T109" s="52">
        <f t="shared" si="62"/>
        <v>0</v>
      </c>
      <c r="U109" s="53" t="str">
        <f t="shared" si="47"/>
        <v/>
      </c>
      <c r="V109" s="53" t="str">
        <f t="shared" si="48"/>
        <v/>
      </c>
      <c r="W109" s="53" t="str">
        <f t="shared" si="49"/>
        <v/>
      </c>
      <c r="X109" s="46" t="str">
        <f t="shared" si="36"/>
        <v/>
      </c>
      <c r="Y109" s="48"/>
      <c r="Z109" s="41" t="str">
        <f t="shared" si="50"/>
        <v/>
      </c>
      <c r="AA109" s="41" t="str">
        <f t="shared" si="51"/>
        <v/>
      </c>
      <c r="AB109" s="41" t="str">
        <f t="shared" si="37"/>
        <v/>
      </c>
      <c r="AC109" s="41" t="str">
        <f t="shared" si="38"/>
        <v/>
      </c>
      <c r="AD109" s="48"/>
      <c r="AE109" s="41" t="str">
        <f t="shared" si="39"/>
        <v/>
      </c>
      <c r="AF109" s="41"/>
      <c r="AG109" s="41" t="str">
        <f t="shared" si="40"/>
        <v/>
      </c>
      <c r="AH109" s="41" t="str">
        <f t="shared" si="52"/>
        <v/>
      </c>
      <c r="AI109" s="41" t="str">
        <f t="shared" si="53"/>
        <v/>
      </c>
      <c r="AJ109" s="41">
        <f t="shared" si="41"/>
        <v>0</v>
      </c>
      <c r="AK109" s="41" t="str">
        <f t="shared" si="42"/>
        <v/>
      </c>
      <c r="AL109" s="41">
        <f t="shared" si="54"/>
        <v>0</v>
      </c>
      <c r="AM109" s="41">
        <f t="shared" si="43"/>
        <v>0</v>
      </c>
      <c r="AN109" s="41" t="str">
        <f t="shared" si="44"/>
        <v/>
      </c>
      <c r="AO109" s="41">
        <f t="shared" si="61"/>
        <v>0</v>
      </c>
      <c r="AP109" s="48"/>
      <c r="AQ109" s="48"/>
      <c r="AR109" s="48"/>
      <c r="AS109" s="48"/>
      <c r="AT109" s="51">
        <f t="shared" si="55"/>
        <v>105</v>
      </c>
      <c r="AU109" s="49" t="str">
        <f t="shared" si="56"/>
        <v/>
      </c>
      <c r="AV109" s="49" t="str">
        <f t="shared" si="57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0.1047470622921</v>
      </c>
      <c r="C110">
        <f t="shared" si="63"/>
        <v>9.8462238554573991E-2</v>
      </c>
      <c r="D110" s="60"/>
      <c r="E110" s="5"/>
      <c r="F110" s="5"/>
      <c r="I110" s="40"/>
      <c r="J110" s="41"/>
      <c r="K110" s="41" t="str">
        <f t="shared" si="58"/>
        <v/>
      </c>
      <c r="L110" s="42" t="str">
        <f t="shared" si="59"/>
        <v/>
      </c>
      <c r="M110" s="41" t="str">
        <f t="shared" si="60"/>
        <v/>
      </c>
      <c r="N110" s="43">
        <f t="shared" si="32"/>
        <v>0</v>
      </c>
      <c r="O110" s="44">
        <f t="shared" si="33"/>
        <v>0</v>
      </c>
      <c r="P110" s="41" t="str">
        <f t="shared" si="34"/>
        <v/>
      </c>
      <c r="Q110" s="41" t="str">
        <f t="shared" si="35"/>
        <v/>
      </c>
      <c r="R110" s="48"/>
      <c r="S110" s="44" t="str">
        <f t="shared" si="46"/>
        <v/>
      </c>
      <c r="T110" s="52">
        <f t="shared" si="62"/>
        <v>0</v>
      </c>
      <c r="U110" s="53" t="str">
        <f t="shared" si="47"/>
        <v/>
      </c>
      <c r="V110" s="53" t="str">
        <f t="shared" si="48"/>
        <v/>
      </c>
      <c r="W110" s="53" t="str">
        <f t="shared" si="49"/>
        <v/>
      </c>
      <c r="X110" s="46" t="str">
        <f t="shared" si="36"/>
        <v/>
      </c>
      <c r="Y110" s="48"/>
      <c r="Z110" s="41" t="str">
        <f t="shared" si="50"/>
        <v/>
      </c>
      <c r="AA110" s="41" t="str">
        <f t="shared" si="51"/>
        <v/>
      </c>
      <c r="AB110" s="41" t="str">
        <f t="shared" si="37"/>
        <v/>
      </c>
      <c r="AC110" s="41" t="str">
        <f t="shared" si="38"/>
        <v/>
      </c>
      <c r="AD110" s="48"/>
      <c r="AE110" s="41" t="str">
        <f t="shared" si="39"/>
        <v/>
      </c>
      <c r="AF110" s="41"/>
      <c r="AG110" s="41" t="str">
        <f t="shared" si="40"/>
        <v/>
      </c>
      <c r="AH110" s="41" t="str">
        <f t="shared" si="52"/>
        <v/>
      </c>
      <c r="AI110" s="41" t="str">
        <f t="shared" si="53"/>
        <v/>
      </c>
      <c r="AJ110" s="41">
        <f t="shared" si="41"/>
        <v>0</v>
      </c>
      <c r="AK110" s="41" t="str">
        <f t="shared" si="42"/>
        <v/>
      </c>
      <c r="AL110" s="41">
        <f t="shared" si="54"/>
        <v>0</v>
      </c>
      <c r="AM110" s="41">
        <f t="shared" si="43"/>
        <v>0</v>
      </c>
      <c r="AN110" s="41" t="str">
        <f t="shared" si="44"/>
        <v/>
      </c>
      <c r="AO110" s="41">
        <f t="shared" si="61"/>
        <v>0</v>
      </c>
      <c r="AP110" s="48"/>
      <c r="AQ110" s="48"/>
      <c r="AR110" s="48"/>
      <c r="AS110" s="48"/>
      <c r="AT110" s="51">
        <f t="shared" si="55"/>
        <v>106</v>
      </c>
      <c r="AU110" s="49" t="str">
        <f t="shared" si="56"/>
        <v/>
      </c>
      <c r="AV110" s="49" t="str">
        <f t="shared" si="57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0.116192942970816</v>
      </c>
      <c r="C111">
        <f t="shared" si="63"/>
        <v>0.10922136639256703</v>
      </c>
      <c r="D111" s="60"/>
      <c r="E111" s="5"/>
      <c r="F111" s="5"/>
      <c r="I111" s="40"/>
      <c r="J111" s="41"/>
      <c r="K111" s="41" t="str">
        <f t="shared" si="58"/>
        <v/>
      </c>
      <c r="L111" s="42" t="str">
        <f t="shared" si="59"/>
        <v/>
      </c>
      <c r="M111" s="41" t="str">
        <f t="shared" si="60"/>
        <v/>
      </c>
      <c r="N111" s="43">
        <f t="shared" si="32"/>
        <v>0</v>
      </c>
      <c r="O111" s="44">
        <f t="shared" si="33"/>
        <v>0</v>
      </c>
      <c r="P111" s="41" t="str">
        <f t="shared" si="34"/>
        <v/>
      </c>
      <c r="Q111" s="41" t="str">
        <f t="shared" si="35"/>
        <v/>
      </c>
      <c r="R111" s="48"/>
      <c r="S111" s="44" t="str">
        <f t="shared" si="46"/>
        <v/>
      </c>
      <c r="T111" s="52">
        <f t="shared" si="62"/>
        <v>0</v>
      </c>
      <c r="U111" s="53" t="str">
        <f t="shared" si="47"/>
        <v/>
      </c>
      <c r="V111" s="53" t="str">
        <f t="shared" si="48"/>
        <v/>
      </c>
      <c r="W111" s="53" t="str">
        <f t="shared" si="49"/>
        <v/>
      </c>
      <c r="X111" s="46" t="str">
        <f t="shared" si="36"/>
        <v/>
      </c>
      <c r="Y111" s="48"/>
      <c r="Z111" s="41" t="str">
        <f t="shared" si="50"/>
        <v/>
      </c>
      <c r="AA111" s="41" t="str">
        <f t="shared" si="51"/>
        <v/>
      </c>
      <c r="AB111" s="41" t="str">
        <f t="shared" si="37"/>
        <v/>
      </c>
      <c r="AC111" s="41" t="str">
        <f t="shared" si="38"/>
        <v/>
      </c>
      <c r="AD111" s="48"/>
      <c r="AE111" s="41" t="str">
        <f t="shared" si="39"/>
        <v/>
      </c>
      <c r="AF111" s="41"/>
      <c r="AG111" s="41" t="str">
        <f t="shared" si="40"/>
        <v/>
      </c>
      <c r="AH111" s="41" t="str">
        <f t="shared" si="52"/>
        <v/>
      </c>
      <c r="AI111" s="41" t="str">
        <f t="shared" si="53"/>
        <v/>
      </c>
      <c r="AJ111" s="41">
        <f t="shared" si="41"/>
        <v>0</v>
      </c>
      <c r="AK111" s="41" t="str">
        <f t="shared" si="42"/>
        <v/>
      </c>
      <c r="AL111" s="41">
        <f t="shared" si="54"/>
        <v>0</v>
      </c>
      <c r="AM111" s="41">
        <f t="shared" si="43"/>
        <v>0</v>
      </c>
      <c r="AN111" s="41" t="str">
        <f t="shared" si="44"/>
        <v/>
      </c>
      <c r="AO111" s="41">
        <f t="shared" si="61"/>
        <v>0</v>
      </c>
      <c r="AP111" s="48"/>
      <c r="AQ111" s="48"/>
      <c r="AR111" s="48"/>
      <c r="AS111" s="48"/>
      <c r="AT111" s="51">
        <f t="shared" si="55"/>
        <v>107</v>
      </c>
      <c r="AU111" s="49" t="str">
        <f t="shared" si="56"/>
        <v/>
      </c>
      <c r="AV111" s="49" t="str">
        <f t="shared" si="57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0.12868109548958601</v>
      </c>
      <c r="C112">
        <f t="shared" si="63"/>
        <v>0.12096022976021084</v>
      </c>
      <c r="D112" s="60"/>
      <c r="E112" s="5"/>
      <c r="F112" s="5"/>
      <c r="I112" s="40"/>
      <c r="J112" s="41"/>
      <c r="K112" s="41" t="str">
        <f t="shared" si="58"/>
        <v/>
      </c>
      <c r="L112" s="42" t="str">
        <f t="shared" si="59"/>
        <v/>
      </c>
      <c r="M112" s="41" t="str">
        <f t="shared" si="60"/>
        <v/>
      </c>
      <c r="N112" s="43">
        <f t="shared" si="32"/>
        <v>0</v>
      </c>
      <c r="O112" s="44">
        <f t="shared" si="33"/>
        <v>0</v>
      </c>
      <c r="P112" s="41" t="str">
        <f t="shared" si="34"/>
        <v/>
      </c>
      <c r="Q112" s="41" t="str">
        <f t="shared" si="35"/>
        <v/>
      </c>
      <c r="R112" s="48"/>
      <c r="S112" s="44" t="str">
        <f t="shared" si="46"/>
        <v/>
      </c>
      <c r="T112" s="52">
        <f t="shared" si="62"/>
        <v>0</v>
      </c>
      <c r="U112" s="53" t="str">
        <f t="shared" si="47"/>
        <v/>
      </c>
      <c r="V112" s="53" t="str">
        <f t="shared" si="48"/>
        <v/>
      </c>
      <c r="W112" s="53" t="str">
        <f t="shared" si="49"/>
        <v/>
      </c>
      <c r="X112" s="46" t="str">
        <f t="shared" si="36"/>
        <v/>
      </c>
      <c r="Y112" s="48"/>
      <c r="Z112" s="41" t="str">
        <f t="shared" si="50"/>
        <v/>
      </c>
      <c r="AA112" s="41" t="str">
        <f t="shared" si="51"/>
        <v/>
      </c>
      <c r="AB112" s="41" t="str">
        <f t="shared" si="37"/>
        <v/>
      </c>
      <c r="AC112" s="41" t="str">
        <f t="shared" si="38"/>
        <v/>
      </c>
      <c r="AD112" s="48"/>
      <c r="AE112" s="41" t="str">
        <f t="shared" si="39"/>
        <v/>
      </c>
      <c r="AF112" s="41"/>
      <c r="AG112" s="41" t="str">
        <f t="shared" si="40"/>
        <v/>
      </c>
      <c r="AH112" s="41" t="str">
        <f t="shared" si="52"/>
        <v/>
      </c>
      <c r="AI112" s="41" t="str">
        <f t="shared" si="53"/>
        <v/>
      </c>
      <c r="AJ112" s="41">
        <f t="shared" si="41"/>
        <v>0</v>
      </c>
      <c r="AK112" s="41" t="str">
        <f t="shared" si="42"/>
        <v/>
      </c>
      <c r="AL112" s="41">
        <f t="shared" si="54"/>
        <v>0</v>
      </c>
      <c r="AM112" s="41">
        <f t="shared" si="43"/>
        <v>0</v>
      </c>
      <c r="AN112" s="41" t="str">
        <f t="shared" si="44"/>
        <v/>
      </c>
      <c r="AO112" s="41">
        <f t="shared" si="61"/>
        <v>0</v>
      </c>
      <c r="AP112" s="48"/>
      <c r="AQ112" s="48"/>
      <c r="AR112" s="48"/>
      <c r="AS112" s="48"/>
      <c r="AT112" s="51">
        <f t="shared" si="55"/>
        <v>108</v>
      </c>
      <c r="AU112" s="49" t="str">
        <f t="shared" si="56"/>
        <v/>
      </c>
      <c r="AV112" s="49" t="str">
        <f t="shared" si="57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0.14216579369065799</v>
      </c>
      <c r="C113">
        <f t="shared" si="63"/>
        <v>0.13363584606921849</v>
      </c>
      <c r="D113" s="60"/>
      <c r="E113" s="5"/>
      <c r="F113" s="5"/>
      <c r="I113" s="40"/>
      <c r="J113" s="41"/>
      <c r="K113" s="41" t="str">
        <f t="shared" si="58"/>
        <v/>
      </c>
      <c r="L113" s="42" t="str">
        <f t="shared" si="59"/>
        <v/>
      </c>
      <c r="M113" s="41" t="str">
        <f t="shared" si="60"/>
        <v/>
      </c>
      <c r="N113" s="43">
        <f t="shared" si="32"/>
        <v>0</v>
      </c>
      <c r="O113" s="44">
        <f t="shared" si="33"/>
        <v>0</v>
      </c>
      <c r="P113" s="41" t="str">
        <f t="shared" si="34"/>
        <v/>
      </c>
      <c r="Q113" s="41" t="str">
        <f t="shared" si="35"/>
        <v/>
      </c>
      <c r="R113" s="48"/>
      <c r="S113" s="44" t="str">
        <f t="shared" si="46"/>
        <v/>
      </c>
      <c r="T113" s="52">
        <f t="shared" si="62"/>
        <v>0</v>
      </c>
      <c r="U113" s="53" t="str">
        <f t="shared" si="47"/>
        <v/>
      </c>
      <c r="V113" s="53" t="str">
        <f t="shared" si="48"/>
        <v/>
      </c>
      <c r="W113" s="53" t="str">
        <f t="shared" si="49"/>
        <v/>
      </c>
      <c r="X113" s="46" t="str">
        <f t="shared" si="36"/>
        <v/>
      </c>
      <c r="Y113" s="48"/>
      <c r="Z113" s="41" t="str">
        <f t="shared" si="50"/>
        <v/>
      </c>
      <c r="AA113" s="41" t="str">
        <f t="shared" si="51"/>
        <v/>
      </c>
      <c r="AB113" s="41" t="str">
        <f t="shared" si="37"/>
        <v/>
      </c>
      <c r="AC113" s="41" t="str">
        <f t="shared" si="38"/>
        <v/>
      </c>
      <c r="AD113" s="48"/>
      <c r="AE113" s="41" t="str">
        <f t="shared" si="39"/>
        <v/>
      </c>
      <c r="AF113" s="41"/>
      <c r="AG113" s="41" t="str">
        <f t="shared" si="40"/>
        <v/>
      </c>
      <c r="AH113" s="41" t="str">
        <f t="shared" si="52"/>
        <v/>
      </c>
      <c r="AI113" s="41" t="str">
        <f t="shared" si="53"/>
        <v/>
      </c>
      <c r="AJ113" s="41">
        <f t="shared" si="41"/>
        <v>0</v>
      </c>
      <c r="AK113" s="41" t="str">
        <f t="shared" si="42"/>
        <v/>
      </c>
      <c r="AL113" s="41">
        <f t="shared" si="54"/>
        <v>0</v>
      </c>
      <c r="AM113" s="41">
        <f t="shared" si="43"/>
        <v>0</v>
      </c>
      <c r="AN113" s="41" t="str">
        <f t="shared" si="44"/>
        <v/>
      </c>
      <c r="AO113" s="41">
        <f t="shared" si="61"/>
        <v>0</v>
      </c>
      <c r="AP113" s="48"/>
      <c r="AQ113" s="48"/>
      <c r="AR113" s="48"/>
      <c r="AS113" s="48"/>
      <c r="AT113" s="51">
        <f t="shared" si="55"/>
        <v>109</v>
      </c>
      <c r="AU113" s="49" t="str">
        <f t="shared" si="56"/>
        <v/>
      </c>
      <c r="AV113" s="49" t="str">
        <f t="shared" si="57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0.15701637341390101</v>
      </c>
      <c r="C114">
        <f t="shared" si="63"/>
        <v>0.14759539100906693</v>
      </c>
      <c r="D114" s="60"/>
      <c r="E114" s="5"/>
      <c r="F114" s="5"/>
      <c r="I114" s="40"/>
      <c r="J114" s="41"/>
      <c r="K114" s="41" t="str">
        <f t="shared" si="58"/>
        <v/>
      </c>
      <c r="L114" s="42" t="str">
        <f t="shared" si="59"/>
        <v/>
      </c>
      <c r="M114" s="41" t="str">
        <f t="shared" si="60"/>
        <v/>
      </c>
      <c r="N114" s="43">
        <f t="shared" si="32"/>
        <v>0</v>
      </c>
      <c r="O114" s="44">
        <f t="shared" si="33"/>
        <v>0</v>
      </c>
      <c r="P114" s="41" t="str">
        <f t="shared" si="34"/>
        <v/>
      </c>
      <c r="Q114" s="41" t="str">
        <f t="shared" si="35"/>
        <v/>
      </c>
      <c r="R114" s="48"/>
      <c r="S114" s="44" t="str">
        <f t="shared" si="46"/>
        <v/>
      </c>
      <c r="T114" s="52">
        <f t="shared" si="62"/>
        <v>0</v>
      </c>
      <c r="U114" s="53" t="str">
        <f t="shared" si="47"/>
        <v/>
      </c>
      <c r="V114" s="53" t="str">
        <f t="shared" si="48"/>
        <v/>
      </c>
      <c r="W114" s="53" t="str">
        <f t="shared" si="49"/>
        <v/>
      </c>
      <c r="X114" s="46" t="str">
        <f t="shared" si="36"/>
        <v/>
      </c>
      <c r="Y114" s="48"/>
      <c r="Z114" s="41" t="str">
        <f t="shared" si="50"/>
        <v/>
      </c>
      <c r="AA114" s="41" t="str">
        <f t="shared" si="51"/>
        <v/>
      </c>
      <c r="AB114" s="41" t="str">
        <f t="shared" si="37"/>
        <v/>
      </c>
      <c r="AC114" s="41" t="str">
        <f t="shared" si="38"/>
        <v/>
      </c>
      <c r="AD114" s="48"/>
      <c r="AE114" s="41" t="str">
        <f t="shared" si="39"/>
        <v/>
      </c>
      <c r="AF114" s="41"/>
      <c r="AG114" s="41" t="str">
        <f t="shared" si="40"/>
        <v/>
      </c>
      <c r="AH114" s="41" t="str">
        <f t="shared" si="52"/>
        <v/>
      </c>
      <c r="AI114" s="41" t="str">
        <f t="shared" si="53"/>
        <v/>
      </c>
      <c r="AJ114" s="41">
        <f t="shared" si="41"/>
        <v>0</v>
      </c>
      <c r="AK114" s="41" t="str">
        <f t="shared" si="42"/>
        <v/>
      </c>
      <c r="AL114" s="41">
        <f t="shared" si="54"/>
        <v>0</v>
      </c>
      <c r="AM114" s="41">
        <f t="shared" si="43"/>
        <v>0</v>
      </c>
      <c r="AN114" s="41" t="str">
        <f t="shared" si="44"/>
        <v/>
      </c>
      <c r="AO114" s="41">
        <f t="shared" si="61"/>
        <v>0</v>
      </c>
      <c r="AP114" s="48"/>
      <c r="AQ114" s="48"/>
      <c r="AR114" s="48"/>
      <c r="AS114" s="48"/>
      <c r="AT114" s="51">
        <f t="shared" si="55"/>
        <v>110</v>
      </c>
      <c r="AU114" s="49" t="str">
        <f t="shared" si="56"/>
        <v/>
      </c>
      <c r="AV114" s="49" t="str">
        <f t="shared" si="57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0.17342897341473201</v>
      </c>
      <c r="C115">
        <f t="shared" si="63"/>
        <v>0.16302323500984808</v>
      </c>
      <c r="D115" s="60"/>
      <c r="E115" s="5"/>
      <c r="F115" s="5"/>
      <c r="I115" s="40"/>
      <c r="J115" s="41"/>
      <c r="K115" s="41" t="str">
        <f t="shared" si="58"/>
        <v/>
      </c>
      <c r="L115" s="42" t="str">
        <f t="shared" si="59"/>
        <v/>
      </c>
      <c r="M115" s="41" t="str">
        <f t="shared" si="60"/>
        <v/>
      </c>
      <c r="N115" s="43">
        <f t="shared" si="32"/>
        <v>0</v>
      </c>
      <c r="O115" s="44">
        <f t="shared" si="33"/>
        <v>0</v>
      </c>
      <c r="P115" s="41" t="str">
        <f t="shared" si="34"/>
        <v/>
      </c>
      <c r="Q115" s="41" t="str">
        <f t="shared" si="35"/>
        <v/>
      </c>
      <c r="R115" s="48"/>
      <c r="S115" s="44" t="str">
        <f t="shared" si="46"/>
        <v/>
      </c>
      <c r="T115" s="52">
        <f t="shared" si="62"/>
        <v>0</v>
      </c>
      <c r="U115" s="53" t="str">
        <f t="shared" si="47"/>
        <v/>
      </c>
      <c r="V115" s="53" t="str">
        <f t="shared" si="48"/>
        <v/>
      </c>
      <c r="W115" s="53" t="str">
        <f t="shared" si="49"/>
        <v/>
      </c>
      <c r="X115" s="46" t="str">
        <f t="shared" si="36"/>
        <v/>
      </c>
      <c r="Y115" s="48"/>
      <c r="Z115" s="41" t="str">
        <f t="shared" si="50"/>
        <v/>
      </c>
      <c r="AA115" s="41" t="str">
        <f t="shared" si="51"/>
        <v/>
      </c>
      <c r="AB115" s="41" t="str">
        <f t="shared" si="37"/>
        <v/>
      </c>
      <c r="AC115" s="41" t="str">
        <f t="shared" si="38"/>
        <v/>
      </c>
      <c r="AD115" s="48"/>
      <c r="AE115" s="41" t="str">
        <f t="shared" si="39"/>
        <v/>
      </c>
      <c r="AF115" s="41"/>
      <c r="AG115" s="41" t="str">
        <f t="shared" si="40"/>
        <v/>
      </c>
      <c r="AH115" s="41" t="str">
        <f t="shared" si="52"/>
        <v/>
      </c>
      <c r="AI115" s="41" t="str">
        <f t="shared" si="53"/>
        <v/>
      </c>
      <c r="AJ115" s="41">
        <f t="shared" si="41"/>
        <v>0</v>
      </c>
      <c r="AK115" s="41" t="str">
        <f t="shared" si="42"/>
        <v/>
      </c>
      <c r="AL115" s="41">
        <f t="shared" si="54"/>
        <v>0</v>
      </c>
      <c r="AM115" s="41">
        <f t="shared" si="43"/>
        <v>0</v>
      </c>
      <c r="AN115" s="41" t="str">
        <f t="shared" si="44"/>
        <v/>
      </c>
      <c r="AO115" s="41">
        <f t="shared" si="61"/>
        <v>0</v>
      </c>
      <c r="AP115" s="48"/>
      <c r="AQ115" s="48"/>
      <c r="AR115" s="48"/>
      <c r="AS115" s="48"/>
      <c r="AT115" s="51">
        <f t="shared" si="55"/>
        <v>111</v>
      </c>
      <c r="AU115" s="49" t="str">
        <f t="shared" si="56"/>
        <v/>
      </c>
      <c r="AV115" s="49" t="str">
        <f t="shared" si="57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0.18972037160358901</v>
      </c>
      <c r="C116">
        <f t="shared" si="63"/>
        <v>0.17833714930737365</v>
      </c>
      <c r="D116" s="60"/>
      <c r="E116" s="5"/>
      <c r="F116" s="5"/>
      <c r="I116" s="40"/>
      <c r="J116" s="41"/>
      <c r="K116" s="41" t="str">
        <f t="shared" si="58"/>
        <v/>
      </c>
      <c r="L116" s="42" t="str">
        <f t="shared" si="59"/>
        <v/>
      </c>
      <c r="M116" s="41" t="str">
        <f t="shared" si="60"/>
        <v/>
      </c>
      <c r="N116" s="43">
        <f t="shared" si="32"/>
        <v>0</v>
      </c>
      <c r="O116" s="44">
        <f t="shared" si="33"/>
        <v>0</v>
      </c>
      <c r="P116" s="41" t="str">
        <f t="shared" si="34"/>
        <v/>
      </c>
      <c r="Q116" s="41" t="str">
        <f t="shared" si="35"/>
        <v/>
      </c>
      <c r="R116" s="48"/>
      <c r="S116" s="44" t="str">
        <f t="shared" si="46"/>
        <v/>
      </c>
      <c r="T116" s="52">
        <f t="shared" si="62"/>
        <v>0</v>
      </c>
      <c r="U116" s="53" t="str">
        <f t="shared" si="47"/>
        <v/>
      </c>
      <c r="V116" s="53" t="str">
        <f t="shared" si="48"/>
        <v/>
      </c>
      <c r="W116" s="53" t="str">
        <f t="shared" si="49"/>
        <v/>
      </c>
      <c r="X116" s="46" t="str">
        <f t="shared" si="36"/>
        <v/>
      </c>
      <c r="Y116" s="48"/>
      <c r="Z116" s="41" t="str">
        <f t="shared" si="50"/>
        <v/>
      </c>
      <c r="AA116" s="41" t="str">
        <f t="shared" si="51"/>
        <v/>
      </c>
      <c r="AB116" s="41" t="str">
        <f t="shared" si="37"/>
        <v/>
      </c>
      <c r="AC116" s="41" t="str">
        <f t="shared" si="38"/>
        <v/>
      </c>
      <c r="AD116" s="48"/>
      <c r="AE116" s="41" t="str">
        <f t="shared" si="39"/>
        <v/>
      </c>
      <c r="AF116" s="41"/>
      <c r="AG116" s="41" t="str">
        <f t="shared" si="40"/>
        <v/>
      </c>
      <c r="AH116" s="41" t="str">
        <f t="shared" si="52"/>
        <v/>
      </c>
      <c r="AI116" s="41" t="str">
        <f t="shared" si="53"/>
        <v/>
      </c>
      <c r="AJ116" s="41">
        <f t="shared" si="41"/>
        <v>0</v>
      </c>
      <c r="AK116" s="41" t="str">
        <f t="shared" si="42"/>
        <v/>
      </c>
      <c r="AL116" s="41">
        <f t="shared" si="54"/>
        <v>0</v>
      </c>
      <c r="AM116" s="41">
        <f t="shared" si="43"/>
        <v>0</v>
      </c>
      <c r="AN116" s="41" t="str">
        <f t="shared" si="44"/>
        <v/>
      </c>
      <c r="AO116" s="41">
        <f t="shared" si="61"/>
        <v>0</v>
      </c>
      <c r="AP116" s="48"/>
      <c r="AQ116" s="48"/>
      <c r="AR116" s="48"/>
      <c r="AS116" s="48"/>
      <c r="AT116" s="51">
        <f t="shared" si="55"/>
        <v>112</v>
      </c>
      <c r="AU116" s="49" t="str">
        <f t="shared" si="56"/>
        <v/>
      </c>
      <c r="AV116" s="49" t="str">
        <f t="shared" si="57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0.20730295683049599</v>
      </c>
      <c r="C117">
        <f t="shared" si="63"/>
        <v>0.19486477942066621</v>
      </c>
      <c r="D117" s="60"/>
      <c r="E117" s="5"/>
      <c r="F117" s="5"/>
      <c r="I117" s="40"/>
      <c r="J117" s="41"/>
      <c r="K117" s="41" t="str">
        <f t="shared" si="58"/>
        <v/>
      </c>
      <c r="L117" s="42" t="str">
        <f t="shared" si="59"/>
        <v/>
      </c>
      <c r="M117" s="41" t="str">
        <f t="shared" si="60"/>
        <v/>
      </c>
      <c r="N117" s="43">
        <f t="shared" si="32"/>
        <v>0</v>
      </c>
      <c r="O117" s="44">
        <f t="shared" si="33"/>
        <v>0</v>
      </c>
      <c r="P117" s="41" t="str">
        <f t="shared" si="34"/>
        <v/>
      </c>
      <c r="Q117" s="41" t="str">
        <f t="shared" si="35"/>
        <v/>
      </c>
      <c r="R117" s="48"/>
      <c r="S117" s="44" t="str">
        <f t="shared" si="46"/>
        <v/>
      </c>
      <c r="T117" s="52">
        <f t="shared" si="62"/>
        <v>0</v>
      </c>
      <c r="U117" s="53" t="str">
        <f t="shared" si="47"/>
        <v/>
      </c>
      <c r="V117" s="53" t="str">
        <f t="shared" si="48"/>
        <v/>
      </c>
      <c r="W117" s="53" t="str">
        <f t="shared" si="49"/>
        <v/>
      </c>
      <c r="X117" s="46" t="str">
        <f t="shared" si="36"/>
        <v/>
      </c>
      <c r="Y117" s="48"/>
      <c r="Z117" s="41" t="str">
        <f t="shared" si="50"/>
        <v/>
      </c>
      <c r="AA117" s="41" t="str">
        <f t="shared" si="51"/>
        <v/>
      </c>
      <c r="AB117" s="41" t="str">
        <f t="shared" si="37"/>
        <v/>
      </c>
      <c r="AC117" s="41" t="str">
        <f t="shared" si="38"/>
        <v/>
      </c>
      <c r="AD117" s="48"/>
      <c r="AE117" s="41" t="str">
        <f t="shared" si="39"/>
        <v/>
      </c>
      <c r="AF117" s="41"/>
      <c r="AG117" s="41" t="str">
        <f t="shared" si="40"/>
        <v/>
      </c>
      <c r="AH117" s="41" t="str">
        <f t="shared" si="52"/>
        <v/>
      </c>
      <c r="AI117" s="41" t="str">
        <f t="shared" si="53"/>
        <v/>
      </c>
      <c r="AJ117" s="41">
        <f t="shared" si="41"/>
        <v>0</v>
      </c>
      <c r="AK117" s="41" t="str">
        <f t="shared" si="42"/>
        <v/>
      </c>
      <c r="AL117" s="41">
        <f t="shared" si="54"/>
        <v>0</v>
      </c>
      <c r="AM117" s="41">
        <f t="shared" si="43"/>
        <v>0</v>
      </c>
      <c r="AN117" s="41" t="str">
        <f t="shared" si="44"/>
        <v/>
      </c>
      <c r="AO117" s="41">
        <f t="shared" si="61"/>
        <v>0</v>
      </c>
      <c r="AP117" s="48"/>
      <c r="AQ117" s="48"/>
      <c r="AR117" s="48"/>
      <c r="AS117" s="48"/>
      <c r="AT117" s="51">
        <f t="shared" si="55"/>
        <v>113</v>
      </c>
      <c r="AU117" s="49" t="str">
        <f t="shared" si="56"/>
        <v/>
      </c>
      <c r="AV117" s="49" t="str">
        <f t="shared" si="57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0.22571377293009801</v>
      </c>
      <c r="C118">
        <f t="shared" si="63"/>
        <v>0.21217094655429211</v>
      </c>
      <c r="D118" s="60"/>
      <c r="E118" s="5"/>
      <c r="F118" s="5"/>
      <c r="I118" s="40"/>
      <c r="J118" s="41"/>
      <c r="K118" s="41" t="str">
        <f t="shared" si="58"/>
        <v/>
      </c>
      <c r="L118" s="42" t="str">
        <f t="shared" si="59"/>
        <v/>
      </c>
      <c r="M118" s="41" t="str">
        <f t="shared" si="60"/>
        <v/>
      </c>
      <c r="N118" s="43">
        <f t="shared" si="32"/>
        <v>0</v>
      </c>
      <c r="O118" s="44">
        <f t="shared" si="33"/>
        <v>0</v>
      </c>
      <c r="P118" s="41" t="str">
        <f t="shared" si="34"/>
        <v/>
      </c>
      <c r="Q118" s="41" t="str">
        <f t="shared" si="35"/>
        <v/>
      </c>
      <c r="R118" s="48"/>
      <c r="S118" s="44" t="str">
        <f t="shared" si="46"/>
        <v/>
      </c>
      <c r="T118" s="52">
        <f t="shared" si="62"/>
        <v>0</v>
      </c>
      <c r="U118" s="53" t="str">
        <f t="shared" si="47"/>
        <v/>
      </c>
      <c r="V118" s="53" t="str">
        <f t="shared" si="48"/>
        <v/>
      </c>
      <c r="W118" s="53" t="str">
        <f t="shared" si="49"/>
        <v/>
      </c>
      <c r="X118" s="46" t="str">
        <f t="shared" si="36"/>
        <v/>
      </c>
      <c r="Y118" s="48"/>
      <c r="Z118" s="41" t="str">
        <f t="shared" si="50"/>
        <v/>
      </c>
      <c r="AA118" s="41" t="str">
        <f t="shared" si="51"/>
        <v/>
      </c>
      <c r="AB118" s="41" t="str">
        <f t="shared" si="37"/>
        <v/>
      </c>
      <c r="AC118" s="41" t="str">
        <f t="shared" si="38"/>
        <v/>
      </c>
      <c r="AD118" s="48"/>
      <c r="AE118" s="41" t="str">
        <f t="shared" si="39"/>
        <v/>
      </c>
      <c r="AF118" s="41"/>
      <c r="AG118" s="41" t="str">
        <f t="shared" si="40"/>
        <v/>
      </c>
      <c r="AH118" s="41" t="str">
        <f t="shared" si="52"/>
        <v/>
      </c>
      <c r="AI118" s="41" t="str">
        <f t="shared" si="53"/>
        <v/>
      </c>
      <c r="AJ118" s="41">
        <f t="shared" si="41"/>
        <v>0</v>
      </c>
      <c r="AK118" s="41" t="str">
        <f t="shared" si="42"/>
        <v/>
      </c>
      <c r="AL118" s="41">
        <f t="shared" si="54"/>
        <v>0</v>
      </c>
      <c r="AM118" s="41">
        <f t="shared" si="43"/>
        <v>0</v>
      </c>
      <c r="AN118" s="41" t="str">
        <f t="shared" si="44"/>
        <v/>
      </c>
      <c r="AO118" s="41">
        <f t="shared" si="61"/>
        <v>0</v>
      </c>
      <c r="AP118" s="48"/>
      <c r="AQ118" s="48"/>
      <c r="AR118" s="48"/>
      <c r="AS118" s="48"/>
      <c r="AT118" s="51">
        <f t="shared" si="55"/>
        <v>114</v>
      </c>
      <c r="AU118" s="49" t="str">
        <f t="shared" si="56"/>
        <v/>
      </c>
      <c r="AV118" s="49" t="str">
        <f t="shared" si="57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0.24472147326673499</v>
      </c>
      <c r="C119">
        <f t="shared" si="63"/>
        <v>0.23003818487073088</v>
      </c>
      <c r="D119" s="60"/>
      <c r="E119" s="5"/>
      <c r="F119" s="5"/>
      <c r="I119" s="40"/>
      <c r="J119" s="41"/>
      <c r="K119" s="41" t="str">
        <f t="shared" si="58"/>
        <v/>
      </c>
      <c r="L119" s="42" t="str">
        <f t="shared" si="59"/>
        <v/>
      </c>
      <c r="M119" s="41" t="str">
        <f t="shared" si="60"/>
        <v/>
      </c>
      <c r="N119" s="43">
        <f t="shared" si="32"/>
        <v>0</v>
      </c>
      <c r="O119" s="44">
        <f t="shared" si="33"/>
        <v>0</v>
      </c>
      <c r="P119" s="41" t="str">
        <f t="shared" si="34"/>
        <v/>
      </c>
      <c r="Q119" s="41" t="str">
        <f t="shared" si="35"/>
        <v/>
      </c>
      <c r="R119" s="48"/>
      <c r="S119" s="44" t="str">
        <f t="shared" si="46"/>
        <v/>
      </c>
      <c r="T119" s="52">
        <f t="shared" si="62"/>
        <v>0</v>
      </c>
      <c r="U119" s="53" t="str">
        <f t="shared" si="47"/>
        <v/>
      </c>
      <c r="V119" s="53" t="str">
        <f t="shared" si="48"/>
        <v/>
      </c>
      <c r="W119" s="53" t="str">
        <f t="shared" si="49"/>
        <v/>
      </c>
      <c r="X119" s="46" t="str">
        <f t="shared" si="36"/>
        <v/>
      </c>
      <c r="Y119" s="48"/>
      <c r="Z119" s="41" t="str">
        <f t="shared" si="50"/>
        <v/>
      </c>
      <c r="AA119" s="41" t="str">
        <f t="shared" si="51"/>
        <v/>
      </c>
      <c r="AB119" s="41" t="str">
        <f t="shared" si="37"/>
        <v/>
      </c>
      <c r="AC119" s="41" t="str">
        <f t="shared" si="38"/>
        <v/>
      </c>
      <c r="AD119" s="48"/>
      <c r="AE119" s="41" t="str">
        <f t="shared" si="39"/>
        <v/>
      </c>
      <c r="AF119" s="41"/>
      <c r="AG119" s="41" t="str">
        <f t="shared" si="40"/>
        <v/>
      </c>
      <c r="AH119" s="41" t="str">
        <f t="shared" si="52"/>
        <v/>
      </c>
      <c r="AI119" s="41" t="str">
        <f t="shared" si="53"/>
        <v/>
      </c>
      <c r="AJ119" s="41">
        <f t="shared" si="41"/>
        <v>0</v>
      </c>
      <c r="AK119" s="41" t="str">
        <f t="shared" si="42"/>
        <v/>
      </c>
      <c r="AL119" s="41">
        <f t="shared" si="54"/>
        <v>0</v>
      </c>
      <c r="AM119" s="41">
        <f t="shared" si="43"/>
        <v>0</v>
      </c>
      <c r="AN119" s="41" t="str">
        <f t="shared" si="44"/>
        <v/>
      </c>
      <c r="AO119" s="41">
        <f t="shared" si="61"/>
        <v>0</v>
      </c>
      <c r="AP119" s="48"/>
      <c r="AQ119" s="48"/>
      <c r="AR119" s="48"/>
      <c r="AS119" s="48"/>
      <c r="AT119" s="51">
        <f t="shared" si="55"/>
        <v>115</v>
      </c>
      <c r="AU119" s="49" t="str">
        <f t="shared" si="56"/>
        <v/>
      </c>
      <c r="AV119" s="49" t="str">
        <f t="shared" si="57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0.26509857081599097</v>
      </c>
      <c r="C120">
        <f t="shared" si="63"/>
        <v>0.24919265656703149</v>
      </c>
      <c r="D120" s="60"/>
      <c r="E120" s="5"/>
      <c r="F120" s="5"/>
      <c r="I120" s="40"/>
      <c r="J120" s="41"/>
      <c r="K120" s="41" t="str">
        <f t="shared" si="58"/>
        <v/>
      </c>
      <c r="L120" s="42" t="str">
        <f t="shared" si="59"/>
        <v/>
      </c>
      <c r="M120" s="41" t="str">
        <f t="shared" si="60"/>
        <v/>
      </c>
      <c r="N120" s="43">
        <f t="shared" si="32"/>
        <v>0</v>
      </c>
      <c r="O120" s="44">
        <f t="shared" si="33"/>
        <v>0</v>
      </c>
      <c r="P120" s="41" t="str">
        <f t="shared" si="34"/>
        <v/>
      </c>
      <c r="Q120" s="41" t="str">
        <f t="shared" si="35"/>
        <v/>
      </c>
      <c r="R120" s="48"/>
      <c r="S120" s="44" t="str">
        <f t="shared" si="46"/>
        <v/>
      </c>
      <c r="T120" s="52">
        <f t="shared" si="62"/>
        <v>0</v>
      </c>
      <c r="U120" s="53" t="str">
        <f t="shared" si="47"/>
        <v/>
      </c>
      <c r="V120" s="53" t="str">
        <f t="shared" si="48"/>
        <v/>
      </c>
      <c r="W120" s="53" t="str">
        <f t="shared" si="49"/>
        <v/>
      </c>
      <c r="X120" s="46" t="str">
        <f t="shared" si="36"/>
        <v/>
      </c>
      <c r="Y120" s="48"/>
      <c r="Z120" s="41" t="str">
        <f t="shared" si="50"/>
        <v/>
      </c>
      <c r="AA120" s="41" t="str">
        <f t="shared" si="51"/>
        <v/>
      </c>
      <c r="AB120" s="41" t="str">
        <f t="shared" si="37"/>
        <v/>
      </c>
      <c r="AC120" s="41" t="str">
        <f t="shared" si="38"/>
        <v/>
      </c>
      <c r="AD120" s="48"/>
      <c r="AE120" s="41" t="str">
        <f t="shared" si="39"/>
        <v/>
      </c>
      <c r="AF120" s="41"/>
      <c r="AG120" s="41" t="str">
        <f t="shared" si="40"/>
        <v/>
      </c>
      <c r="AH120" s="41" t="str">
        <f t="shared" si="52"/>
        <v/>
      </c>
      <c r="AI120" s="41" t="str">
        <f t="shared" si="53"/>
        <v/>
      </c>
      <c r="AJ120" s="41">
        <f t="shared" si="41"/>
        <v>0</v>
      </c>
      <c r="AK120" s="41" t="str">
        <f t="shared" si="42"/>
        <v/>
      </c>
      <c r="AL120" s="41">
        <f t="shared" si="54"/>
        <v>0</v>
      </c>
      <c r="AM120" s="41">
        <f t="shared" si="43"/>
        <v>0</v>
      </c>
      <c r="AN120" s="41" t="str">
        <f t="shared" si="44"/>
        <v/>
      </c>
      <c r="AO120" s="41">
        <f t="shared" si="61"/>
        <v>0</v>
      </c>
      <c r="AP120" s="48"/>
      <c r="AQ120" s="48"/>
      <c r="AR120" s="48"/>
      <c r="AS120" s="48"/>
      <c r="AT120" s="51">
        <f t="shared" si="55"/>
        <v>116</v>
      </c>
      <c r="AU120" s="49" t="str">
        <f t="shared" si="56"/>
        <v/>
      </c>
      <c r="AV120" s="49" t="str">
        <f t="shared" si="57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0.28603793605129602</v>
      </c>
      <c r="C121">
        <f t="shared" si="63"/>
        <v>0.26887565988821827</v>
      </c>
      <c r="D121" s="60"/>
      <c r="E121" s="5"/>
      <c r="F121" s="5"/>
      <c r="I121" s="40"/>
      <c r="J121" s="41"/>
      <c r="K121" s="41" t="str">
        <f t="shared" si="58"/>
        <v/>
      </c>
      <c r="L121" s="42" t="str">
        <f t="shared" si="59"/>
        <v/>
      </c>
      <c r="M121" s="41" t="str">
        <f t="shared" si="60"/>
        <v/>
      </c>
      <c r="N121" s="43">
        <f t="shared" si="32"/>
        <v>0</v>
      </c>
      <c r="O121" s="44">
        <f t="shared" si="33"/>
        <v>0</v>
      </c>
      <c r="P121" s="41" t="str">
        <f t="shared" si="34"/>
        <v/>
      </c>
      <c r="Q121" s="41" t="str">
        <f t="shared" si="35"/>
        <v/>
      </c>
      <c r="R121" s="48"/>
      <c r="S121" s="44" t="str">
        <f t="shared" si="46"/>
        <v/>
      </c>
      <c r="T121" s="52">
        <f t="shared" si="62"/>
        <v>0</v>
      </c>
      <c r="U121" s="53" t="str">
        <f t="shared" si="47"/>
        <v/>
      </c>
      <c r="V121" s="53" t="str">
        <f t="shared" si="48"/>
        <v/>
      </c>
      <c r="W121" s="53" t="str">
        <f t="shared" si="49"/>
        <v/>
      </c>
      <c r="X121" s="46" t="str">
        <f t="shared" si="36"/>
        <v/>
      </c>
      <c r="Y121" s="48"/>
      <c r="Z121" s="41" t="str">
        <f t="shared" si="50"/>
        <v/>
      </c>
      <c r="AA121" s="41" t="str">
        <f t="shared" si="51"/>
        <v/>
      </c>
      <c r="AB121" s="41" t="str">
        <f t="shared" si="37"/>
        <v/>
      </c>
      <c r="AC121" s="41" t="str">
        <f t="shared" si="38"/>
        <v/>
      </c>
      <c r="AD121" s="48"/>
      <c r="AE121" s="41" t="str">
        <f t="shared" si="39"/>
        <v/>
      </c>
      <c r="AF121" s="41"/>
      <c r="AG121" s="41" t="str">
        <f t="shared" si="40"/>
        <v/>
      </c>
      <c r="AH121" s="41" t="str">
        <f t="shared" si="52"/>
        <v/>
      </c>
      <c r="AI121" s="41" t="str">
        <f t="shared" si="53"/>
        <v/>
      </c>
      <c r="AJ121" s="41">
        <f t="shared" si="41"/>
        <v>0</v>
      </c>
      <c r="AK121" s="41" t="str">
        <f t="shared" si="42"/>
        <v/>
      </c>
      <c r="AL121" s="41">
        <f t="shared" si="54"/>
        <v>0</v>
      </c>
      <c r="AM121" s="41">
        <f t="shared" si="43"/>
        <v>0</v>
      </c>
      <c r="AN121" s="41" t="str">
        <f t="shared" si="44"/>
        <v/>
      </c>
      <c r="AO121" s="41">
        <f t="shared" si="61"/>
        <v>0</v>
      </c>
      <c r="AP121" s="48"/>
      <c r="AQ121" s="48"/>
      <c r="AR121" s="48"/>
      <c r="AS121" s="48"/>
      <c r="AT121" s="51">
        <f t="shared" si="55"/>
        <v>117</v>
      </c>
      <c r="AU121" s="49" t="str">
        <f t="shared" si="56"/>
        <v/>
      </c>
      <c r="AV121" s="49" t="str">
        <f t="shared" si="57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0.30819372900110398</v>
      </c>
      <c r="C122">
        <f t="shared" si="63"/>
        <v>0.28970210526103773</v>
      </c>
      <c r="D122" s="60"/>
      <c r="E122" s="5"/>
      <c r="F122" s="5"/>
      <c r="I122" s="40"/>
      <c r="J122" s="41"/>
      <c r="K122" s="41" t="str">
        <f t="shared" si="58"/>
        <v/>
      </c>
      <c r="L122" s="42" t="str">
        <f t="shared" si="59"/>
        <v/>
      </c>
      <c r="M122" s="41" t="str">
        <f t="shared" si="60"/>
        <v/>
      </c>
      <c r="N122" s="43">
        <f t="shared" si="32"/>
        <v>0</v>
      </c>
      <c r="O122" s="44">
        <f t="shared" si="33"/>
        <v>0</v>
      </c>
      <c r="P122" s="41" t="str">
        <f t="shared" si="34"/>
        <v/>
      </c>
      <c r="Q122" s="41" t="str">
        <f t="shared" si="35"/>
        <v/>
      </c>
      <c r="R122" s="48"/>
      <c r="S122" s="44" t="str">
        <f t="shared" si="46"/>
        <v/>
      </c>
      <c r="T122" s="52">
        <f t="shared" si="62"/>
        <v>0</v>
      </c>
      <c r="U122" s="53" t="str">
        <f t="shared" si="47"/>
        <v/>
      </c>
      <c r="V122" s="53" t="str">
        <f t="shared" si="48"/>
        <v/>
      </c>
      <c r="W122" s="53" t="str">
        <f t="shared" si="49"/>
        <v/>
      </c>
      <c r="X122" s="46" t="str">
        <f t="shared" si="36"/>
        <v/>
      </c>
      <c r="Y122" s="48"/>
      <c r="Z122" s="41" t="str">
        <f t="shared" si="50"/>
        <v/>
      </c>
      <c r="AA122" s="41" t="str">
        <f t="shared" si="51"/>
        <v/>
      </c>
      <c r="AB122" s="41" t="str">
        <f t="shared" si="37"/>
        <v/>
      </c>
      <c r="AC122" s="41" t="str">
        <f t="shared" si="38"/>
        <v/>
      </c>
      <c r="AD122" s="48"/>
      <c r="AE122" s="41" t="str">
        <f t="shared" si="39"/>
        <v/>
      </c>
      <c r="AF122" s="41"/>
      <c r="AG122" s="41" t="str">
        <f t="shared" si="40"/>
        <v/>
      </c>
      <c r="AH122" s="41" t="str">
        <f t="shared" si="52"/>
        <v/>
      </c>
      <c r="AI122" s="41" t="str">
        <f t="shared" si="53"/>
        <v/>
      </c>
      <c r="AJ122" s="41">
        <f t="shared" si="41"/>
        <v>0</v>
      </c>
      <c r="AK122" s="41" t="str">
        <f t="shared" si="42"/>
        <v/>
      </c>
      <c r="AL122" s="41">
        <f t="shared" si="54"/>
        <v>0</v>
      </c>
      <c r="AM122" s="41">
        <f t="shared" si="43"/>
        <v>0</v>
      </c>
      <c r="AN122" s="41" t="str">
        <f t="shared" si="44"/>
        <v/>
      </c>
      <c r="AO122" s="41">
        <f t="shared" si="61"/>
        <v>0</v>
      </c>
      <c r="AP122" s="48"/>
      <c r="AQ122" s="48"/>
      <c r="AR122" s="48"/>
      <c r="AS122" s="48"/>
      <c r="AT122" s="51">
        <f t="shared" si="55"/>
        <v>118</v>
      </c>
      <c r="AU122" s="49" t="str">
        <f t="shared" si="56"/>
        <v/>
      </c>
      <c r="AV122" s="49" t="str">
        <f t="shared" si="57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0.33162400251922403</v>
      </c>
      <c r="C123">
        <f t="shared" si="63"/>
        <v>0.31172656236807056</v>
      </c>
      <c r="D123" s="60"/>
      <c r="E123" s="5"/>
      <c r="F123" s="5"/>
      <c r="I123" s="40"/>
      <c r="J123" s="41"/>
      <c r="K123" s="41" t="str">
        <f t="shared" si="58"/>
        <v/>
      </c>
      <c r="L123" s="42" t="str">
        <f t="shared" si="59"/>
        <v/>
      </c>
      <c r="M123" s="41" t="str">
        <f t="shared" si="60"/>
        <v/>
      </c>
      <c r="N123" s="43">
        <f t="shared" si="32"/>
        <v>0</v>
      </c>
      <c r="O123" s="44">
        <f t="shared" si="33"/>
        <v>0</v>
      </c>
      <c r="P123" s="41" t="str">
        <f t="shared" si="34"/>
        <v/>
      </c>
      <c r="Q123" s="41" t="str">
        <f t="shared" si="35"/>
        <v/>
      </c>
      <c r="R123" s="48"/>
      <c r="S123" s="44" t="str">
        <f t="shared" si="46"/>
        <v/>
      </c>
      <c r="T123" s="52">
        <f t="shared" si="62"/>
        <v>0</v>
      </c>
      <c r="U123" s="53" t="str">
        <f t="shared" si="47"/>
        <v/>
      </c>
      <c r="V123" s="53" t="str">
        <f t="shared" si="48"/>
        <v/>
      </c>
      <c r="W123" s="53" t="str">
        <f t="shared" si="49"/>
        <v/>
      </c>
      <c r="X123" s="46" t="str">
        <f t="shared" si="36"/>
        <v/>
      </c>
      <c r="Y123" s="48"/>
      <c r="Z123" s="41" t="str">
        <f t="shared" si="50"/>
        <v/>
      </c>
      <c r="AA123" s="41" t="str">
        <f t="shared" si="51"/>
        <v/>
      </c>
      <c r="AB123" s="41" t="str">
        <f t="shared" si="37"/>
        <v/>
      </c>
      <c r="AC123" s="41" t="str">
        <f t="shared" si="38"/>
        <v/>
      </c>
      <c r="AD123" s="48"/>
      <c r="AE123" s="41" t="str">
        <f t="shared" si="39"/>
        <v/>
      </c>
      <c r="AF123" s="41"/>
      <c r="AG123" s="41" t="str">
        <f t="shared" si="40"/>
        <v/>
      </c>
      <c r="AH123" s="41" t="str">
        <f t="shared" si="52"/>
        <v/>
      </c>
      <c r="AI123" s="41" t="str">
        <f t="shared" si="53"/>
        <v/>
      </c>
      <c r="AJ123" s="41">
        <f t="shared" si="41"/>
        <v>0</v>
      </c>
      <c r="AK123" s="41" t="str">
        <f t="shared" si="42"/>
        <v/>
      </c>
      <c r="AL123" s="41">
        <f t="shared" si="54"/>
        <v>0</v>
      </c>
      <c r="AM123" s="41">
        <f t="shared" si="43"/>
        <v>0</v>
      </c>
      <c r="AN123" s="41" t="str">
        <f t="shared" si="44"/>
        <v/>
      </c>
      <c r="AO123" s="41">
        <f t="shared" si="61"/>
        <v>0</v>
      </c>
      <c r="AP123" s="48"/>
      <c r="AQ123" s="48"/>
      <c r="AR123" s="48"/>
      <c r="AS123" s="48"/>
      <c r="AT123" s="51">
        <f t="shared" si="55"/>
        <v>119</v>
      </c>
      <c r="AU123" s="49" t="str">
        <f t="shared" si="56"/>
        <v/>
      </c>
      <c r="AV123" s="49" t="str">
        <f t="shared" si="57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0.35546079031989197</v>
      </c>
      <c r="C124">
        <f t="shared" si="63"/>
        <v>0.33413314290069845</v>
      </c>
      <c r="D124" s="60"/>
      <c r="E124" s="5"/>
      <c r="F124" s="5"/>
      <c r="I124" s="40"/>
      <c r="J124" s="41"/>
      <c r="K124" s="41" t="str">
        <f t="shared" si="58"/>
        <v/>
      </c>
      <c r="L124" s="42" t="str">
        <f t="shared" si="59"/>
        <v/>
      </c>
      <c r="M124" s="41" t="str">
        <f t="shared" si="60"/>
        <v/>
      </c>
      <c r="N124" s="43">
        <f>AX124</f>
        <v>0</v>
      </c>
      <c r="O124" s="44">
        <f>AW124</f>
        <v>0</v>
      </c>
      <c r="P124" s="41" t="str">
        <f t="shared" si="34"/>
        <v/>
      </c>
      <c r="Q124" s="41" t="str">
        <f t="shared" si="35"/>
        <v/>
      </c>
      <c r="R124" s="48"/>
      <c r="S124" s="44" t="str">
        <f t="shared" si="46"/>
        <v/>
      </c>
      <c r="T124" s="52">
        <f t="shared" si="62"/>
        <v>0</v>
      </c>
      <c r="U124" s="53" t="str">
        <f t="shared" si="47"/>
        <v/>
      </c>
      <c r="V124" s="53" t="str">
        <f t="shared" si="48"/>
        <v/>
      </c>
      <c r="W124" s="53" t="str">
        <f t="shared" si="49"/>
        <v/>
      </c>
      <c r="X124" s="46" t="str">
        <f t="shared" si="36"/>
        <v/>
      </c>
      <c r="Y124" s="48"/>
      <c r="Z124" s="41" t="str">
        <f t="shared" si="50"/>
        <v/>
      </c>
      <c r="AA124" s="41" t="str">
        <f t="shared" si="51"/>
        <v/>
      </c>
      <c r="AB124" s="41" t="str">
        <f t="shared" si="37"/>
        <v/>
      </c>
      <c r="AC124" s="41" t="str">
        <f t="shared" si="38"/>
        <v/>
      </c>
      <c r="AD124" s="48"/>
      <c r="AE124" s="41" t="str">
        <f t="shared" si="39"/>
        <v/>
      </c>
      <c r="AF124" s="41"/>
      <c r="AG124" s="41" t="str">
        <f t="shared" si="40"/>
        <v/>
      </c>
      <c r="AH124" s="41" t="str">
        <f t="shared" si="52"/>
        <v/>
      </c>
      <c r="AI124" s="41" t="str">
        <f t="shared" si="53"/>
        <v/>
      </c>
      <c r="AJ124" s="41">
        <f t="shared" si="41"/>
        <v>0</v>
      </c>
      <c r="AK124" s="41" t="str">
        <f t="shared" si="42"/>
        <v/>
      </c>
      <c r="AL124" s="41">
        <f t="shared" si="54"/>
        <v>0</v>
      </c>
      <c r="AM124" s="41">
        <f t="shared" si="43"/>
        <v>0</v>
      </c>
      <c r="AN124" s="41" t="str">
        <f t="shared" si="44"/>
        <v/>
      </c>
      <c r="AO124" s="41">
        <f t="shared" si="61"/>
        <v>0</v>
      </c>
      <c r="AP124" s="48"/>
      <c r="AQ124" s="48"/>
      <c r="AR124" s="48"/>
      <c r="AS124" s="48"/>
      <c r="AT124" s="51">
        <f t="shared" si="55"/>
        <v>120</v>
      </c>
      <c r="AU124" s="49" t="str">
        <f t="shared" si="56"/>
        <v/>
      </c>
      <c r="AV124" s="49" t="str">
        <f t="shared" si="57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0.380342251724549</v>
      </c>
      <c r="C125">
        <f t="shared" si="63"/>
        <v>0.35752171662107601</v>
      </c>
      <c r="D125" s="60"/>
      <c r="E125" s="5"/>
      <c r="F125" s="5"/>
    </row>
    <row r="126" spans="1:50" x14ac:dyDescent="0.2">
      <c r="A126">
        <v>101</v>
      </c>
      <c r="B126">
        <v>0.405359071736903</v>
      </c>
      <c r="C126">
        <f t="shared" si="63"/>
        <v>0.38103752743268882</v>
      </c>
      <c r="D126" s="60"/>
      <c r="E126" s="5"/>
      <c r="F126" s="5"/>
      <c r="K126" s="11"/>
    </row>
    <row r="127" spans="1:50" x14ac:dyDescent="0.2">
      <c r="A127">
        <v>102</v>
      </c>
      <c r="B127">
        <v>0.42993508092885402</v>
      </c>
      <c r="C127">
        <f t="shared" si="63"/>
        <v>0.40413897607312277</v>
      </c>
      <c r="D127" s="60"/>
      <c r="E127" s="5"/>
      <c r="F127" s="5"/>
      <c r="S127" s="58"/>
    </row>
    <row r="128" spans="1:50" x14ac:dyDescent="0.2">
      <c r="A128">
        <v>103</v>
      </c>
      <c r="B128">
        <v>0.45506359986018002</v>
      </c>
      <c r="C128">
        <f t="shared" si="63"/>
        <v>0.42775978386856922</v>
      </c>
      <c r="D128" s="60"/>
      <c r="E128" s="5"/>
      <c r="F128" s="5"/>
    </row>
    <row r="129" spans="1:41" ht="15" x14ac:dyDescent="0.25">
      <c r="A129">
        <v>104</v>
      </c>
      <c r="B129">
        <v>0.480594654044533</v>
      </c>
      <c r="C129">
        <f t="shared" si="63"/>
        <v>0.451758974801861</v>
      </c>
      <c r="D129" s="60"/>
      <c r="E129" s="5"/>
      <c r="F129" s="5"/>
      <c r="AD129" s="56" t="s">
        <v>56</v>
      </c>
      <c r="AE129" s="57">
        <f t="shared" ref="AE129:AO129" si="64">SUM(AE4:AE124)</f>
        <v>1589070.2693368909</v>
      </c>
      <c r="AF129" s="57">
        <f t="shared" si="64"/>
        <v>-476721.08080106723</v>
      </c>
      <c r="AG129" s="57">
        <f t="shared" si="64"/>
        <v>-629.98604818111266</v>
      </c>
      <c r="AH129" s="57">
        <f t="shared" si="64"/>
        <v>-2000000</v>
      </c>
      <c r="AI129" s="57">
        <f t="shared" si="64"/>
        <v>0</v>
      </c>
      <c r="AJ129" s="57">
        <f t="shared" si="64"/>
        <v>-888280.79751235782</v>
      </c>
      <c r="AK129" s="57">
        <f t="shared" si="64"/>
        <v>-8.3409578953441178E-15</v>
      </c>
      <c r="AL129" s="57">
        <f t="shared" si="64"/>
        <v>586150.97699156718</v>
      </c>
      <c r="AM129" s="57">
        <f t="shared" si="64"/>
        <v>-302129.82052079041</v>
      </c>
      <c r="AN129" s="57">
        <f t="shared" si="64"/>
        <v>-1.5966200478829138E-17</v>
      </c>
      <c r="AO129" s="57">
        <f t="shared" si="64"/>
        <v>-302129.82052079035</v>
      </c>
    </row>
    <row r="130" spans="1:41" ht="15" x14ac:dyDescent="0.25">
      <c r="A130">
        <v>105</v>
      </c>
      <c r="B130">
        <v>0.50636083902879803</v>
      </c>
      <c r="C130">
        <f t="shared" si="63"/>
        <v>0.47597918868707012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0.53219546165142395</v>
      </c>
      <c r="C131">
        <f t="shared" si="63"/>
        <v>0.50026373395233847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O131" si="65">AE4+NPV($D$6,AE5:AE124)</f>
        <v>1589070.2693368909</v>
      </c>
      <c r="AF131" s="57">
        <f t="shared" si="65"/>
        <v>-476721.08080106723</v>
      </c>
      <c r="AG131" s="57">
        <f t="shared" si="65"/>
        <v>-479.23989758833858</v>
      </c>
      <c r="AH131" s="57">
        <f t="shared" si="65"/>
        <v>-990591.85008652357</v>
      </c>
      <c r="AI131" s="57">
        <f t="shared" si="65"/>
        <v>0</v>
      </c>
      <c r="AJ131" s="57">
        <f t="shared" si="65"/>
        <v>121278.09855171142</v>
      </c>
      <c r="AK131" s="57">
        <f t="shared" si="65"/>
        <v>-319861.96019773232</v>
      </c>
      <c r="AL131" s="57">
        <f t="shared" si="65"/>
        <v>329956.04169686686</v>
      </c>
      <c r="AM131" s="57">
        <f>AM4+NPV($D$6,AM5:AM124)</f>
        <v>131372.18005084596</v>
      </c>
      <c r="AN131" s="57">
        <f t="shared" si="65"/>
        <v>-10094.081499134758</v>
      </c>
      <c r="AO131" s="57">
        <f t="shared" si="65"/>
        <v>121278.0985517113</v>
      </c>
    </row>
    <row r="132" spans="1:41" ht="15" x14ac:dyDescent="0.25">
      <c r="A132">
        <v>107</v>
      </c>
      <c r="B132">
        <v>0.558121751434143</v>
      </c>
      <c r="C132">
        <f t="shared" si="63"/>
        <v>0.52463444634809442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0.58418516579619395</v>
      </c>
      <c r="C133">
        <f t="shared" si="63"/>
        <v>0.54913405584842223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>AE4+NPV($D$7,AE5:AE124)</f>
        <v>1589070.2693368909</v>
      </c>
      <c r="AF133" s="57">
        <f t="shared" ref="AE133:AO133" si="66">AF4+NPV($D$7,AF5:AF124)</f>
        <v>-476721.08080106723</v>
      </c>
      <c r="AG133" s="57">
        <f t="shared" si="66"/>
        <v>-508.53199723910939</v>
      </c>
      <c r="AH133" s="57">
        <f t="shared" si="66"/>
        <v>-1166801.5797865991</v>
      </c>
      <c r="AI133" s="57">
        <f t="shared" si="66"/>
        <v>0</v>
      </c>
      <c r="AJ133" s="57">
        <f t="shared" si="66"/>
        <v>-54960.923248014413</v>
      </c>
      <c r="AK133" s="57">
        <f t="shared" si="66"/>
        <v>-274571.17615441966</v>
      </c>
      <c r="AL133" s="57">
        <f t="shared" si="66"/>
        <v>377204.2138087377</v>
      </c>
      <c r="AM133" s="57">
        <f t="shared" si="66"/>
        <v>47672.114406303386</v>
      </c>
      <c r="AN133" s="57">
        <f t="shared" si="66"/>
        <v>-8331.9842021340064</v>
      </c>
      <c r="AO133" s="57">
        <f t="shared" si="66"/>
        <v>39340.130204169429</v>
      </c>
    </row>
    <row r="134" spans="1:41" x14ac:dyDescent="0.2">
      <c r="A134">
        <v>109</v>
      </c>
      <c r="B134">
        <v>0.61023240836316694</v>
      </c>
      <c r="C134">
        <f t="shared" si="63"/>
        <v>0.57361846386137694</v>
      </c>
      <c r="D134" s="60"/>
      <c r="E134" s="5"/>
      <c r="F134" s="5"/>
    </row>
    <row r="135" spans="1:41" x14ac:dyDescent="0.2">
      <c r="A135">
        <v>110</v>
      </c>
      <c r="B135">
        <v>0.63611115252690298</v>
      </c>
      <c r="C135">
        <f t="shared" si="63"/>
        <v>0.59794448337528872</v>
      </c>
      <c r="D135" s="60"/>
      <c r="E135" s="5"/>
      <c r="F135" s="5"/>
    </row>
    <row r="136" spans="1:41" x14ac:dyDescent="0.2">
      <c r="A136">
        <v>111</v>
      </c>
      <c r="B136">
        <v>0.66608306981177301</v>
      </c>
      <c r="C136">
        <f t="shared" si="63"/>
        <v>0.62611808562306659</v>
      </c>
      <c r="D136" s="60"/>
      <c r="E136" s="5"/>
      <c r="F136" s="5"/>
    </row>
    <row r="137" spans="1:41" x14ac:dyDescent="0.2">
      <c r="A137">
        <v>112</v>
      </c>
      <c r="B137">
        <v>0.69580846534695495</v>
      </c>
      <c r="C137">
        <f t="shared" si="63"/>
        <v>0.65405995742613765</v>
      </c>
      <c r="D137" s="60"/>
      <c r="E137" s="5"/>
      <c r="F137" s="5"/>
    </row>
    <row r="138" spans="1:41" x14ac:dyDescent="0.2">
      <c r="A138">
        <v>113</v>
      </c>
      <c r="B138">
        <v>0.72524457178055901</v>
      </c>
      <c r="C138">
        <f t="shared" si="63"/>
        <v>0.68172989747372548</v>
      </c>
      <c r="D138" s="60"/>
      <c r="E138" s="5"/>
      <c r="F138" s="5"/>
    </row>
    <row r="139" spans="1:41" x14ac:dyDescent="0.2">
      <c r="A139">
        <v>114</v>
      </c>
      <c r="B139">
        <v>0.75434836973550201</v>
      </c>
      <c r="C139">
        <f t="shared" si="63"/>
        <v>0.70908746755137186</v>
      </c>
      <c r="D139" s="60"/>
      <c r="E139" s="5"/>
      <c r="F139" s="5"/>
    </row>
    <row r="140" spans="1:41" x14ac:dyDescent="0.2">
      <c r="A140">
        <v>115</v>
      </c>
      <c r="B140">
        <v>0.78307559127387405</v>
      </c>
      <c r="C140">
        <f t="shared" si="63"/>
        <v>0.73609105579744161</v>
      </c>
      <c r="D140" s="60"/>
      <c r="E140" s="5"/>
      <c r="F140" s="5"/>
    </row>
    <row r="141" spans="1:41" x14ac:dyDescent="0.2">
      <c r="A141">
        <v>116</v>
      </c>
      <c r="B141">
        <v>0.81153809466804805</v>
      </c>
      <c r="C141">
        <f t="shared" si="63"/>
        <v>0.76284580898796517</v>
      </c>
      <c r="D141" s="60"/>
      <c r="E141" s="5"/>
      <c r="F141" s="5"/>
    </row>
    <row r="142" spans="1:41" x14ac:dyDescent="0.2">
      <c r="A142">
        <v>117</v>
      </c>
      <c r="B142">
        <v>0.83986596545345304</v>
      </c>
      <c r="C142">
        <f t="shared" si="63"/>
        <v>0.78947400752624586</v>
      </c>
      <c r="D142" s="60"/>
      <c r="E142" s="5"/>
      <c r="F142" s="5"/>
    </row>
    <row r="143" spans="1:41" x14ac:dyDescent="0.2">
      <c r="A143">
        <v>118</v>
      </c>
      <c r="B143">
        <v>0.86803679724566796</v>
      </c>
      <c r="C143">
        <f t="shared" si="63"/>
        <v>0.8159545894109278</v>
      </c>
      <c r="D143" s="60"/>
      <c r="E143" s="5"/>
      <c r="F143" s="5"/>
    </row>
    <row r="144" spans="1:41" x14ac:dyDescent="0.2">
      <c r="A144">
        <v>119</v>
      </c>
      <c r="B144">
        <v>0.89601895806329601</v>
      </c>
      <c r="C144">
        <f t="shared" si="63"/>
        <v>0.84225782057949816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96739-5480-4E17-AAFC-1659FA64C364}">
  <sheetPr codeName="Sheet16"/>
  <dimension ref="A1:BB145"/>
  <sheetViews>
    <sheetView workbookViewId="0">
      <pane ySplit="3" topLeftCell="A26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4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AU$5+NPV($AT1,AU$6:AU$124)</f>
        <v>13.331078262037424</v>
      </c>
      <c r="AV1" s="35">
        <f>NPV($AT1,AV$5:AV$124)</f>
        <v>0.48726622069086767</v>
      </c>
      <c r="AW1" s="34">
        <f>0.85*AV1*1000/AU1</f>
        <v>31.068476191207797</v>
      </c>
    </row>
    <row r="2" spans="1:54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AU$5+NPV($AT2,AU$6:AU$124)</f>
        <v>11.36277091750836</v>
      </c>
      <c r="AV2" s="35">
        <f>NPV($AT2,AV$5:AV$124)</f>
        <v>0.3568242876882049</v>
      </c>
      <c r="AW2" s="34">
        <f>1.05*AV2*1000/(AU2-1)</f>
        <v>36.15495363692748</v>
      </c>
    </row>
    <row r="3" spans="1:54" ht="38.25" x14ac:dyDescent="0.2">
      <c r="G3" t="s">
        <v>16</v>
      </c>
      <c r="H3">
        <v>1589070.2693368909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4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60">_xlfn.SEQUENCE(MAX(A26:A145)-D4+2,1,0,1)</f>
        <v>0</v>
      </c>
      <c r="J4" s="41">
        <f>$H$3</f>
        <v>1589070.2693368909</v>
      </c>
      <c r="K4" s="41">
        <f>J4*C16</f>
        <v>476721.08080106723</v>
      </c>
      <c r="L4" s="42">
        <f>C20 + F18*J4</f>
        <v>16090.702693368909</v>
      </c>
      <c r="M4" s="41">
        <f t="shared" ref="M4:M5" si="0">$E$11</f>
        <v>2000000</v>
      </c>
      <c r="N4" s="43">
        <f>AX4</f>
        <v>0</v>
      </c>
      <c r="O4" s="44">
        <f>AW4</f>
        <v>73.09</v>
      </c>
      <c r="P4" s="41">
        <f>IF(I4&lt;&gt;"", M4*N4/1000, "")</f>
        <v>0</v>
      </c>
      <c r="Q4" s="41">
        <f>IF(I4&lt;&gt;"", M4*O4/1000, "")</f>
        <v>146180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146180</v>
      </c>
      <c r="AC4" s="41">
        <f>IF(I4&lt;&gt;"", $H$14*M4*X4, "")</f>
        <v>20000</v>
      </c>
      <c r="AD4" s="47"/>
      <c r="AE4" s="41">
        <f>IF(I4&lt;&gt;"", $X4*J4, "")</f>
        <v>1589070.2693368909</v>
      </c>
      <c r="AF4" s="41">
        <f>IF(I4&lt;&gt;"", -$X4*K4, "")</f>
        <v>-476721.08080106723</v>
      </c>
      <c r="AG4" s="41">
        <f>IF(I4&lt;&gt;"", -$X4*L4, "")</f>
        <v>-16090.702693368909</v>
      </c>
      <c r="AH4" s="41"/>
      <c r="AI4" s="41"/>
      <c r="AJ4" s="41">
        <f>SUM(AE4:AI4)</f>
        <v>1096258.4858424547</v>
      </c>
      <c r="AK4" s="41">
        <f>IF(I4&lt;&gt;"", Z4-AB4, "")</f>
        <v>-146180</v>
      </c>
      <c r="AL4" s="41"/>
      <c r="AM4" s="41">
        <f>SUM(AJ4:AL4)</f>
        <v>950078.48584245471</v>
      </c>
      <c r="AN4" s="41">
        <f>IF(I4&lt;&gt;"", AA4-AC4, "")</f>
        <v>-20000</v>
      </c>
      <c r="AO4" s="41">
        <f>SUM(AM4:AN4)</f>
        <v>930078.48584245471</v>
      </c>
      <c r="AP4" s="45"/>
      <c r="AQ4" s="41">
        <f>AM133</f>
        <v>47936.102692173095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73.09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4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100.562</v>
      </c>
      <c r="P5" s="41">
        <f t="shared" ref="P5:P68" si="3">IF(I5&lt;&gt;"", M5*N5/1000, "")</f>
        <v>0</v>
      </c>
      <c r="Q5" s="41">
        <f t="shared" ref="Q5:Q68" si="4">IF(I5&lt;&gt;"", M5*O5/1000, "")</f>
        <v>201124</v>
      </c>
      <c r="R5" s="44"/>
      <c r="S5" s="44">
        <f>IF(I5&lt;&gt;"",_xlfn.XLOOKUP(D$4+I4,A$26:A$145,$C$26:$C$145,0) * 1000,"")</f>
        <v>8.6306596740199915</v>
      </c>
      <c r="T5" s="52">
        <f>C10</f>
        <v>0</v>
      </c>
      <c r="U5" s="53">
        <f>IF(I5&lt;&gt;"", X4, "")</f>
        <v>1</v>
      </c>
      <c r="V5" s="53">
        <f>IF(I5&lt;&gt;"", S5*U5/1000, "")</f>
        <v>8.6306596740199915E-3</v>
      </c>
      <c r="W5" s="53">
        <f>IF(I5&lt;&gt;"", MIN(T5*U5,U5-V5), "")</f>
        <v>0</v>
      </c>
      <c r="X5" s="46">
        <f t="shared" ref="X5:X68" si="5">IF(I5&lt;&gt;"", U5-SUM(V5:W5), "")</f>
        <v>0.99136934032598001</v>
      </c>
      <c r="Y5" s="54"/>
      <c r="Z5" s="41">
        <f>IF(I5&lt;&gt;"",AB4,"")</f>
        <v>146180</v>
      </c>
      <c r="AA5" s="41">
        <f>IF(I5&lt;&gt;"", AC4, "")</f>
        <v>20000</v>
      </c>
      <c r="AB5" s="41">
        <f t="shared" ref="AB5:AB68" si="6">IF(I5&lt;&gt;"", Q5*X5, "" )</f>
        <v>199388.16720372241</v>
      </c>
      <c r="AC5" s="41">
        <f t="shared" ref="AC5:AC68" si="7">IF(I5&lt;&gt;"", $H$14*M5*X5, "")</f>
        <v>19827.3868065196</v>
      </c>
      <c r="AD5" s="54"/>
      <c r="AE5" s="41">
        <f t="shared" ref="AE5:AE68" si="8">IF(I5&lt;&gt;"", $X5*J5, "")</f>
        <v>0</v>
      </c>
      <c r="AF5" s="41"/>
      <c r="AG5" s="41">
        <f t="shared" ref="AG5:AG68" si="9">IF(I5&lt;&gt;"", -$X5*L5, "")</f>
        <v>0</v>
      </c>
      <c r="AH5" s="41">
        <f>IF(I5&lt;&gt;"",-M5*V5,"")</f>
        <v>-17261.319348039982</v>
      </c>
      <c r="AI5" s="41">
        <f>IF(I5 &lt;&gt; "", -P5*W5, "")</f>
        <v>0</v>
      </c>
      <c r="AJ5" s="41">
        <f t="shared" ref="AJ5:AJ68" si="10">SUM(AE5:AI5)</f>
        <v>-17261.319348039982</v>
      </c>
      <c r="AK5" s="41">
        <f t="shared" ref="AK5:AK68" si="11">IF(I5&lt;&gt;"", Z5-AB5, "")</f>
        <v>-53208.167203722405</v>
      </c>
      <c r="AL5" s="41">
        <f>$D$6*SUM(Z5:AA5,AE5:AF5)</f>
        <v>6647.2</v>
      </c>
      <c r="AM5" s="41">
        <f t="shared" ref="AM5:AM68" si="12">SUM(AJ5:AL5)</f>
        <v>-63822.286551762387</v>
      </c>
      <c r="AN5" s="41">
        <f t="shared" ref="AN5:AN68" si="13">IF(I5&lt;&gt;"", AA5-AC5, "")</f>
        <v>172.61319348039979</v>
      </c>
      <c r="AO5" s="41">
        <f t="shared" ref="AO5:AO68" si="14">SUM(AM5:AN5)</f>
        <v>-63649.673358281987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8.6306596740199915E-3</v>
      </c>
      <c r="AW5" s="50">
        <f xml:space="preserve"> IF(ISERROR(ROUND((1000*NPV($AT$1,$AV6:$AV$124)-$AW$1*($AU6+NPV($AT$1,$AU7:$AU$124)))/AU6,3)), 0, ROUND((1000*NPV($AT$1,$AV6:$AV$124)-$AW$1*($AU6+NPV($AT$1,$AU7:$AU$124)))/AU6,3))</f>
        <v>100.562</v>
      </c>
      <c r="AX5" s="50">
        <f>IF(ISERROR(ROUND(MAX(0,1000*NPV($AT$2,$AV6:$AV$124)-$AW$2*($AU6+NPV($AT$2,$AU7:$AU$124)))/AU6,3)), 0, ROUND(MAX(0,1000*NPV($AT$2,$AV6:$AV$124)-$AW$2*($AU6+NPV($AT$2,$AU7:$AU$124)))/AU6,3))</f>
        <v>0</v>
      </c>
      <c r="AY5" s="75" t="s">
        <v>79</v>
      </c>
      <c r="AZ5" s="11">
        <f>AM131</f>
        <v>131696.27408410888</v>
      </c>
    </row>
    <row r="6" spans="1:54" ht="15" x14ac:dyDescent="0.25">
      <c r="A6" s="12" t="s">
        <v>14</v>
      </c>
      <c r="B6" s="12"/>
      <c r="C6" s="12"/>
      <c r="D6" s="16">
        <v>0.04</v>
      </c>
      <c r="E6" s="6"/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127.34399999999999</v>
      </c>
      <c r="P6" s="41">
        <f t="shared" si="3"/>
        <v>0</v>
      </c>
      <c r="Q6" s="41">
        <f t="shared" si="4"/>
        <v>254688</v>
      </c>
      <c r="R6" s="44"/>
      <c r="S6" s="44">
        <f t="shared" ref="S6:S69" si="15">IF(I6&lt;&gt;"",_xlfn.XLOOKUP(D$4+I5,A$26:A$145,$C$26:$C$145,0) * 1000,"")</f>
        <v>10.946019567724198</v>
      </c>
      <c r="T6" s="52">
        <f>$C$11</f>
        <v>0</v>
      </c>
      <c r="U6" s="53">
        <f t="shared" ref="U6:U69" si="16">IF(I6&lt;&gt;"", X5, "")</f>
        <v>0.99136934032598001</v>
      </c>
      <c r="V6" s="53">
        <f t="shared" ref="V6:V69" si="17">IF(I6&lt;&gt;"", S6*U6/1000, "")</f>
        <v>1.0851548198050008E-2</v>
      </c>
      <c r="W6" s="53">
        <f t="shared" ref="W6:W69" si="18">IF(I6&lt;&gt;"", MIN(T6*U6,U6-V6), "")</f>
        <v>0</v>
      </c>
      <c r="X6" s="46">
        <f t="shared" si="5"/>
        <v>0.98051779212793</v>
      </c>
      <c r="Y6" s="54"/>
      <c r="Z6" s="41">
        <f t="shared" ref="Z6:Z69" si="19">IF(I6&lt;&gt;"",AB5,"")</f>
        <v>199388.16720372241</v>
      </c>
      <c r="AA6" s="41">
        <f t="shared" ref="AA6:AA69" si="20">IF(I6&lt;&gt;"", AC5, "")</f>
        <v>19827.3868065196</v>
      </c>
      <c r="AB6" s="41">
        <f t="shared" si="6"/>
        <v>249726.11544147824</v>
      </c>
      <c r="AC6" s="41">
        <f t="shared" si="7"/>
        <v>19610.355842558602</v>
      </c>
      <c r="AD6" s="54"/>
      <c r="AE6" s="41">
        <f t="shared" si="8"/>
        <v>0</v>
      </c>
      <c r="AF6" s="41"/>
      <c r="AG6" s="41">
        <f>IF(I6&lt;&gt;"", -$X6*L6, "")</f>
        <v>-24.512944803198248</v>
      </c>
      <c r="AH6" s="41">
        <f t="shared" ref="AH6:AH69" si="21">IF(I6&lt;&gt;"",-M6*V6,"")</f>
        <v>-21703.096396100016</v>
      </c>
      <c r="AI6" s="41">
        <f t="shared" ref="AI6:AI69" si="22">IF(I6 &lt;&gt; "", -P6*W6, "")</f>
        <v>0</v>
      </c>
      <c r="AJ6" s="41">
        <f t="shared" si="10"/>
        <v>-21727.609340903215</v>
      </c>
      <c r="AK6" s="41">
        <f t="shared" si="11"/>
        <v>-50337.948237755831</v>
      </c>
      <c r="AL6" s="41">
        <f t="shared" ref="AL6:AL69" si="23">$D$6*SUM(Z6:AA6,AE6:AF6)</f>
        <v>8768.6221604096791</v>
      </c>
      <c r="AM6" s="41">
        <f t="shared" si="12"/>
        <v>-63296.93541824937</v>
      </c>
      <c r="AN6" s="41">
        <f t="shared" si="13"/>
        <v>217.03096396099863</v>
      </c>
      <c r="AO6" s="41">
        <f t="shared" si="14"/>
        <v>-63079.904454288371</v>
      </c>
      <c r="AP6" s="45"/>
      <c r="AQ6" s="41">
        <f>AO133</f>
        <v>39457.944866747013</v>
      </c>
      <c r="AR6" s="48"/>
      <c r="AS6" s="48"/>
      <c r="AT6" s="51">
        <f t="shared" ref="AT6:AT69" si="24">AT5+1</f>
        <v>2</v>
      </c>
      <c r="AU6" s="49">
        <f t="shared" ref="AU6:AU69" si="25">IF(I6&lt;&gt;"", AU5-AV5, "")</f>
        <v>0.99136934032598001</v>
      </c>
      <c r="AV6" s="49">
        <f t="shared" ref="AV6:AV69" si="26">IF(I6&lt;&gt;"", S6*AU6/1000, "")</f>
        <v>1.0851548198050008E-2</v>
      </c>
      <c r="AW6" s="50">
        <f xml:space="preserve"> IF(ISERROR(ROUND((1000*NPV($AT$1,$AV7:$AV$124)-$AW$1*($AU7+NPV($AT$1,$AU8:$AU$124)))/AU7,3)), 0, ROUND((1000*NPV($AT$1,$AV7:$AV$124)-$AW$1*($AU7+NPV($AT$1,$AU8:$AU$124)))/AU7,3))</f>
        <v>127.34399999999999</v>
      </c>
      <c r="AX6" s="50">
        <f>IF(ISERROR(ROUND(MAX(0,1000*NPV($AT$2,$AV7:$AV$124)-$AW$2*($AU7+NPV($AT$2,$AU8:$AU$124)))/AU7,3)), 0, ROUND(MAX(0,1000*NPV($AT$2,$AV7:$AV$124)-$AW$2*($AU7+NPV($AT$2,$AU8:$AU$124)))/AU7,3))</f>
        <v>0</v>
      </c>
      <c r="AY6" s="75" t="s">
        <v>80</v>
      </c>
    </row>
    <row r="7" spans="1:54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7">IF(J7&lt;&gt;"",J7*$C$17,"")</f>
        <v/>
      </c>
      <c r="L7" s="42">
        <f t="shared" ref="L7:L70" si="28">IF(I7&lt;&gt;"",$C$21,"")</f>
        <v>25</v>
      </c>
      <c r="M7" s="41">
        <f t="shared" ref="M7:M70" si="29">IF(I7&lt;&gt;"",$E$11,"")</f>
        <v>2000000</v>
      </c>
      <c r="N7" s="43">
        <f t="shared" si="1"/>
        <v>24.405999999999999</v>
      </c>
      <c r="O7" s="44">
        <f t="shared" si="2"/>
        <v>154.61099999999999</v>
      </c>
      <c r="P7" s="41">
        <f t="shared" si="3"/>
        <v>48812</v>
      </c>
      <c r="Q7" s="41">
        <f t="shared" si="4"/>
        <v>309222</v>
      </c>
      <c r="R7" s="44"/>
      <c r="S7" s="44">
        <f>IF(I7&lt;&gt;"",_xlfn.XLOOKUP(D$4+I6,A$26:A$145,$C$26:$C$145,0) * 1000,"")</f>
        <v>11.991449253470931</v>
      </c>
      <c r="T7" s="52">
        <f>$C$11</f>
        <v>0</v>
      </c>
      <c r="U7" s="53">
        <f t="shared" si="16"/>
        <v>0.98051779212793</v>
      </c>
      <c r="V7" s="53">
        <f t="shared" si="17"/>
        <v>1.1757829346427431E-2</v>
      </c>
      <c r="W7" s="53">
        <f t="shared" si="18"/>
        <v>0</v>
      </c>
      <c r="X7" s="46">
        <f t="shared" si="5"/>
        <v>0.96875996278150256</v>
      </c>
      <c r="Y7" s="54"/>
      <c r="Z7" s="41">
        <f t="shared" si="19"/>
        <v>249726.11544147824</v>
      </c>
      <c r="AA7" s="41">
        <f t="shared" si="20"/>
        <v>19610.355842558602</v>
      </c>
      <c r="AB7" s="41">
        <f t="shared" si="6"/>
        <v>299561.89321122179</v>
      </c>
      <c r="AC7" s="41">
        <f t="shared" si="7"/>
        <v>19375.19925563005</v>
      </c>
      <c r="AD7" s="54"/>
      <c r="AE7" s="41">
        <f t="shared" si="8"/>
        <v>0</v>
      </c>
      <c r="AF7" s="41"/>
      <c r="AG7" s="41">
        <f t="shared" si="9"/>
        <v>-24.218999069537563</v>
      </c>
      <c r="AH7" s="41">
        <f t="shared" si="21"/>
        <v>-23515.65869285486</v>
      </c>
      <c r="AI7" s="41">
        <f t="shared" si="22"/>
        <v>0</v>
      </c>
      <c r="AJ7" s="41">
        <f t="shared" si="10"/>
        <v>-23539.877691924397</v>
      </c>
      <c r="AK7" s="41">
        <f t="shared" si="11"/>
        <v>-49835.777769743552</v>
      </c>
      <c r="AL7" s="41">
        <f t="shared" si="23"/>
        <v>10773.458851361473</v>
      </c>
      <c r="AM7" s="41">
        <f t="shared" si="12"/>
        <v>-62602.196610306477</v>
      </c>
      <c r="AN7" s="41">
        <f t="shared" si="13"/>
        <v>235.15658692855141</v>
      </c>
      <c r="AO7" s="41">
        <f>SUM(AM7:AN7)</f>
        <v>-62367.040023377922</v>
      </c>
      <c r="AP7" s="45"/>
      <c r="AQ7" s="45"/>
      <c r="AR7" s="48"/>
      <c r="AS7" s="48"/>
      <c r="AT7" s="51">
        <f t="shared" si="24"/>
        <v>3</v>
      </c>
      <c r="AU7" s="49">
        <f t="shared" si="25"/>
        <v>0.98051779212793</v>
      </c>
      <c r="AV7" s="49">
        <f t="shared" si="26"/>
        <v>1.1757829346427431E-2</v>
      </c>
      <c r="AW7" s="50">
        <f xml:space="preserve"> IF(ISERROR(ROUND((1000*NPV($AT$1,$AV8:$AV$124)-$AW$1*($AU8+NPV($AT$1,$AU9:$AU$124)))/AU8,3)), 0, ROUND((1000*NPV($AT$1,$AV8:$AV$124)-$AW$1*($AU8+NPV($AT$1,$AU9:$AU$124)))/AU8,3))</f>
        <v>154.61099999999999</v>
      </c>
      <c r="AX7" s="50">
        <f>IF(ISERROR(ROUND(MAX(0,1000*NPV($AT$2,$AV8:$AV$124)-$AW$2*($AU8+NPV($AT$2,$AU9:$AU$124)))/AU8,3)), 0, ROUND(MAX(0,1000*NPV($AT$2,$AV8:$AV$124)-$AW$2*($AU8+NPV($AT$2,$AU9:$AU$124)))/AU8,3))</f>
        <v>24.405999999999999</v>
      </c>
      <c r="AY7" s="75" t="s">
        <v>81</v>
      </c>
      <c r="AZ7" s="65">
        <v>0</v>
      </c>
      <c r="BB7" s="75" t="s">
        <v>82</v>
      </c>
    </row>
    <row r="8" spans="1:54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7"/>
        <v/>
      </c>
      <c r="L8" s="42">
        <f t="shared" si="28"/>
        <v>25</v>
      </c>
      <c r="M8" s="41">
        <f t="shared" si="29"/>
        <v>2000000</v>
      </c>
      <c r="N8" s="43">
        <f t="shared" si="1"/>
        <v>51.768999999999998</v>
      </c>
      <c r="O8" s="44">
        <f t="shared" si="2"/>
        <v>182.393</v>
      </c>
      <c r="P8" s="41">
        <f t="shared" si="3"/>
        <v>103538</v>
      </c>
      <c r="Q8" s="41">
        <f t="shared" si="4"/>
        <v>364786</v>
      </c>
      <c r="R8" s="44"/>
      <c r="S8" s="44">
        <f t="shared" si="15"/>
        <v>13.103592748907209</v>
      </c>
      <c r="T8" s="52">
        <f>$C$11</f>
        <v>0</v>
      </c>
      <c r="U8" s="53">
        <f t="shared" si="16"/>
        <v>0.96875996278150256</v>
      </c>
      <c r="V8" s="53">
        <f t="shared" si="17"/>
        <v>1.2694236023735313E-2</v>
      </c>
      <c r="W8" s="53">
        <f t="shared" si="18"/>
        <v>0</v>
      </c>
      <c r="X8" s="46">
        <f t="shared" si="5"/>
        <v>0.95606572675776724</v>
      </c>
      <c r="Y8" s="54"/>
      <c r="Z8" s="41">
        <f t="shared" si="19"/>
        <v>299561.89321122179</v>
      </c>
      <c r="AA8" s="41">
        <f t="shared" si="20"/>
        <v>19375.19925563005</v>
      </c>
      <c r="AB8" s="41">
        <f t="shared" si="6"/>
        <v>348759.39220105886</v>
      </c>
      <c r="AC8" s="41">
        <f t="shared" si="7"/>
        <v>19121.314535155343</v>
      </c>
      <c r="AD8" s="54"/>
      <c r="AE8" s="41">
        <f t="shared" si="8"/>
        <v>0</v>
      </c>
      <c r="AF8" s="41"/>
      <c r="AG8" s="41">
        <f t="shared" si="9"/>
        <v>-23.90164316894418</v>
      </c>
      <c r="AH8" s="41">
        <f t="shared" si="21"/>
        <v>-25388.472047470626</v>
      </c>
      <c r="AI8" s="41">
        <f t="shared" si="22"/>
        <v>0</v>
      </c>
      <c r="AJ8" s="41">
        <f t="shared" si="10"/>
        <v>-25412.373690639572</v>
      </c>
      <c r="AK8" s="41">
        <f t="shared" si="11"/>
        <v>-49197.49898983707</v>
      </c>
      <c r="AL8" s="41">
        <f t="shared" si="23"/>
        <v>12757.483698674072</v>
      </c>
      <c r="AM8" s="41">
        <f t="shared" si="12"/>
        <v>-61852.388981802564</v>
      </c>
      <c r="AN8" s="41">
        <f t="shared" si="13"/>
        <v>253.88472047470714</v>
      </c>
      <c r="AO8" s="41">
        <f t="shared" si="14"/>
        <v>-61598.504261327857</v>
      </c>
      <c r="AP8" s="45"/>
      <c r="AQ8" s="45"/>
      <c r="AR8" s="48"/>
      <c r="AS8" s="48"/>
      <c r="AT8" s="51">
        <f t="shared" si="24"/>
        <v>4</v>
      </c>
      <c r="AU8" s="49">
        <f t="shared" si="25"/>
        <v>0.96875996278150256</v>
      </c>
      <c r="AV8" s="49">
        <f t="shared" si="26"/>
        <v>1.2694236023735313E-2</v>
      </c>
      <c r="AW8" s="50">
        <f xml:space="preserve"> IF(ISERROR(ROUND((1000*NPV($AT$1,$AV9:$AV$124)-$AW$1*($AU9+NPV($AT$1,$AU10:$AU$124)))/AU9,3)), 0, ROUND((1000*NPV($AT$1,$AV9:$AV$124)-$AW$1*($AU9+NPV($AT$1,$AU10:$AU$124)))/AU9,3))</f>
        <v>182.393</v>
      </c>
      <c r="AX8" s="50">
        <f>IF(ISERROR(ROUND(MAX(0,1000*NPV($AT$2,$AV9:$AV$124)-$AW$2*($AU9+NPV($AT$2,$AU10:$AU$124)))/AU9,3)), 0, ROUND(MAX(0,1000*NPV($AT$2,$AV9:$AV$124)-$AW$2*($AU9+NPV($AT$2,$AU10:$AU$124)))/AU9,3))</f>
        <v>51.768999999999998</v>
      </c>
      <c r="AY8" s="59"/>
    </row>
    <row r="9" spans="1:54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7"/>
        <v/>
      </c>
      <c r="L9" s="42">
        <f t="shared" si="28"/>
        <v>25</v>
      </c>
      <c r="M9" s="41">
        <f t="shared" si="29"/>
        <v>2000000</v>
      </c>
      <c r="N9" s="43">
        <f t="shared" si="1"/>
        <v>79.992999999999995</v>
      </c>
      <c r="O9" s="44">
        <f t="shared" si="2"/>
        <v>210.66900000000001</v>
      </c>
      <c r="P9" s="41">
        <f t="shared" si="3"/>
        <v>159986</v>
      </c>
      <c r="Q9" s="41">
        <f t="shared" si="4"/>
        <v>421338</v>
      </c>
      <c r="R9" s="44"/>
      <c r="S9" s="44">
        <f t="shared" si="15"/>
        <v>14.355520290619102</v>
      </c>
      <c r="T9" s="52">
        <f>$C$11</f>
        <v>0</v>
      </c>
      <c r="U9" s="53">
        <f t="shared" si="16"/>
        <v>0.95606572675776724</v>
      </c>
      <c r="V9" s="53">
        <f t="shared" si="17"/>
        <v>1.3724820939636626E-2</v>
      </c>
      <c r="W9" s="53">
        <f t="shared" si="18"/>
        <v>0</v>
      </c>
      <c r="X9" s="46">
        <f t="shared" si="5"/>
        <v>0.94234090581813057</v>
      </c>
      <c r="Y9" s="54"/>
      <c r="Z9" s="41">
        <f t="shared" si="19"/>
        <v>348759.39220105886</v>
      </c>
      <c r="AA9" s="41">
        <f t="shared" si="20"/>
        <v>19121.314535155343</v>
      </c>
      <c r="AB9" s="41">
        <f t="shared" si="6"/>
        <v>397044.0325755995</v>
      </c>
      <c r="AC9" s="41">
        <f t="shared" si="7"/>
        <v>18846.81811636261</v>
      </c>
      <c r="AD9" s="54"/>
      <c r="AE9" s="41">
        <f t="shared" si="8"/>
        <v>0</v>
      </c>
      <c r="AF9" s="41"/>
      <c r="AG9" s="41">
        <f t="shared" si="9"/>
        <v>-23.558522645453266</v>
      </c>
      <c r="AH9" s="41">
        <f t="shared" si="21"/>
        <v>-27449.641879273251</v>
      </c>
      <c r="AI9" s="41">
        <f t="shared" si="22"/>
        <v>0</v>
      </c>
      <c r="AJ9" s="41">
        <f t="shared" si="10"/>
        <v>-27473.200401918704</v>
      </c>
      <c r="AK9" s="41">
        <f t="shared" si="11"/>
        <v>-48284.640374540642</v>
      </c>
      <c r="AL9" s="41">
        <f t="shared" si="23"/>
        <v>14715.228269448569</v>
      </c>
      <c r="AM9" s="41">
        <f t="shared" si="12"/>
        <v>-61042.612507010774</v>
      </c>
      <c r="AN9" s="41">
        <f t="shared" si="13"/>
        <v>274.49641879273258</v>
      </c>
      <c r="AO9" s="41">
        <f t="shared" si="14"/>
        <v>-60768.116088218041</v>
      </c>
      <c r="AP9" s="45"/>
      <c r="AQ9" s="45"/>
      <c r="AR9" s="48"/>
      <c r="AS9" s="48"/>
      <c r="AT9" s="51">
        <f t="shared" si="24"/>
        <v>5</v>
      </c>
      <c r="AU9" s="49">
        <f t="shared" si="25"/>
        <v>0.95606572675776724</v>
      </c>
      <c r="AV9" s="49">
        <f t="shared" si="26"/>
        <v>1.3724820939636626E-2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210.66900000000001</v>
      </c>
      <c r="AX9" s="50">
        <f>IF(ISERROR(ROUND(MAX(0,1000*NPV($AT$2,$AV10:$AV$124)-$AW$2*($AU10+NPV($AT$2,$AU11:$AU$124)))/AU10,3)), 0, ROUND(MAX(0,1000*NPV($AT$2,$AV10:$AV$124)-$AW$2*($AU10+NPV($AT$2,$AU11:$AU$124)))/AU10,3))</f>
        <v>79.992999999999995</v>
      </c>
    </row>
    <row r="10" spans="1:54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7"/>
        <v/>
      </c>
      <c r="L10" s="42">
        <f t="shared" si="28"/>
        <v>25</v>
      </c>
      <c r="M10" s="41">
        <f t="shared" si="29"/>
        <v>2000000</v>
      </c>
      <c r="N10" s="43">
        <f>AX10</f>
        <v>109.069</v>
      </c>
      <c r="O10" s="44">
        <f t="shared" si="2"/>
        <v>239.41499999999999</v>
      </c>
      <c r="P10" s="41">
        <f t="shared" si="3"/>
        <v>218138</v>
      </c>
      <c r="Q10" s="41">
        <f t="shared" si="4"/>
        <v>478830</v>
      </c>
      <c r="R10" s="44"/>
      <c r="S10" s="44">
        <f t="shared" si="15"/>
        <v>15.76706768031335</v>
      </c>
      <c r="T10" s="52">
        <f>$C$12</f>
        <v>0</v>
      </c>
      <c r="U10" s="53">
        <f t="shared" si="16"/>
        <v>0.94234090581813057</v>
      </c>
      <c r="V10" s="53">
        <f t="shared" si="17"/>
        <v>1.4857952839962251E-2</v>
      </c>
      <c r="W10" s="53">
        <f t="shared" si="18"/>
        <v>0</v>
      </c>
      <c r="X10" s="46">
        <f t="shared" si="5"/>
        <v>0.9274829529781683</v>
      </c>
      <c r="Y10" s="54"/>
      <c r="Z10" s="41">
        <f t="shared" si="19"/>
        <v>397044.0325755995</v>
      </c>
      <c r="AA10" s="41">
        <f t="shared" si="20"/>
        <v>18846.81811636261</v>
      </c>
      <c r="AB10" s="41">
        <f t="shared" si="6"/>
        <v>444106.66237453633</v>
      </c>
      <c r="AC10" s="41">
        <f t="shared" si="7"/>
        <v>18549.659059563364</v>
      </c>
      <c r="AD10" s="54"/>
      <c r="AE10" s="41">
        <f t="shared" si="8"/>
        <v>0</v>
      </c>
      <c r="AF10" s="41"/>
      <c r="AG10" s="41">
        <f t="shared" si="9"/>
        <v>-23.187073824454206</v>
      </c>
      <c r="AH10" s="41">
        <f t="shared" si="21"/>
        <v>-29715.905679924505</v>
      </c>
      <c r="AI10" s="41">
        <f t="shared" si="22"/>
        <v>0</v>
      </c>
      <c r="AJ10" s="41">
        <f t="shared" si="10"/>
        <v>-29739.092753748959</v>
      </c>
      <c r="AK10" s="41">
        <f t="shared" si="11"/>
        <v>-47062.629798936832</v>
      </c>
      <c r="AL10" s="41">
        <f t="shared" si="23"/>
        <v>16635.634027678483</v>
      </c>
      <c r="AM10" s="41">
        <f t="shared" si="12"/>
        <v>-60166.088525007312</v>
      </c>
      <c r="AN10" s="41">
        <f t="shared" si="13"/>
        <v>297.15905679924617</v>
      </c>
      <c r="AO10" s="41">
        <f t="shared" si="14"/>
        <v>-59868.929468208065</v>
      </c>
      <c r="AP10" s="45"/>
      <c r="AQ10" s="45"/>
      <c r="AR10" s="48"/>
      <c r="AS10" s="48"/>
      <c r="AT10" s="51">
        <f t="shared" si="24"/>
        <v>6</v>
      </c>
      <c r="AU10" s="49">
        <f t="shared" si="25"/>
        <v>0.94234090581813057</v>
      </c>
      <c r="AV10" s="49">
        <f t="shared" si="26"/>
        <v>1.4857952839962251E-2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239.41499999999999</v>
      </c>
      <c r="AX10" s="50">
        <f>IF(ISERROR(ROUND(MAX(0,1000*NPV($AT$2,$AV11:$AV$124)-$AW$2*($AU11+NPV($AT$2,$AU12:$AU$124)))/AU11,3)), 0, ROUND(MAX(0,1000*NPV($AT$2,$AV11:$AV$124)-$AW$2*($AU11+NPV($AT$2,$AU12:$AU$124)))/AU11,3))</f>
        <v>109.069</v>
      </c>
    </row>
    <row r="11" spans="1:54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7"/>
        <v/>
      </c>
      <c r="L11" s="42">
        <f t="shared" si="28"/>
        <v>25</v>
      </c>
      <c r="M11" s="41">
        <f t="shared" si="29"/>
        <v>2000000</v>
      </c>
      <c r="N11" s="43">
        <f t="shared" si="1"/>
        <v>138.96899999999999</v>
      </c>
      <c r="O11" s="44">
        <f>AW11</f>
        <v>268.58800000000002</v>
      </c>
      <c r="P11" s="41">
        <f t="shared" si="3"/>
        <v>277938</v>
      </c>
      <c r="Q11" s="41">
        <f t="shared" si="4"/>
        <v>537176</v>
      </c>
      <c r="R11" s="44"/>
      <c r="S11" s="44">
        <f t="shared" si="15"/>
        <v>17.383985353104901</v>
      </c>
      <c r="T11" s="52">
        <f>$C$12</f>
        <v>0</v>
      </c>
      <c r="U11" s="53">
        <f t="shared" si="16"/>
        <v>0.9274829529781683</v>
      </c>
      <c r="V11" s="53">
        <f t="shared" si="17"/>
        <v>1.6123350069826958E-2</v>
      </c>
      <c r="W11" s="53">
        <f t="shared" si="18"/>
        <v>0</v>
      </c>
      <c r="X11" s="46">
        <f t="shared" si="5"/>
        <v>0.91135960290834128</v>
      </c>
      <c r="Y11" s="54"/>
      <c r="Z11" s="41">
        <f t="shared" si="19"/>
        <v>444106.66237453633</v>
      </c>
      <c r="AA11" s="41">
        <f t="shared" si="20"/>
        <v>18549.659059563364</v>
      </c>
      <c r="AB11" s="41">
        <f t="shared" si="6"/>
        <v>489560.50605189113</v>
      </c>
      <c r="AC11" s="41">
        <f t="shared" si="7"/>
        <v>18227.192058166827</v>
      </c>
      <c r="AD11" s="54"/>
      <c r="AE11" s="41">
        <f t="shared" si="8"/>
        <v>0</v>
      </c>
      <c r="AF11" s="41"/>
      <c r="AG11" s="41">
        <f t="shared" si="9"/>
        <v>-22.783990072708534</v>
      </c>
      <c r="AH11" s="41">
        <f t="shared" si="21"/>
        <v>-32246.700139653916</v>
      </c>
      <c r="AI11" s="41">
        <f t="shared" si="22"/>
        <v>0</v>
      </c>
      <c r="AJ11" s="41">
        <f t="shared" si="10"/>
        <v>-32269.484129726625</v>
      </c>
      <c r="AK11" s="41">
        <f t="shared" si="11"/>
        <v>-45453.843677354802</v>
      </c>
      <c r="AL11" s="41">
        <f t="shared" si="23"/>
        <v>18506.252857363987</v>
      </c>
      <c r="AM11" s="41">
        <f t="shared" si="12"/>
        <v>-59217.07494971744</v>
      </c>
      <c r="AN11" s="41">
        <f t="shared" si="13"/>
        <v>322.46700139653694</v>
      </c>
      <c r="AO11" s="41">
        <f t="shared" si="14"/>
        <v>-58894.607948320903</v>
      </c>
      <c r="AP11" s="45"/>
      <c r="AQ11" s="45"/>
      <c r="AR11" s="48"/>
      <c r="AS11" s="48"/>
      <c r="AT11" s="51">
        <f t="shared" si="24"/>
        <v>7</v>
      </c>
      <c r="AU11" s="49">
        <f t="shared" si="25"/>
        <v>0.9274829529781683</v>
      </c>
      <c r="AV11" s="49">
        <f t="shared" si="26"/>
        <v>1.6123350069826958E-2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268.58800000000002</v>
      </c>
      <c r="AX11" s="50">
        <f>IF(ISERROR(ROUND(MAX(0,1000*NPV($AT$2,$AV12:$AV$124)-$AW$2*($AU12+NPV($AT$2,$AU13:$AU$124)))/AU12,3)), 0, ROUND(MAX(0,1000*NPV($AT$2,$AV12:$AV$124)-$AW$2*($AU12+NPV($AT$2,$AU13:$AU$124)))/AU12,3))</f>
        <v>138.96899999999999</v>
      </c>
    </row>
    <row r="12" spans="1:54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7"/>
        <v/>
      </c>
      <c r="L12" s="42">
        <f t="shared" si="28"/>
        <v>25</v>
      </c>
      <c r="M12" s="41">
        <f t="shared" si="29"/>
        <v>2000000</v>
      </c>
      <c r="N12" s="43">
        <f>AX12</f>
        <v>169.649</v>
      </c>
      <c r="O12" s="44">
        <f t="shared" si="2"/>
        <v>298.13200000000001</v>
      </c>
      <c r="P12" s="41">
        <f t="shared" si="3"/>
        <v>339298</v>
      </c>
      <c r="Q12" s="41">
        <f t="shared" si="4"/>
        <v>596264</v>
      </c>
      <c r="R12" s="44"/>
      <c r="S12" s="44">
        <f t="shared" si="15"/>
        <v>19.248866424243058</v>
      </c>
      <c r="T12" s="52">
        <f>$C$12</f>
        <v>0</v>
      </c>
      <c r="U12" s="53">
        <f t="shared" si="16"/>
        <v>0.91135960290834128</v>
      </c>
      <c r="V12" s="53">
        <f t="shared" si="17"/>
        <v>1.7542639260833857E-2</v>
      </c>
      <c r="W12" s="53">
        <f t="shared" si="18"/>
        <v>0</v>
      </c>
      <c r="X12" s="46">
        <f t="shared" si="5"/>
        <v>0.8938169636475074</v>
      </c>
      <c r="Y12" s="54"/>
      <c r="Z12" s="41">
        <f t="shared" si="19"/>
        <v>489560.50605189113</v>
      </c>
      <c r="AA12" s="41">
        <f t="shared" si="20"/>
        <v>18227.192058166827</v>
      </c>
      <c r="AB12" s="41">
        <f t="shared" si="6"/>
        <v>532950.87801231735</v>
      </c>
      <c r="AC12" s="41">
        <f t="shared" si="7"/>
        <v>17876.339272950147</v>
      </c>
      <c r="AD12" s="54"/>
      <c r="AE12" s="41">
        <f t="shared" si="8"/>
        <v>0</v>
      </c>
      <c r="AF12" s="41"/>
      <c r="AG12" s="41">
        <f t="shared" si="9"/>
        <v>-22.345424091187684</v>
      </c>
      <c r="AH12" s="41">
        <f t="shared" si="21"/>
        <v>-35085.278521667715</v>
      </c>
      <c r="AI12" s="41">
        <f t="shared" si="22"/>
        <v>0</v>
      </c>
      <c r="AJ12" s="41">
        <f t="shared" si="10"/>
        <v>-35107.623945758904</v>
      </c>
      <c r="AK12" s="41">
        <f t="shared" si="11"/>
        <v>-43390.371960426215</v>
      </c>
      <c r="AL12" s="41">
        <f t="shared" si="23"/>
        <v>20311.507924402318</v>
      </c>
      <c r="AM12" s="41">
        <f t="shared" si="12"/>
        <v>-58186.487981782804</v>
      </c>
      <c r="AN12" s="41">
        <f t="shared" si="13"/>
        <v>350.85278521668079</v>
      </c>
      <c r="AO12" s="41">
        <f t="shared" si="14"/>
        <v>-57835.635196566123</v>
      </c>
      <c r="AP12" s="45"/>
      <c r="AQ12" s="45"/>
      <c r="AR12" s="48"/>
      <c r="AS12" s="48"/>
      <c r="AT12" s="51">
        <f t="shared" si="24"/>
        <v>8</v>
      </c>
      <c r="AU12" s="49">
        <f t="shared" si="25"/>
        <v>0.91135960290834128</v>
      </c>
      <c r="AV12" s="49">
        <f t="shared" si="26"/>
        <v>1.7542639260833857E-2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298.13200000000001</v>
      </c>
      <c r="AX12" s="50">
        <f>IF(ISERROR(ROUND(MAX(0,1000*NPV($AT$2,$AV13:$AV$124)-$AW$2*($AU13+NPV($AT$2,$AU14:$AU$124)))/AU13,3)), 0, ROUND(MAX(0,1000*NPV($AT$2,$AV13:$AV$124)-$AW$2*($AU13+NPV($AT$2,$AU14:$AU$124)))/AU13,3))</f>
        <v>169.649</v>
      </c>
    </row>
    <row r="13" spans="1:54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7"/>
        <v/>
      </c>
      <c r="L13" s="42">
        <f t="shared" si="28"/>
        <v>25</v>
      </c>
      <c r="M13" s="41">
        <f t="shared" si="29"/>
        <v>2000000</v>
      </c>
      <c r="N13" s="43">
        <f t="shared" si="1"/>
        <v>201.054</v>
      </c>
      <c r="O13" s="44">
        <f t="shared" si="2"/>
        <v>327.98700000000002</v>
      </c>
      <c r="P13" s="41">
        <f t="shared" si="3"/>
        <v>402108</v>
      </c>
      <c r="Q13" s="41">
        <f t="shared" si="4"/>
        <v>655974</v>
      </c>
      <c r="R13" s="44"/>
      <c r="S13" s="44">
        <f t="shared" si="15"/>
        <v>21.400628118569252</v>
      </c>
      <c r="T13" s="52">
        <f>$C$12</f>
        <v>0</v>
      </c>
      <c r="U13" s="53">
        <f t="shared" si="16"/>
        <v>0.8938169636475074</v>
      </c>
      <c r="V13" s="53">
        <f t="shared" si="17"/>
        <v>1.9128244445089038E-2</v>
      </c>
      <c r="W13" s="53">
        <f t="shared" si="18"/>
        <v>0</v>
      </c>
      <c r="X13" s="46">
        <f t="shared" si="5"/>
        <v>0.87468871920241842</v>
      </c>
      <c r="Y13" s="54"/>
      <c r="Z13" s="41">
        <f t="shared" si="19"/>
        <v>532950.87801231735</v>
      </c>
      <c r="AA13" s="41">
        <f t="shared" si="20"/>
        <v>17876.339272950147</v>
      </c>
      <c r="AB13" s="41">
        <f t="shared" si="6"/>
        <v>573773.05789008725</v>
      </c>
      <c r="AC13" s="41">
        <f t="shared" si="7"/>
        <v>17493.774384048367</v>
      </c>
      <c r="AD13" s="54"/>
      <c r="AE13" s="41">
        <f t="shared" si="8"/>
        <v>0</v>
      </c>
      <c r="AF13" s="41"/>
      <c r="AG13" s="41">
        <f t="shared" si="9"/>
        <v>-21.86721798006046</v>
      </c>
      <c r="AH13" s="41">
        <f t="shared" si="21"/>
        <v>-38256.488890178072</v>
      </c>
      <c r="AI13" s="41">
        <f t="shared" si="22"/>
        <v>0</v>
      </c>
      <c r="AJ13" s="41">
        <f>SUM(AE13:AI13)</f>
        <v>-38278.356108158136</v>
      </c>
      <c r="AK13" s="41">
        <f t="shared" si="11"/>
        <v>-40822.1798777699</v>
      </c>
      <c r="AL13" s="41">
        <f t="shared" si="23"/>
        <v>22033.088691410703</v>
      </c>
      <c r="AM13" s="41">
        <f t="shared" si="12"/>
        <v>-57067.447294517326</v>
      </c>
      <c r="AN13" s="41">
        <f t="shared" si="13"/>
        <v>382.56488890177934</v>
      </c>
      <c r="AO13" s="41">
        <f t="shared" si="14"/>
        <v>-56684.882405615543</v>
      </c>
      <c r="AP13" s="45"/>
      <c r="AQ13" s="45"/>
      <c r="AR13" s="48"/>
      <c r="AS13" s="48"/>
      <c r="AT13" s="51">
        <f t="shared" si="24"/>
        <v>9</v>
      </c>
      <c r="AU13" s="49">
        <f t="shared" si="25"/>
        <v>0.8938169636475074</v>
      </c>
      <c r="AV13" s="49">
        <f t="shared" si="26"/>
        <v>1.9128244445089038E-2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327.98700000000002</v>
      </c>
      <c r="AX13" s="50">
        <f>IF(ISERROR(ROUND(MAX(0,1000*NPV($AT$2,$AV14:$AV$124)-$AW$2*($AU14+NPV($AT$2,$AU15:$AU$124)))/AU14,3)), 0, ROUND(MAX(0,1000*NPV($AT$2,$AV14:$AV$124)-$AW$2*($AU14+NPV($AT$2,$AU15:$AU$124)))/AU14,3))</f>
        <v>201.054</v>
      </c>
    </row>
    <row r="14" spans="1:54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7"/>
        <v/>
      </c>
      <c r="L14" s="42">
        <f t="shared" si="28"/>
        <v>25</v>
      </c>
      <c r="M14" s="41">
        <f t="shared" si="29"/>
        <v>2000000</v>
      </c>
      <c r="N14" s="43">
        <f t="shared" si="1"/>
        <v>233.06200000000001</v>
      </c>
      <c r="O14" s="44">
        <f t="shared" si="2"/>
        <v>358.03399999999999</v>
      </c>
      <c r="P14" s="41">
        <f t="shared" si="3"/>
        <v>466124</v>
      </c>
      <c r="Q14" s="41">
        <f t="shared" si="4"/>
        <v>716068</v>
      </c>
      <c r="R14" s="44"/>
      <c r="S14" s="44">
        <f t="shared" si="15"/>
        <v>23.964012309611331</v>
      </c>
      <c r="T14" s="52">
        <f>$C$12</f>
        <v>0</v>
      </c>
      <c r="U14" s="53">
        <f t="shared" si="16"/>
        <v>0.87468871920241842</v>
      </c>
      <c r="V14" s="53">
        <f t="shared" si="17"/>
        <v>2.0961051234044924E-2</v>
      </c>
      <c r="W14" s="53">
        <f t="shared" si="18"/>
        <v>0</v>
      </c>
      <c r="X14" s="46">
        <f t="shared" si="5"/>
        <v>0.85372766796837352</v>
      </c>
      <c r="Y14" s="54"/>
      <c r="Z14" s="41">
        <f t="shared" si="19"/>
        <v>573773.05789008725</v>
      </c>
      <c r="AA14" s="41">
        <f t="shared" si="20"/>
        <v>17493.774384048367</v>
      </c>
      <c r="AB14" s="41">
        <f t="shared" si="6"/>
        <v>611327.06374677725</v>
      </c>
      <c r="AC14" s="41">
        <f t="shared" si="7"/>
        <v>17074.55335936747</v>
      </c>
      <c r="AD14" s="54"/>
      <c r="AE14" s="41">
        <f t="shared" si="8"/>
        <v>0</v>
      </c>
      <c r="AF14" s="41"/>
      <c r="AG14" s="41">
        <f t="shared" si="9"/>
        <v>-21.343191699209338</v>
      </c>
      <c r="AH14" s="41">
        <f t="shared" si="21"/>
        <v>-41922.102468089848</v>
      </c>
      <c r="AI14" s="41">
        <f t="shared" si="22"/>
        <v>0</v>
      </c>
      <c r="AJ14" s="41">
        <f t="shared" si="10"/>
        <v>-41943.44565978906</v>
      </c>
      <c r="AK14" s="41">
        <f t="shared" si="11"/>
        <v>-37554.005856689997</v>
      </c>
      <c r="AL14" s="41">
        <f t="shared" si="23"/>
        <v>23650.673290965427</v>
      </c>
      <c r="AM14" s="41">
        <f t="shared" si="12"/>
        <v>-55846.778225513626</v>
      </c>
      <c r="AN14" s="41">
        <f t="shared" si="13"/>
        <v>419.22102468089724</v>
      </c>
      <c r="AO14" s="41">
        <f t="shared" si="14"/>
        <v>-55427.557200832729</v>
      </c>
      <c r="AP14" s="45"/>
      <c r="AQ14" s="45"/>
      <c r="AR14" s="48"/>
      <c r="AS14" s="48"/>
      <c r="AT14" s="51">
        <f t="shared" si="24"/>
        <v>10</v>
      </c>
      <c r="AU14" s="49">
        <f t="shared" si="25"/>
        <v>0.87468871920241842</v>
      </c>
      <c r="AV14" s="49">
        <f t="shared" si="26"/>
        <v>2.0961051234044924E-2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358.03399999999999</v>
      </c>
      <c r="AX14" s="50">
        <f>IF(ISERROR(ROUND(MAX(0,1000*NPV($AT$2,$AV15:$AV$124)-$AW$2*($AU15+NPV($AT$2,$AU16:$AU$124)))/AU15,3)), 0, ROUND(MAX(0,1000*NPV($AT$2,$AV15:$AV$124)-$AW$2*($AU15+NPV($AT$2,$AU16:$AU$124)))/AU15,3))</f>
        <v>233.06200000000001</v>
      </c>
    </row>
    <row r="15" spans="1:54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7"/>
        <v/>
      </c>
      <c r="L15" s="42">
        <f t="shared" si="28"/>
        <v>25</v>
      </c>
      <c r="M15" s="41">
        <f t="shared" si="29"/>
        <v>2000000</v>
      </c>
      <c r="N15" s="43">
        <f t="shared" si="1"/>
        <v>265.59899999999999</v>
      </c>
      <c r="O15" s="44">
        <f t="shared" si="2"/>
        <v>388.19600000000003</v>
      </c>
      <c r="P15" s="41">
        <f t="shared" si="3"/>
        <v>531198</v>
      </c>
      <c r="Q15" s="41">
        <f t="shared" si="4"/>
        <v>776392</v>
      </c>
      <c r="R15" s="44"/>
      <c r="S15" s="44">
        <f t="shared" si="15"/>
        <v>26.921099941727629</v>
      </c>
      <c r="T15" s="52">
        <f>$C$13</f>
        <v>0</v>
      </c>
      <c r="U15" s="53">
        <f t="shared" si="16"/>
        <v>0.85372766796837352</v>
      </c>
      <c r="V15" s="53">
        <f t="shared" si="17"/>
        <v>2.2983287872394644E-2</v>
      </c>
      <c r="W15" s="53">
        <f t="shared" si="18"/>
        <v>0</v>
      </c>
      <c r="X15" s="46">
        <f t="shared" si="5"/>
        <v>0.83074438009597884</v>
      </c>
      <c r="Y15" s="54"/>
      <c r="Z15" s="41">
        <f t="shared" si="19"/>
        <v>611327.06374677725</v>
      </c>
      <c r="AA15" s="41">
        <f t="shared" si="20"/>
        <v>17074.55335936747</v>
      </c>
      <c r="AB15" s="41">
        <f t="shared" si="6"/>
        <v>644983.29075147724</v>
      </c>
      <c r="AC15" s="41">
        <f t="shared" si="7"/>
        <v>16614.887601919578</v>
      </c>
      <c r="AD15" s="54"/>
      <c r="AE15" s="41">
        <f t="shared" si="8"/>
        <v>0</v>
      </c>
      <c r="AF15" s="41"/>
      <c r="AG15" s="41">
        <f t="shared" si="9"/>
        <v>-20.768609502399471</v>
      </c>
      <c r="AH15" s="41">
        <f t="shared" si="21"/>
        <v>-45966.57574478929</v>
      </c>
      <c r="AI15" s="41">
        <f t="shared" si="22"/>
        <v>0</v>
      </c>
      <c r="AJ15" s="41">
        <f t="shared" si="10"/>
        <v>-45987.344354291687</v>
      </c>
      <c r="AK15" s="41">
        <f t="shared" si="11"/>
        <v>-33656.227004699991</v>
      </c>
      <c r="AL15" s="41">
        <f t="shared" si="23"/>
        <v>25136.064684245786</v>
      </c>
      <c r="AM15" s="41">
        <f t="shared" si="12"/>
        <v>-54507.506674745884</v>
      </c>
      <c r="AN15" s="41">
        <f t="shared" si="13"/>
        <v>459.66575744789225</v>
      </c>
      <c r="AO15" s="41">
        <f t="shared" si="14"/>
        <v>-54047.840917297988</v>
      </c>
      <c r="AP15" s="45"/>
      <c r="AQ15" s="45"/>
      <c r="AR15" s="48"/>
      <c r="AS15" s="48"/>
      <c r="AT15" s="51">
        <f t="shared" si="24"/>
        <v>11</v>
      </c>
      <c r="AU15" s="49">
        <f t="shared" si="25"/>
        <v>0.85372766796837352</v>
      </c>
      <c r="AV15" s="49">
        <f t="shared" si="26"/>
        <v>2.2983287872394644E-2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388.19600000000003</v>
      </c>
      <c r="AX15" s="50">
        <f>IF(ISERROR(ROUND(MAX(0,1000*NPV($AT$2,$AV16:$AV$124)-$AW$2*($AU16+NPV($AT$2,$AU17:$AU$124)))/AU16,3)), 0, ROUND(MAX(0,1000*NPV($AT$2,$AV16:$AV$124)-$AW$2*($AU16+NPV($AT$2,$AU17:$AU$124)))/AU16,3))</f>
        <v>265.59899999999999</v>
      </c>
    </row>
    <row r="16" spans="1:54" ht="15" x14ac:dyDescent="0.25">
      <c r="A16" s="15"/>
      <c r="B16" s="19">
        <v>1</v>
      </c>
      <c r="C16" s="18">
        <v>0.3</v>
      </c>
      <c r="D16" s="1"/>
      <c r="E16" s="19" t="s">
        <v>69</v>
      </c>
      <c r="F16" s="7">
        <v>0.06</v>
      </c>
      <c r="G16" s="5"/>
      <c r="H16" s="1"/>
      <c r="I16" s="51">
        <v>12</v>
      </c>
      <c r="J16" s="41"/>
      <c r="K16" s="41" t="str">
        <f t="shared" si="27"/>
        <v/>
      </c>
      <c r="L16" s="42">
        <f t="shared" si="28"/>
        <v>25</v>
      </c>
      <c r="M16" s="41">
        <f t="shared" si="29"/>
        <v>2000000</v>
      </c>
      <c r="N16" s="43">
        <f t="shared" si="1"/>
        <v>295.37099999999998</v>
      </c>
      <c r="O16" s="44">
        <f t="shared" si="2"/>
        <v>415.72899999999998</v>
      </c>
      <c r="P16" s="41">
        <f t="shared" si="3"/>
        <v>590742</v>
      </c>
      <c r="Q16" s="41">
        <f t="shared" si="4"/>
        <v>831458</v>
      </c>
      <c r="R16" s="44"/>
      <c r="S16" s="44">
        <f t="shared" si="15"/>
        <v>34.753818620272973</v>
      </c>
      <c r="T16" s="52">
        <f t="shared" ref="T16:T80" si="30">$C$13</f>
        <v>0</v>
      </c>
      <c r="U16" s="53">
        <f t="shared" si="16"/>
        <v>0.83074438009597884</v>
      </c>
      <c r="V16" s="53">
        <f t="shared" si="17"/>
        <v>2.8871539505666757E-2</v>
      </c>
      <c r="W16" s="53">
        <f t="shared" si="18"/>
        <v>0</v>
      </c>
      <c r="X16" s="46">
        <f t="shared" si="5"/>
        <v>0.80187284059031205</v>
      </c>
      <c r="Y16" s="54"/>
      <c r="Z16" s="41">
        <f t="shared" si="19"/>
        <v>644983.29075147724</v>
      </c>
      <c r="AA16" s="41">
        <f t="shared" si="20"/>
        <v>16614.887601919578</v>
      </c>
      <c r="AB16" s="41">
        <f t="shared" si="6"/>
        <v>666723.58829153969</v>
      </c>
      <c r="AC16" s="41">
        <f t="shared" si="7"/>
        <v>16037.456811806242</v>
      </c>
      <c r="AD16" s="54"/>
      <c r="AE16" s="41">
        <f t="shared" si="8"/>
        <v>0</v>
      </c>
      <c r="AF16" s="41"/>
      <c r="AG16" s="41">
        <f t="shared" si="9"/>
        <v>-20.0468210147578</v>
      </c>
      <c r="AH16" s="41">
        <f t="shared" si="21"/>
        <v>-57743.07901133351</v>
      </c>
      <c r="AI16" s="41">
        <f t="shared" si="22"/>
        <v>0</v>
      </c>
      <c r="AJ16" s="41">
        <f t="shared" si="10"/>
        <v>-57763.125832348269</v>
      </c>
      <c r="AK16" s="41">
        <f t="shared" si="11"/>
        <v>-21740.297540062456</v>
      </c>
      <c r="AL16" s="41">
        <f t="shared" si="23"/>
        <v>26463.927134135873</v>
      </c>
      <c r="AM16" s="41">
        <f t="shared" si="12"/>
        <v>-53039.496238274864</v>
      </c>
      <c r="AN16" s="41">
        <f t="shared" si="13"/>
        <v>577.43079011333612</v>
      </c>
      <c r="AO16" s="41">
        <f t="shared" si="14"/>
        <v>-52462.065448161527</v>
      </c>
      <c r="AP16" s="45"/>
      <c r="AQ16" s="45"/>
      <c r="AR16" s="48"/>
      <c r="AS16" s="48"/>
      <c r="AT16" s="51">
        <f t="shared" si="24"/>
        <v>12</v>
      </c>
      <c r="AU16" s="49">
        <f t="shared" si="25"/>
        <v>0.83074438009597884</v>
      </c>
      <c r="AV16" s="49">
        <f t="shared" si="26"/>
        <v>2.8871539505666757E-2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415.72899999999998</v>
      </c>
      <c r="AX16" s="50">
        <f>IF(ISERROR(ROUND(MAX(0,1000*NPV($AT$2,$AV17:$AV$124)-$AW$2*($AU17+NPV($AT$2,$AU18:$AU$124)))/AU17,3)), 0, ROUND(MAX(0,1000*NPV($AT$2,$AV17:$AV$124)-$AW$2*($AU17+NPV($AT$2,$AU18:$AU$124)))/AU17,3))</f>
        <v>295.37099999999998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7"/>
        <v/>
      </c>
      <c r="L17" s="42">
        <f t="shared" si="28"/>
        <v>25</v>
      </c>
      <c r="M17" s="41">
        <f t="shared" si="29"/>
        <v>2000000</v>
      </c>
      <c r="N17" s="43">
        <f t="shared" si="1"/>
        <v>324.92599999999999</v>
      </c>
      <c r="O17" s="44">
        <f t="shared" si="2"/>
        <v>442.80399999999997</v>
      </c>
      <c r="P17" s="41">
        <f t="shared" si="3"/>
        <v>649852</v>
      </c>
      <c r="Q17" s="41">
        <f t="shared" si="4"/>
        <v>885608</v>
      </c>
      <c r="R17" s="44"/>
      <c r="S17" s="44">
        <f t="shared" si="15"/>
        <v>39.24229446653991</v>
      </c>
      <c r="T17" s="52">
        <f t="shared" si="30"/>
        <v>0</v>
      </c>
      <c r="U17" s="53">
        <f t="shared" si="16"/>
        <v>0.80187284059031205</v>
      </c>
      <c r="V17" s="53">
        <f t="shared" si="17"/>
        <v>3.1467330135165839E-2</v>
      </c>
      <c r="W17" s="53">
        <f t="shared" si="18"/>
        <v>0</v>
      </c>
      <c r="X17" s="46">
        <f t="shared" si="5"/>
        <v>0.77040551045514616</v>
      </c>
      <c r="Y17" s="54"/>
      <c r="Z17" s="41">
        <f t="shared" si="19"/>
        <v>666723.58829153969</v>
      </c>
      <c r="AA17" s="41">
        <f t="shared" si="20"/>
        <v>16037.456811806242</v>
      </c>
      <c r="AB17" s="41">
        <f t="shared" si="6"/>
        <v>682277.28330316104</v>
      </c>
      <c r="AC17" s="41">
        <f t="shared" si="7"/>
        <v>15408.110209102922</v>
      </c>
      <c r="AD17" s="54"/>
      <c r="AE17" s="41">
        <f t="shared" si="8"/>
        <v>0</v>
      </c>
      <c r="AF17" s="41"/>
      <c r="AG17" s="41">
        <f t="shared" si="9"/>
        <v>-19.260137761378655</v>
      </c>
      <c r="AH17" s="41">
        <f t="shared" si="21"/>
        <v>-62934.660270331675</v>
      </c>
      <c r="AI17" s="41">
        <f t="shared" si="22"/>
        <v>0</v>
      </c>
      <c r="AJ17" s="41">
        <f t="shared" si="10"/>
        <v>-62953.92040809305</v>
      </c>
      <c r="AK17" s="41">
        <f t="shared" si="11"/>
        <v>-15553.695011621341</v>
      </c>
      <c r="AL17" s="41">
        <f t="shared" si="23"/>
        <v>27310.441804133836</v>
      </c>
      <c r="AM17" s="41">
        <f t="shared" si="12"/>
        <v>-51197.173615580556</v>
      </c>
      <c r="AN17" s="41">
        <f t="shared" si="13"/>
        <v>629.34660270331915</v>
      </c>
      <c r="AO17" s="41">
        <f t="shared" si="14"/>
        <v>-50567.827012877235</v>
      </c>
      <c r="AP17" s="45"/>
      <c r="AQ17" s="45"/>
      <c r="AR17" s="48"/>
      <c r="AS17" s="48"/>
      <c r="AT17" s="51">
        <f t="shared" si="24"/>
        <v>13</v>
      </c>
      <c r="AU17" s="49">
        <f t="shared" si="25"/>
        <v>0.80187284059031205</v>
      </c>
      <c r="AV17" s="49">
        <f t="shared" si="26"/>
        <v>3.1467330135165839E-2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442.80399999999997</v>
      </c>
      <c r="AX17" s="50">
        <f>IF(ISERROR(ROUND(MAX(0,1000*NPV($AT$2,$AV18:$AV$124)-$AW$2*($AU18+NPV($AT$2,$AU19:$AU$124)))/AU18,3)), 0, ROUND(MAX(0,1000*NPV($AT$2,$AV18:$AV$124)-$AW$2*($AU18+NPV($AT$2,$AU19:$AU$124)))/AU18,3))</f>
        <v>324.92599999999999</v>
      </c>
    </row>
    <row r="18" spans="1:50" ht="15" x14ac:dyDescent="0.25">
      <c r="A18" s="12" t="s">
        <v>10</v>
      </c>
      <c r="B18" s="14"/>
      <c r="C18" s="3"/>
      <c r="D18" s="1"/>
      <c r="E18" s="1" t="s">
        <v>75</v>
      </c>
      <c r="F18" s="7">
        <v>0.01</v>
      </c>
      <c r="G18" s="1"/>
      <c r="H18" s="1"/>
      <c r="I18" s="51">
        <v>14</v>
      </c>
      <c r="J18" s="41"/>
      <c r="K18" s="41" t="str">
        <f t="shared" si="27"/>
        <v/>
      </c>
      <c r="L18" s="42">
        <f t="shared" si="28"/>
        <v>25</v>
      </c>
      <c r="M18" s="41">
        <f t="shared" si="29"/>
        <v>2000000</v>
      </c>
      <c r="N18" s="43">
        <f t="shared" si="1"/>
        <v>354.161</v>
      </c>
      <c r="O18" s="44">
        <f t="shared" si="2"/>
        <v>469.34</v>
      </c>
      <c r="P18" s="41">
        <f t="shared" si="3"/>
        <v>708322</v>
      </c>
      <c r="Q18" s="41">
        <f t="shared" si="4"/>
        <v>938680</v>
      </c>
      <c r="R18" s="44"/>
      <c r="S18" s="44">
        <f t="shared" si="15"/>
        <v>44.260354558315626</v>
      </c>
      <c r="T18" s="52">
        <f t="shared" si="30"/>
        <v>0</v>
      </c>
      <c r="U18" s="53">
        <f t="shared" si="16"/>
        <v>0.77040551045514616</v>
      </c>
      <c r="V18" s="53">
        <f t="shared" si="17"/>
        <v>3.4098421046424902E-2</v>
      </c>
      <c r="W18" s="53">
        <f t="shared" si="18"/>
        <v>0</v>
      </c>
      <c r="X18" s="46">
        <f t="shared" si="5"/>
        <v>0.73630708940872125</v>
      </c>
      <c r="Y18" s="54"/>
      <c r="Z18" s="41">
        <f t="shared" si="19"/>
        <v>682277.28330316104</v>
      </c>
      <c r="AA18" s="41">
        <f t="shared" si="20"/>
        <v>15408.110209102922</v>
      </c>
      <c r="AB18" s="41">
        <f t="shared" si="6"/>
        <v>691156.73868617846</v>
      </c>
      <c r="AC18" s="41">
        <f t="shared" si="7"/>
        <v>14726.141788174426</v>
      </c>
      <c r="AD18" s="54"/>
      <c r="AE18" s="41">
        <f t="shared" si="8"/>
        <v>0</v>
      </c>
      <c r="AF18" s="41"/>
      <c r="AG18" s="41">
        <f t="shared" si="9"/>
        <v>-18.407677235218031</v>
      </c>
      <c r="AH18" s="41">
        <f t="shared" si="21"/>
        <v>-68196.842092849809</v>
      </c>
      <c r="AI18" s="41">
        <f t="shared" si="22"/>
        <v>0</v>
      </c>
      <c r="AJ18" s="41">
        <f t="shared" si="10"/>
        <v>-68215.249770085022</v>
      </c>
      <c r="AK18" s="41">
        <f t="shared" si="11"/>
        <v>-8879.4553830174264</v>
      </c>
      <c r="AL18" s="41">
        <f t="shared" si="23"/>
        <v>27907.41574049056</v>
      </c>
      <c r="AM18" s="41">
        <f t="shared" si="12"/>
        <v>-49187.289412611892</v>
      </c>
      <c r="AN18" s="41">
        <f t="shared" si="13"/>
        <v>681.96842092849693</v>
      </c>
      <c r="AO18" s="41">
        <f t="shared" si="14"/>
        <v>-48505.320991683395</v>
      </c>
      <c r="AP18" s="45"/>
      <c r="AQ18" s="45"/>
      <c r="AR18" s="48"/>
      <c r="AS18" s="48"/>
      <c r="AT18" s="51">
        <f t="shared" si="24"/>
        <v>14</v>
      </c>
      <c r="AU18" s="49">
        <f t="shared" si="25"/>
        <v>0.77040551045514616</v>
      </c>
      <c r="AV18" s="49">
        <f t="shared" si="26"/>
        <v>3.4098421046424902E-2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469.34</v>
      </c>
      <c r="AX18" s="50">
        <f>IF(ISERROR(ROUND(MAX(0,1000*NPV($AT$2,$AV19:$AV$124)-$AW$2*($AU19+NPV($AT$2,$AU20:$AU$124)))/AU19,3)), 0, ROUND(MAX(0,1000*NPV($AT$2,$AV19:$AV$124)-$AW$2*($AU19+NPV($AT$2,$AU20:$AU$124)))/AU19,3))</f>
        <v>354.161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7"/>
        <v/>
      </c>
      <c r="L19" s="42">
        <f t="shared" si="28"/>
        <v>25</v>
      </c>
      <c r="M19" s="41">
        <f t="shared" si="29"/>
        <v>2000000</v>
      </c>
      <c r="N19" s="43">
        <f t="shared" si="1"/>
        <v>382.98</v>
      </c>
      <c r="O19" s="44">
        <f t="shared" si="2"/>
        <v>495.267</v>
      </c>
      <c r="P19" s="41">
        <f t="shared" si="3"/>
        <v>765960</v>
      </c>
      <c r="Q19" s="41">
        <f t="shared" si="4"/>
        <v>990534</v>
      </c>
      <c r="R19" s="44"/>
      <c r="S19" s="44">
        <f t="shared" si="15"/>
        <v>49.843509479189358</v>
      </c>
      <c r="T19" s="52">
        <f t="shared" si="30"/>
        <v>0</v>
      </c>
      <c r="U19" s="53">
        <f t="shared" si="16"/>
        <v>0.73630708940872125</v>
      </c>
      <c r="V19" s="53">
        <f t="shared" si="17"/>
        <v>3.6700129390537926E-2</v>
      </c>
      <c r="W19" s="53">
        <f t="shared" si="18"/>
        <v>0</v>
      </c>
      <c r="X19" s="46">
        <f t="shared" si="5"/>
        <v>0.69960696001818334</v>
      </c>
      <c r="Y19" s="54"/>
      <c r="Z19" s="41">
        <f t="shared" si="19"/>
        <v>691156.73868617846</v>
      </c>
      <c r="AA19" s="41">
        <f t="shared" si="20"/>
        <v>14726.141788174426</v>
      </c>
      <c r="AB19" s="41">
        <f t="shared" si="6"/>
        <v>692984.4805346512</v>
      </c>
      <c r="AC19" s="41">
        <f t="shared" si="7"/>
        <v>13992.139200363667</v>
      </c>
      <c r="AD19" s="54"/>
      <c r="AE19" s="41">
        <f t="shared" si="8"/>
        <v>0</v>
      </c>
      <c r="AF19" s="41"/>
      <c r="AG19" s="41">
        <f t="shared" si="9"/>
        <v>-17.490174000454584</v>
      </c>
      <c r="AH19" s="41">
        <f t="shared" si="21"/>
        <v>-73400.258781075856</v>
      </c>
      <c r="AI19" s="41">
        <f t="shared" si="22"/>
        <v>0</v>
      </c>
      <c r="AJ19" s="41">
        <f t="shared" si="10"/>
        <v>-73417.748955076313</v>
      </c>
      <c r="AK19" s="41">
        <f t="shared" si="11"/>
        <v>-1827.7418484727386</v>
      </c>
      <c r="AL19" s="41">
        <f t="shared" si="23"/>
        <v>28235.315218974116</v>
      </c>
      <c r="AM19" s="41">
        <f t="shared" si="12"/>
        <v>-47010.175584574936</v>
      </c>
      <c r="AN19" s="41">
        <f t="shared" si="13"/>
        <v>734.002587810759</v>
      </c>
      <c r="AO19" s="41">
        <f t="shared" si="14"/>
        <v>-46276.172996764173</v>
      </c>
      <c r="AP19" s="45"/>
      <c r="AQ19" s="45"/>
      <c r="AR19" s="48"/>
      <c r="AS19" s="48"/>
      <c r="AT19" s="51">
        <f t="shared" si="24"/>
        <v>15</v>
      </c>
      <c r="AU19" s="49">
        <f t="shared" si="25"/>
        <v>0.73630708940872125</v>
      </c>
      <c r="AV19" s="49">
        <f t="shared" si="26"/>
        <v>3.6700129390537926E-2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495.267</v>
      </c>
      <c r="AX19" s="50">
        <f>IF(ISERROR(ROUND(MAX(0,1000*NPV($AT$2,$AV20:$AV$124)-$AW$2*($AU20+NPV($AT$2,$AU21:$AU$124)))/AU20,3)), 0, ROUND(MAX(0,1000*NPV($AT$2,$AV20:$AV$124)-$AW$2*($AU20+NPV($AT$2,$AU21:$AU$124)))/AU20,3))</f>
        <v>382.98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/>
      <c r="G20" s="1"/>
      <c r="H20" s="1"/>
      <c r="I20" s="51">
        <v>16</v>
      </c>
      <c r="J20" s="41"/>
      <c r="K20" s="41" t="str">
        <f t="shared" si="27"/>
        <v/>
      </c>
      <c r="L20" s="42">
        <f t="shared" si="28"/>
        <v>25</v>
      </c>
      <c r="M20" s="41">
        <f t="shared" si="29"/>
        <v>2000000</v>
      </c>
      <c r="N20" s="43">
        <f t="shared" si="1"/>
        <v>411.35700000000003</v>
      </c>
      <c r="O20" s="44">
        <f t="shared" si="2"/>
        <v>520.572</v>
      </c>
      <c r="P20" s="41">
        <f t="shared" si="3"/>
        <v>822714</v>
      </c>
      <c r="Q20" s="41">
        <f t="shared" si="4"/>
        <v>1041144</v>
      </c>
      <c r="R20" s="44"/>
      <c r="S20" s="44">
        <f t="shared" si="15"/>
        <v>55.936214108905226</v>
      </c>
      <c r="T20" s="52">
        <f t="shared" si="30"/>
        <v>0</v>
      </c>
      <c r="U20" s="53">
        <f t="shared" si="16"/>
        <v>0.69960696001818334</v>
      </c>
      <c r="V20" s="53">
        <f t="shared" si="17"/>
        <v>3.9133364707657402E-2</v>
      </c>
      <c r="W20" s="53">
        <f t="shared" si="18"/>
        <v>0</v>
      </c>
      <c r="X20" s="46">
        <f t="shared" si="5"/>
        <v>0.66047359531052596</v>
      </c>
      <c r="Y20" s="54"/>
      <c r="Z20" s="41">
        <f t="shared" si="19"/>
        <v>692984.4805346512</v>
      </c>
      <c r="AA20" s="41">
        <f t="shared" si="20"/>
        <v>13992.139200363667</v>
      </c>
      <c r="AB20" s="41">
        <f t="shared" si="6"/>
        <v>687648.12091598229</v>
      </c>
      <c r="AC20" s="41">
        <f t="shared" si="7"/>
        <v>13209.47190621052</v>
      </c>
      <c r="AD20" s="54"/>
      <c r="AE20" s="41">
        <f t="shared" si="8"/>
        <v>0</v>
      </c>
      <c r="AF20" s="41"/>
      <c r="AG20" s="41">
        <f t="shared" si="9"/>
        <v>-16.511839882763148</v>
      </c>
      <c r="AH20" s="41">
        <f t="shared" si="21"/>
        <v>-78266.72941531481</v>
      </c>
      <c r="AI20" s="41">
        <f t="shared" si="22"/>
        <v>0</v>
      </c>
      <c r="AJ20" s="41">
        <f t="shared" si="10"/>
        <v>-78283.241255197572</v>
      </c>
      <c r="AK20" s="41">
        <f t="shared" si="11"/>
        <v>5336.3596186689101</v>
      </c>
      <c r="AL20" s="41">
        <f t="shared" si="23"/>
        <v>28279.064789400596</v>
      </c>
      <c r="AM20" s="41">
        <f t="shared" si="12"/>
        <v>-44667.816847128066</v>
      </c>
      <c r="AN20" s="41">
        <f t="shared" si="13"/>
        <v>782.66729415314694</v>
      </c>
      <c r="AO20" s="41">
        <f t="shared" si="14"/>
        <v>-43885.149552974923</v>
      </c>
      <c r="AP20" s="45"/>
      <c r="AQ20" s="45"/>
      <c r="AR20" s="48"/>
      <c r="AS20" s="48"/>
      <c r="AT20" s="51">
        <f t="shared" si="24"/>
        <v>16</v>
      </c>
      <c r="AU20" s="49">
        <f t="shared" si="25"/>
        <v>0.69960696001818334</v>
      </c>
      <c r="AV20" s="49">
        <f t="shared" si="26"/>
        <v>3.9133364707657402E-2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520.572</v>
      </c>
      <c r="AX20" s="50">
        <f>IF(ISERROR(ROUND(MAX(0,1000*NPV($AT$2,$AV21:$AV$124)-$AW$2*($AU21+NPV($AT$2,$AU22:$AU$124)))/AU21,3)), 0, ROUND(MAX(0,1000*NPV($AT$2,$AV21:$AV$124)-$AW$2*($AU21+NPV($AT$2,$AU22:$AU$124)))/AU21,3))</f>
        <v>411.35700000000003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7"/>
        <v/>
      </c>
      <c r="L21" s="42">
        <f t="shared" si="28"/>
        <v>25</v>
      </c>
      <c r="M21" s="41">
        <f t="shared" si="29"/>
        <v>2000000</v>
      </c>
      <c r="N21" s="43">
        <f t="shared" si="1"/>
        <v>439.24099999999999</v>
      </c>
      <c r="O21" s="44">
        <f t="shared" si="2"/>
        <v>545.22199999999998</v>
      </c>
      <c r="P21" s="41">
        <f t="shared" si="3"/>
        <v>878482</v>
      </c>
      <c r="Q21" s="41">
        <f t="shared" si="4"/>
        <v>1090444</v>
      </c>
      <c r="R21" s="44"/>
      <c r="S21" s="44">
        <f t="shared" si="15"/>
        <v>62.632053270278504</v>
      </c>
      <c r="T21" s="52">
        <f t="shared" si="30"/>
        <v>0</v>
      </c>
      <c r="U21" s="53">
        <f t="shared" si="16"/>
        <v>0.66047359531052596</v>
      </c>
      <c r="V21" s="53">
        <f t="shared" si="17"/>
        <v>4.1366817405101231E-2</v>
      </c>
      <c r="W21" s="53">
        <f t="shared" si="18"/>
        <v>0</v>
      </c>
      <c r="X21" s="46">
        <f t="shared" si="5"/>
        <v>0.61910677790542468</v>
      </c>
      <c r="Y21" s="54"/>
      <c r="Z21" s="41">
        <f t="shared" si="19"/>
        <v>687648.12091598229</v>
      </c>
      <c r="AA21" s="41">
        <f t="shared" si="20"/>
        <v>13209.47190621052</v>
      </c>
      <c r="AB21" s="41">
        <f t="shared" si="6"/>
        <v>675101.2713263029</v>
      </c>
      <c r="AC21" s="41">
        <f t="shared" si="7"/>
        <v>12382.135558108494</v>
      </c>
      <c r="AD21" s="54"/>
      <c r="AE21" s="41">
        <f t="shared" si="8"/>
        <v>0</v>
      </c>
      <c r="AF21" s="41"/>
      <c r="AG21" s="41">
        <f t="shared" si="9"/>
        <v>-15.477669447635616</v>
      </c>
      <c r="AH21" s="41">
        <f t="shared" si="21"/>
        <v>-82733.634810202464</v>
      </c>
      <c r="AI21" s="41">
        <f t="shared" si="22"/>
        <v>0</v>
      </c>
      <c r="AJ21" s="41">
        <f t="shared" si="10"/>
        <v>-82749.112479650095</v>
      </c>
      <c r="AK21" s="41">
        <f t="shared" si="11"/>
        <v>12546.84958967939</v>
      </c>
      <c r="AL21" s="41">
        <f t="shared" si="23"/>
        <v>28034.303712887715</v>
      </c>
      <c r="AM21" s="41">
        <f t="shared" si="12"/>
        <v>-42167.959177082987</v>
      </c>
      <c r="AN21" s="41">
        <f t="shared" si="13"/>
        <v>827.33634810202602</v>
      </c>
      <c r="AO21" s="41">
        <f t="shared" si="14"/>
        <v>-41340.622828980959</v>
      </c>
      <c r="AP21" s="45"/>
      <c r="AQ21" s="45"/>
      <c r="AR21" s="48"/>
      <c r="AS21" s="48"/>
      <c r="AT21" s="51">
        <f t="shared" si="24"/>
        <v>17</v>
      </c>
      <c r="AU21" s="49">
        <f t="shared" si="25"/>
        <v>0.66047359531052596</v>
      </c>
      <c r="AV21" s="49">
        <f t="shared" si="26"/>
        <v>4.1366817405101231E-2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545.22199999999998</v>
      </c>
      <c r="AX21" s="50">
        <f>IF(ISERROR(ROUND(MAX(0,1000*NPV($AT$2,$AV22:$AV$124)-$AW$2*($AU22+NPV($AT$2,$AU23:$AU$124)))/AU22,3)), 0, ROUND(MAX(0,1000*NPV($AT$2,$AV22:$AV$124)-$AW$2*($AU22+NPV($AT$2,$AU23:$AU$124)))/AU22,3))</f>
        <v>439.24099999999999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7"/>
        <v/>
      </c>
      <c r="L22" s="42">
        <f t="shared" si="28"/>
        <v>25</v>
      </c>
      <c r="M22" s="41">
        <f t="shared" si="29"/>
        <v>2000000</v>
      </c>
      <c r="N22" s="43">
        <f t="shared" si="1"/>
        <v>466.48700000000002</v>
      </c>
      <c r="O22" s="44">
        <f t="shared" si="2"/>
        <v>569.11</v>
      </c>
      <c r="P22" s="41">
        <f t="shared" si="3"/>
        <v>932974</v>
      </c>
      <c r="Q22" s="41">
        <f t="shared" si="4"/>
        <v>1138220</v>
      </c>
      <c r="R22" s="44"/>
      <c r="S22" s="44">
        <f t="shared" si="15"/>
        <v>70.163331728341888</v>
      </c>
      <c r="T22" s="52">
        <f t="shared" si="30"/>
        <v>0</v>
      </c>
      <c r="U22" s="53">
        <f t="shared" si="16"/>
        <v>0.61910677790542468</v>
      </c>
      <c r="V22" s="53">
        <f t="shared" si="17"/>
        <v>4.3438594233443199E-2</v>
      </c>
      <c r="W22" s="53">
        <f t="shared" si="18"/>
        <v>0</v>
      </c>
      <c r="X22" s="46">
        <f t="shared" si="5"/>
        <v>0.57566818367198147</v>
      </c>
      <c r="Y22" s="54"/>
      <c r="Z22" s="41">
        <f t="shared" si="19"/>
        <v>675101.2713263029</v>
      </c>
      <c r="AA22" s="41">
        <f t="shared" si="20"/>
        <v>12382.135558108494</v>
      </c>
      <c r="AB22" s="41">
        <f t="shared" si="6"/>
        <v>655237.04001912277</v>
      </c>
      <c r="AC22" s="41">
        <f t="shared" si="7"/>
        <v>11513.36367343963</v>
      </c>
      <c r="AD22" s="54"/>
      <c r="AE22" s="41">
        <f t="shared" si="8"/>
        <v>0</v>
      </c>
      <c r="AF22" s="41"/>
      <c r="AG22" s="41">
        <f t="shared" si="9"/>
        <v>-14.391704591799536</v>
      </c>
      <c r="AH22" s="41">
        <f t="shared" si="21"/>
        <v>-86877.188466886393</v>
      </c>
      <c r="AI22" s="41">
        <f t="shared" si="22"/>
        <v>0</v>
      </c>
      <c r="AJ22" s="41">
        <f t="shared" si="10"/>
        <v>-86891.580171478199</v>
      </c>
      <c r="AK22" s="41">
        <f t="shared" si="11"/>
        <v>19864.231307180133</v>
      </c>
      <c r="AL22" s="41">
        <f t="shared" si="23"/>
        <v>27499.336275376456</v>
      </c>
      <c r="AM22" s="41">
        <f t="shared" si="12"/>
        <v>-39528.012588921614</v>
      </c>
      <c r="AN22" s="41">
        <f t="shared" si="13"/>
        <v>868.771884668864</v>
      </c>
      <c r="AO22" s="41">
        <f t="shared" si="14"/>
        <v>-38659.240704252748</v>
      </c>
      <c r="AP22" s="45"/>
      <c r="AQ22" s="45"/>
      <c r="AR22" s="48"/>
      <c r="AS22" s="48"/>
      <c r="AT22" s="51">
        <f t="shared" si="24"/>
        <v>18</v>
      </c>
      <c r="AU22" s="49">
        <f t="shared" si="25"/>
        <v>0.61910677790542468</v>
      </c>
      <c r="AV22" s="49">
        <f t="shared" si="26"/>
        <v>4.3438594233443199E-2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569.11</v>
      </c>
      <c r="AX22" s="50">
        <f>IF(ISERROR(ROUND(MAX(0,1000*NPV($AT$2,$AV23:$AV$124)-$AW$2*($AU23+NPV($AT$2,$AU24:$AU$124)))/AU23,3)), 0, ROUND(MAX(0,1000*NPV($AT$2,$AV23:$AV$124)-$AW$2*($AU23+NPV($AT$2,$AU24:$AU$124)))/AU23,3))</f>
        <v>466.48700000000002</v>
      </c>
    </row>
    <row r="23" spans="1:50" ht="15" x14ac:dyDescent="0.25">
      <c r="B23" s="1"/>
      <c r="C23" s="1"/>
      <c r="D23" s="1"/>
      <c r="F23" s="1"/>
      <c r="G23" s="1"/>
      <c r="H23" s="1"/>
      <c r="I23" s="51">
        <v>19</v>
      </c>
      <c r="J23" s="41"/>
      <c r="K23" s="41" t="str">
        <f t="shared" si="27"/>
        <v/>
      </c>
      <c r="L23" s="42">
        <f t="shared" si="28"/>
        <v>25</v>
      </c>
      <c r="M23" s="41">
        <f t="shared" si="29"/>
        <v>2000000</v>
      </c>
      <c r="N23" s="43">
        <f t="shared" si="1"/>
        <v>492.93299999999999</v>
      </c>
      <c r="O23" s="44">
        <f t="shared" si="2"/>
        <v>592.11599999999999</v>
      </c>
      <c r="P23" s="41">
        <f t="shared" si="3"/>
        <v>985866</v>
      </c>
      <c r="Q23" s="41">
        <f t="shared" si="4"/>
        <v>1184232</v>
      </c>
      <c r="R23" s="44"/>
      <c r="S23" s="44">
        <f t="shared" si="15"/>
        <v>78.623537211792453</v>
      </c>
      <c r="T23" s="52">
        <f t="shared" si="30"/>
        <v>0</v>
      </c>
      <c r="U23" s="53">
        <f t="shared" si="16"/>
        <v>0.57566818367198147</v>
      </c>
      <c r="V23" s="53">
        <f t="shared" si="17"/>
        <v>4.5261068860579005E-2</v>
      </c>
      <c r="W23" s="53">
        <f t="shared" si="18"/>
        <v>0</v>
      </c>
      <c r="X23" s="46">
        <f t="shared" si="5"/>
        <v>0.53040711481140246</v>
      </c>
      <c r="Y23" s="54"/>
      <c r="Z23" s="41">
        <f t="shared" si="19"/>
        <v>655237.04001912277</v>
      </c>
      <c r="AA23" s="41">
        <f t="shared" si="20"/>
        <v>11513.36367343963</v>
      </c>
      <c r="AB23" s="41">
        <f t="shared" si="6"/>
        <v>628125.07838733681</v>
      </c>
      <c r="AC23" s="41">
        <f t="shared" si="7"/>
        <v>10608.142296228049</v>
      </c>
      <c r="AD23" s="54"/>
      <c r="AE23" s="41">
        <f t="shared" si="8"/>
        <v>0</v>
      </c>
      <c r="AF23" s="41"/>
      <c r="AG23" s="41">
        <f t="shared" si="9"/>
        <v>-13.260177870285062</v>
      </c>
      <c r="AH23" s="41">
        <f t="shared" si="21"/>
        <v>-90522.137721158011</v>
      </c>
      <c r="AI23" s="41">
        <f t="shared" si="22"/>
        <v>0</v>
      </c>
      <c r="AJ23" s="41">
        <f t="shared" si="10"/>
        <v>-90535.397899028292</v>
      </c>
      <c r="AK23" s="41">
        <f t="shared" si="11"/>
        <v>27111.961631785962</v>
      </c>
      <c r="AL23" s="41">
        <f t="shared" si="23"/>
        <v>26670.016147702496</v>
      </c>
      <c r="AM23" s="41">
        <f t="shared" si="12"/>
        <v>-36753.420119539835</v>
      </c>
      <c r="AN23" s="41">
        <f t="shared" si="13"/>
        <v>905.22137721158106</v>
      </c>
      <c r="AO23" s="41">
        <f t="shared" si="14"/>
        <v>-35848.198742328255</v>
      </c>
      <c r="AP23" s="45"/>
      <c r="AQ23" s="45"/>
      <c r="AR23" s="48"/>
      <c r="AS23" s="48"/>
      <c r="AT23" s="51">
        <f t="shared" si="24"/>
        <v>19</v>
      </c>
      <c r="AU23" s="49">
        <f t="shared" si="25"/>
        <v>0.57566818367198147</v>
      </c>
      <c r="AV23" s="49">
        <f t="shared" si="26"/>
        <v>4.5261068860579005E-2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592.11599999999999</v>
      </c>
      <c r="AX23" s="50">
        <f>IF(ISERROR(ROUND(MAX(0,1000*NPV($AT$2,$AV24:$AV$124)-$AW$2*($AU24+NPV($AT$2,$AU25:$AU$124)))/AU24,3)), 0, ROUND(MAX(0,1000*NPV($AT$2,$AV24:$AV$124)-$AW$2*($AU24+NPV($AT$2,$AU25:$AU$124)))/AU24,3))</f>
        <v>492.93299999999999</v>
      </c>
    </row>
    <row r="24" spans="1:50" ht="15" x14ac:dyDescent="0.25">
      <c r="A24" t="s">
        <v>64</v>
      </c>
      <c r="B24" s="1"/>
      <c r="C24" s="1"/>
      <c r="D24" s="1"/>
      <c r="E24" s="75" t="s">
        <v>83</v>
      </c>
      <c r="F24" s="77" t="s">
        <v>1</v>
      </c>
      <c r="G24" s="1"/>
      <c r="H24" s="1"/>
      <c r="I24" s="51">
        <v>20</v>
      </c>
      <c r="J24" s="41"/>
      <c r="K24" s="41" t="str">
        <f t="shared" si="27"/>
        <v/>
      </c>
      <c r="L24" s="42">
        <f t="shared" si="28"/>
        <v>25</v>
      </c>
      <c r="M24" s="41">
        <f t="shared" si="29"/>
        <v>2000000</v>
      </c>
      <c r="N24" s="43">
        <f t="shared" si="1"/>
        <v>518.37199999999996</v>
      </c>
      <c r="O24" s="44">
        <f t="shared" si="2"/>
        <v>614.08900000000006</v>
      </c>
      <c r="P24" s="41">
        <f t="shared" si="3"/>
        <v>1036743.9999999999</v>
      </c>
      <c r="Q24" s="41">
        <f t="shared" si="4"/>
        <v>1228178</v>
      </c>
      <c r="R24" s="44"/>
      <c r="S24" s="44">
        <f t="shared" si="15"/>
        <v>88.161834327601014</v>
      </c>
      <c r="T24" s="52">
        <f t="shared" si="30"/>
        <v>0</v>
      </c>
      <c r="U24" s="53">
        <f t="shared" si="16"/>
        <v>0.53040711481140246</v>
      </c>
      <c r="V24" s="53">
        <f t="shared" si="17"/>
        <v>4.6761664182183714E-2</v>
      </c>
      <c r="W24" s="53">
        <f t="shared" si="18"/>
        <v>0</v>
      </c>
      <c r="X24" s="46">
        <f t="shared" si="5"/>
        <v>0.48364545062921876</v>
      </c>
      <c r="Y24" s="54"/>
      <c r="Z24" s="41">
        <f t="shared" si="19"/>
        <v>628125.07838733681</v>
      </c>
      <c r="AA24" s="41">
        <f t="shared" si="20"/>
        <v>10608.142296228049</v>
      </c>
      <c r="AB24" s="41">
        <f t="shared" si="6"/>
        <v>594002.70226289262</v>
      </c>
      <c r="AC24" s="41">
        <f t="shared" si="7"/>
        <v>9672.9090125843759</v>
      </c>
      <c r="AD24" s="54"/>
      <c r="AE24" s="41">
        <f t="shared" si="8"/>
        <v>0</v>
      </c>
      <c r="AF24" s="41"/>
      <c r="AG24" s="41">
        <f t="shared" si="9"/>
        <v>-12.091136265730469</v>
      </c>
      <c r="AH24" s="41">
        <f t="shared" si="21"/>
        <v>-93523.328364367422</v>
      </c>
      <c r="AI24" s="41">
        <f t="shared" si="22"/>
        <v>0</v>
      </c>
      <c r="AJ24" s="41">
        <f t="shared" si="10"/>
        <v>-93535.419500633157</v>
      </c>
      <c r="AK24" s="41">
        <f t="shared" si="11"/>
        <v>34122.376124444185</v>
      </c>
      <c r="AL24" s="41">
        <f t="shared" si="23"/>
        <v>25549.328827342597</v>
      </c>
      <c r="AM24" s="41">
        <f t="shared" si="12"/>
        <v>-33863.714548846372</v>
      </c>
      <c r="AN24" s="41">
        <f t="shared" si="13"/>
        <v>935.23328364367262</v>
      </c>
      <c r="AO24" s="41">
        <f t="shared" si="14"/>
        <v>-32928.481265202703</v>
      </c>
      <c r="AP24" s="45"/>
      <c r="AQ24" s="45"/>
      <c r="AR24" s="48"/>
      <c r="AS24" s="48"/>
      <c r="AT24" s="51">
        <f t="shared" si="24"/>
        <v>20</v>
      </c>
      <c r="AU24" s="49">
        <f t="shared" si="25"/>
        <v>0.53040711481140246</v>
      </c>
      <c r="AV24" s="49">
        <f t="shared" si="26"/>
        <v>4.6761664182183714E-2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614.08900000000006</v>
      </c>
      <c r="AX24" s="50">
        <f>IF(ISERROR(ROUND(MAX(0,1000*NPV($AT$2,$AV25:$AV$124)-$AW$2*($AU25+NPV($AT$2,$AU26:$AU$124)))/AU25,3)), 0, ROUND(MAX(0,1000*NPV($AT$2,$AV25:$AV$124)-$AW$2*($AU25+NPV($AT$2,$AU26:$AU$124)))/AU25,3))</f>
        <v>518.37199999999996</v>
      </c>
    </row>
    <row r="25" spans="1:50" ht="15" x14ac:dyDescent="0.25">
      <c r="A25" t="s">
        <v>65</v>
      </c>
      <c r="B25" t="s">
        <v>67</v>
      </c>
      <c r="C25" t="s">
        <v>73</v>
      </c>
      <c r="D25" s="60">
        <v>35</v>
      </c>
      <c r="E25">
        <v>589618.79104990081</v>
      </c>
      <c r="F25" s="5">
        <v>20198.853472295275</v>
      </c>
      <c r="G25" s="5"/>
      <c r="H25" s="4"/>
      <c r="I25" s="51">
        <v>21</v>
      </c>
      <c r="J25" s="41"/>
      <c r="K25" s="41" t="str">
        <f t="shared" si="27"/>
        <v/>
      </c>
      <c r="L25" s="42">
        <f t="shared" si="28"/>
        <v>25</v>
      </c>
      <c r="M25" s="41">
        <f t="shared" si="29"/>
        <v>2000000</v>
      </c>
      <c r="N25" s="43">
        <f t="shared" si="1"/>
        <v>542.78</v>
      </c>
      <c r="O25" s="44">
        <f t="shared" si="2"/>
        <v>635.02800000000002</v>
      </c>
      <c r="P25" s="41">
        <f t="shared" si="3"/>
        <v>1085560</v>
      </c>
      <c r="Q25" s="41">
        <f t="shared" si="4"/>
        <v>1270056</v>
      </c>
      <c r="R25" s="44"/>
      <c r="S25" s="44">
        <f t="shared" si="15"/>
        <v>98.462238554573986</v>
      </c>
      <c r="T25" s="52">
        <f t="shared" si="30"/>
        <v>0</v>
      </c>
      <c r="U25" s="53">
        <f t="shared" si="16"/>
        <v>0.48364545062921876</v>
      </c>
      <c r="V25" s="53">
        <f t="shared" si="17"/>
        <v>4.7620813735688571E-2</v>
      </c>
      <c r="W25" s="53">
        <f t="shared" si="18"/>
        <v>0</v>
      </c>
      <c r="X25" s="46">
        <f t="shared" si="5"/>
        <v>0.43602463689353022</v>
      </c>
      <c r="Y25" s="54"/>
      <c r="Z25" s="41">
        <f t="shared" si="19"/>
        <v>594002.70226289262</v>
      </c>
      <c r="AA25" s="41">
        <f t="shared" si="20"/>
        <v>9672.9090125843759</v>
      </c>
      <c r="AB25" s="41">
        <f t="shared" si="6"/>
        <v>553775.7062344494</v>
      </c>
      <c r="AC25" s="41">
        <f t="shared" si="7"/>
        <v>8720.4927378706052</v>
      </c>
      <c r="AD25" s="54"/>
      <c r="AE25" s="41">
        <f t="shared" si="8"/>
        <v>0</v>
      </c>
      <c r="AF25" s="41"/>
      <c r="AG25" s="41">
        <f t="shared" si="9"/>
        <v>-10.900615922338256</v>
      </c>
      <c r="AH25" s="41">
        <f t="shared" si="21"/>
        <v>-95241.627471377142</v>
      </c>
      <c r="AI25" s="41">
        <f t="shared" si="22"/>
        <v>0</v>
      </c>
      <c r="AJ25" s="41">
        <f t="shared" si="10"/>
        <v>-95252.528087299477</v>
      </c>
      <c r="AK25" s="41">
        <f t="shared" si="11"/>
        <v>40226.996028443216</v>
      </c>
      <c r="AL25" s="41">
        <f t="shared" si="23"/>
        <v>24147.024451019079</v>
      </c>
      <c r="AM25" s="41">
        <f t="shared" si="12"/>
        <v>-30878.507607837182</v>
      </c>
      <c r="AN25" s="41">
        <f t="shared" si="13"/>
        <v>952.41627471377069</v>
      </c>
      <c r="AO25" s="41">
        <f t="shared" si="14"/>
        <v>-29926.091333123411</v>
      </c>
      <c r="AP25" s="45"/>
      <c r="AQ25" s="55"/>
      <c r="AR25" s="48"/>
      <c r="AS25" s="48"/>
      <c r="AT25" s="51">
        <f>AT24+1</f>
        <v>21</v>
      </c>
      <c r="AU25" s="49">
        <f t="shared" si="25"/>
        <v>0.48364545062921876</v>
      </c>
      <c r="AV25" s="49">
        <f t="shared" si="26"/>
        <v>4.7620813735688571E-2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635.02800000000002</v>
      </c>
      <c r="AX25" s="50">
        <f>IF(ISERROR(ROUND(MAX(0,1000*NPV($AT$2,$AV26:$AV$124)-$AW$2*($AU26+NPV($AT$2,$AU27:$AU$124)))/AU26,3)), 0, ROUND(MAX(0,1000*NPV($AT$2,$AV26:$AV$124)-$AW$2*($AU26+NPV($AT$2,$AU27:$AU$124)))/AU26,3))</f>
        <v>542.78</v>
      </c>
    </row>
    <row r="26" spans="1:50" ht="15" x14ac:dyDescent="0.25">
      <c r="A26">
        <v>1</v>
      </c>
      <c r="B26">
        <v>3.9277641812704997E-3</v>
      </c>
      <c r="C26">
        <f>B26*(1-$F$16)</f>
        <v>3.6920983303942697E-3</v>
      </c>
      <c r="D26" s="60">
        <v>36</v>
      </c>
      <c r="E26">
        <v>611464.96225241397</v>
      </c>
      <c r="F26" s="5">
        <v>20878.592464230664</v>
      </c>
      <c r="G26" s="8"/>
      <c r="H26" s="4"/>
      <c r="I26" s="51">
        <v>22</v>
      </c>
      <c r="J26" s="41"/>
      <c r="K26" s="41" t="str">
        <f t="shared" si="27"/>
        <v/>
      </c>
      <c r="L26" s="42">
        <f t="shared" si="28"/>
        <v>25</v>
      </c>
      <c r="M26" s="41">
        <f t="shared" si="29"/>
        <v>2000000</v>
      </c>
      <c r="N26" s="43">
        <f t="shared" si="1"/>
        <v>566.30100000000004</v>
      </c>
      <c r="O26" s="44">
        <f t="shared" si="2"/>
        <v>655.06600000000003</v>
      </c>
      <c r="P26" s="41">
        <f t="shared" si="3"/>
        <v>1132602</v>
      </c>
      <c r="Q26" s="41">
        <f t="shared" si="4"/>
        <v>1310132</v>
      </c>
      <c r="R26" s="44"/>
      <c r="S26" s="44">
        <f t="shared" si="15"/>
        <v>109.22136639256703</v>
      </c>
      <c r="T26" s="52">
        <f t="shared" si="30"/>
        <v>0</v>
      </c>
      <c r="U26" s="53">
        <f t="shared" si="16"/>
        <v>0.43602463689353022</v>
      </c>
      <c r="V26" s="53">
        <f t="shared" si="17"/>
        <v>4.7623206622334269E-2</v>
      </c>
      <c r="W26" s="53">
        <f t="shared" si="18"/>
        <v>0</v>
      </c>
      <c r="X26" s="46">
        <f t="shared" si="5"/>
        <v>0.38840143027119595</v>
      </c>
      <c r="Y26" s="54"/>
      <c r="Z26" s="41">
        <f t="shared" si="19"/>
        <v>553775.7062344494</v>
      </c>
      <c r="AA26" s="41">
        <f t="shared" si="20"/>
        <v>8720.4927378706052</v>
      </c>
      <c r="AB26" s="41">
        <f t="shared" si="6"/>
        <v>508857.14264406246</v>
      </c>
      <c r="AC26" s="41">
        <f t="shared" si="7"/>
        <v>7768.0286054239186</v>
      </c>
      <c r="AD26" s="54"/>
      <c r="AE26" s="41">
        <f t="shared" si="8"/>
        <v>0</v>
      </c>
      <c r="AF26" s="41"/>
      <c r="AG26" s="41">
        <f t="shared" si="9"/>
        <v>-9.7100357567798987</v>
      </c>
      <c r="AH26" s="41">
        <f t="shared" si="21"/>
        <v>-95246.41324466854</v>
      </c>
      <c r="AI26" s="41">
        <f t="shared" si="22"/>
        <v>0</v>
      </c>
      <c r="AJ26" s="41">
        <f t="shared" si="10"/>
        <v>-95256.123280425323</v>
      </c>
      <c r="AK26" s="41">
        <f t="shared" si="11"/>
        <v>44918.563590386941</v>
      </c>
      <c r="AL26" s="41">
        <f t="shared" si="23"/>
        <v>22499.847958892798</v>
      </c>
      <c r="AM26" s="41">
        <f t="shared" si="12"/>
        <v>-27837.711731145584</v>
      </c>
      <c r="AN26" s="41">
        <f t="shared" si="13"/>
        <v>952.46413244668656</v>
      </c>
      <c r="AO26" s="41">
        <f t="shared" si="14"/>
        <v>-26885.247598698897</v>
      </c>
      <c r="AP26" s="45"/>
      <c r="AQ26" s="55"/>
      <c r="AR26" s="48"/>
      <c r="AS26" s="48"/>
      <c r="AT26" s="51">
        <f t="shared" si="24"/>
        <v>22</v>
      </c>
      <c r="AU26" s="49">
        <f t="shared" si="25"/>
        <v>0.43602463689353022</v>
      </c>
      <c r="AV26" s="49">
        <f t="shared" si="26"/>
        <v>4.7623206622334269E-2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655.06600000000003</v>
      </c>
      <c r="AX26" s="50">
        <f>IF(ISERROR(ROUND(MAX(0,1000*NPV($AT$2,$AV27:$AV$124)-$AW$2*($AU27+NPV($AT$2,$AU28:$AU$124)))/AU27,3)), 0, ROUND(MAX(0,1000*NPV($AT$2,$AV27:$AV$124)-$AW$2*($AU27+NPV($AT$2,$AU28:$AU$124)))/AU27,3))</f>
        <v>566.30100000000004</v>
      </c>
    </row>
    <row r="27" spans="1:50" ht="15" x14ac:dyDescent="0.25">
      <c r="A27">
        <v>2</v>
      </c>
      <c r="B27">
        <v>3.7359397681224798E-4</v>
      </c>
      <c r="C27">
        <f t="shared" ref="C27:C90" si="31">B27*(1-$F$16)</f>
        <v>3.5117833820351305E-4</v>
      </c>
      <c r="D27" s="60">
        <v>37</v>
      </c>
      <c r="E27">
        <v>634061.41454065766</v>
      </c>
      <c r="F27" s="5">
        <v>21580.128787506546</v>
      </c>
      <c r="G27" s="8"/>
      <c r="H27" s="4"/>
      <c r="I27" s="51">
        <v>23</v>
      </c>
      <c r="J27" s="41"/>
      <c r="K27" s="41" t="str">
        <f t="shared" si="27"/>
        <v/>
      </c>
      <c r="L27" s="42">
        <f t="shared" si="28"/>
        <v>25</v>
      </c>
      <c r="M27" s="41">
        <f t="shared" si="29"/>
        <v>2000000</v>
      </c>
      <c r="N27" s="43">
        <f t="shared" si="1"/>
        <v>588.87400000000002</v>
      </c>
      <c r="O27" s="44">
        <f t="shared" si="2"/>
        <v>674.16700000000003</v>
      </c>
      <c r="P27" s="41">
        <f t="shared" si="3"/>
        <v>1177748</v>
      </c>
      <c r="Q27" s="41">
        <f t="shared" si="4"/>
        <v>1348334</v>
      </c>
      <c r="R27" s="44"/>
      <c r="S27" s="44">
        <f t="shared" si="15"/>
        <v>120.96022976021084</v>
      </c>
      <c r="T27" s="52">
        <f t="shared" si="30"/>
        <v>0</v>
      </c>
      <c r="U27" s="53">
        <f t="shared" si="16"/>
        <v>0.38840143027119595</v>
      </c>
      <c r="V27" s="53">
        <f t="shared" si="17"/>
        <v>4.6981126244798367E-2</v>
      </c>
      <c r="W27" s="53">
        <f t="shared" si="18"/>
        <v>0</v>
      </c>
      <c r="X27" s="46">
        <f t="shared" si="5"/>
        <v>0.34142030402639756</v>
      </c>
      <c r="Y27" s="54"/>
      <c r="Z27" s="41">
        <f t="shared" si="19"/>
        <v>508857.14264406246</v>
      </c>
      <c r="AA27" s="41">
        <f t="shared" si="20"/>
        <v>7768.0286054239186</v>
      </c>
      <c r="AB27" s="41">
        <f t="shared" si="6"/>
        <v>460348.60420912871</v>
      </c>
      <c r="AC27" s="41">
        <f t="shared" si="7"/>
        <v>6828.4060805279514</v>
      </c>
      <c r="AD27" s="54"/>
      <c r="AE27" s="41">
        <f t="shared" si="8"/>
        <v>0</v>
      </c>
      <c r="AF27" s="41"/>
      <c r="AG27" s="41">
        <f t="shared" si="9"/>
        <v>-8.5355076006599386</v>
      </c>
      <c r="AH27" s="41">
        <f t="shared" si="21"/>
        <v>-93962.252489596736</v>
      </c>
      <c r="AI27" s="41">
        <f t="shared" si="22"/>
        <v>0</v>
      </c>
      <c r="AJ27" s="41">
        <f t="shared" si="10"/>
        <v>-93970.787997197403</v>
      </c>
      <c r="AK27" s="41">
        <f t="shared" si="11"/>
        <v>48508.538434933755</v>
      </c>
      <c r="AL27" s="41">
        <f t="shared" si="23"/>
        <v>20665.006849979454</v>
      </c>
      <c r="AM27" s="41">
        <f t="shared" si="12"/>
        <v>-24797.242712284195</v>
      </c>
      <c r="AN27" s="41">
        <f t="shared" si="13"/>
        <v>939.62252489596722</v>
      </c>
      <c r="AO27" s="41">
        <f t="shared" si="14"/>
        <v>-23857.620187388227</v>
      </c>
      <c r="AP27" s="45"/>
      <c r="AQ27" s="55"/>
      <c r="AR27" s="48"/>
      <c r="AS27" s="48"/>
      <c r="AT27" s="51">
        <f t="shared" si="24"/>
        <v>23</v>
      </c>
      <c r="AU27" s="49">
        <f t="shared" si="25"/>
        <v>0.38840143027119595</v>
      </c>
      <c r="AV27" s="49">
        <f t="shared" si="26"/>
        <v>4.6981126244798367E-2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674.16700000000003</v>
      </c>
      <c r="AX27" s="50">
        <f>IF(ISERROR(ROUND(MAX(0,1000*NPV($AT$2,$AV28:$AV$124)-$AW$2*($AU28+NPV($AT$2,$AU29:$AU$124)))/AU28,3)), 0, ROUND(MAX(0,1000*NPV($AT$2,$AV28:$AV$124)-$AW$2*($AU28+NPV($AT$2,$AU29:$AU$124)))/AU28,3))</f>
        <v>588.87400000000002</v>
      </c>
    </row>
    <row r="28" spans="1:50" ht="15" x14ac:dyDescent="0.25">
      <c r="A28">
        <v>3</v>
      </c>
      <c r="B28">
        <v>2.6608403938543901E-4</v>
      </c>
      <c r="C28">
        <f t="shared" si="31"/>
        <v>2.5011899702231266E-4</v>
      </c>
      <c r="D28" s="60">
        <v>38</v>
      </c>
      <c r="E28">
        <v>657344.98218123917</v>
      </c>
      <c r="F28" s="5">
        <v>22299.236496736296</v>
      </c>
      <c r="G28" s="8"/>
      <c r="H28" s="4"/>
      <c r="I28" s="51">
        <v>24</v>
      </c>
      <c r="J28" s="41"/>
      <c r="K28" s="41" t="str">
        <f t="shared" si="27"/>
        <v/>
      </c>
      <c r="L28" s="42">
        <f t="shared" si="28"/>
        <v>25</v>
      </c>
      <c r="M28" s="41">
        <f t="shared" si="29"/>
        <v>2000000</v>
      </c>
      <c r="N28" s="43">
        <f t="shared" si="1"/>
        <v>610.476</v>
      </c>
      <c r="O28" s="44">
        <f t="shared" si="2"/>
        <v>692.33</v>
      </c>
      <c r="P28" s="41">
        <f t="shared" si="3"/>
        <v>1220952</v>
      </c>
      <c r="Q28" s="41">
        <f t="shared" si="4"/>
        <v>1384660</v>
      </c>
      <c r="R28" s="44"/>
      <c r="S28" s="44">
        <f t="shared" si="15"/>
        <v>133.6358460692185</v>
      </c>
      <c r="T28" s="52">
        <f t="shared" si="30"/>
        <v>0</v>
      </c>
      <c r="U28" s="53">
        <f t="shared" si="16"/>
        <v>0.34142030402639756</v>
      </c>
      <c r="V28" s="53">
        <f t="shared" si="17"/>
        <v>4.5625991193777443E-2</v>
      </c>
      <c r="W28" s="53">
        <f t="shared" si="18"/>
        <v>0</v>
      </c>
      <c r="X28" s="46">
        <f t="shared" si="5"/>
        <v>0.29579431283262014</v>
      </c>
      <c r="Y28" s="54"/>
      <c r="Z28" s="41">
        <f t="shared" si="19"/>
        <v>460348.60420912871</v>
      </c>
      <c r="AA28" s="41">
        <f t="shared" si="20"/>
        <v>6828.4060805279514</v>
      </c>
      <c r="AB28" s="41">
        <f t="shared" si="6"/>
        <v>409574.55320681579</v>
      </c>
      <c r="AC28" s="41">
        <f t="shared" si="7"/>
        <v>5915.8862566524031</v>
      </c>
      <c r="AD28" s="54"/>
      <c r="AE28" s="41">
        <f t="shared" si="8"/>
        <v>0</v>
      </c>
      <c r="AF28" s="41"/>
      <c r="AG28" s="41">
        <f t="shared" si="9"/>
        <v>-7.3948578208155036</v>
      </c>
      <c r="AH28" s="41">
        <f t="shared" si="21"/>
        <v>-91251.98238755489</v>
      </c>
      <c r="AI28" s="41">
        <f t="shared" si="22"/>
        <v>0</v>
      </c>
      <c r="AJ28" s="41">
        <f t="shared" si="10"/>
        <v>-91259.377245375712</v>
      </c>
      <c r="AK28" s="41">
        <f t="shared" si="11"/>
        <v>50774.051002312917</v>
      </c>
      <c r="AL28" s="41">
        <f t="shared" si="23"/>
        <v>18687.080411586267</v>
      </c>
      <c r="AM28" s="41">
        <f t="shared" si="12"/>
        <v>-21798.245831476528</v>
      </c>
      <c r="AN28" s="41">
        <f t="shared" si="13"/>
        <v>912.51982387554835</v>
      </c>
      <c r="AO28" s="41">
        <f t="shared" si="14"/>
        <v>-20885.726007600981</v>
      </c>
      <c r="AP28" s="45"/>
      <c r="AQ28" s="55"/>
      <c r="AR28" s="48"/>
      <c r="AS28" s="48"/>
      <c r="AT28" s="51">
        <f t="shared" si="24"/>
        <v>24</v>
      </c>
      <c r="AU28" s="49">
        <f t="shared" si="25"/>
        <v>0.34142030402639756</v>
      </c>
      <c r="AV28" s="49">
        <f t="shared" si="26"/>
        <v>4.5625991193777443E-2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692.33</v>
      </c>
      <c r="AX28" s="50">
        <f>IF(ISERROR(ROUND(MAX(0,1000*NPV($AT$2,$AV29:$AV$124)-$AW$2*($AU29+NPV($AT$2,$AU30:$AU$124)))/AU29,3)), 0, ROUND(MAX(0,1000*NPV($AT$2,$AV29:$AV$124)-$AW$2*($AU29+NPV($AT$2,$AU30:$AU$124)))/AU29,3))</f>
        <v>610.476</v>
      </c>
    </row>
    <row r="29" spans="1:50" ht="15" x14ac:dyDescent="0.25">
      <c r="A29">
        <v>4</v>
      </c>
      <c r="B29">
        <v>1.9985589828508399E-4</v>
      </c>
      <c r="C29">
        <f t="shared" si="31"/>
        <v>1.8786454438797894E-4</v>
      </c>
      <c r="D29" s="60">
        <v>39</v>
      </c>
      <c r="E29">
        <v>681317.04590764851</v>
      </c>
      <c r="F29" s="5">
        <v>23035.252784866665</v>
      </c>
      <c r="G29" s="8"/>
      <c r="H29" s="4"/>
      <c r="I29" s="51">
        <v>25</v>
      </c>
      <c r="J29" s="41"/>
      <c r="K29" s="41" t="str">
        <f t="shared" si="27"/>
        <v/>
      </c>
      <c r="L29" s="42">
        <f t="shared" si="28"/>
        <v>25</v>
      </c>
      <c r="M29" s="41">
        <f t="shared" si="29"/>
        <v>2000000</v>
      </c>
      <c r="N29" s="43">
        <f t="shared" si="1"/>
        <v>630.96100000000001</v>
      </c>
      <c r="O29" s="44">
        <f t="shared" si="2"/>
        <v>709.45</v>
      </c>
      <c r="P29" s="41">
        <f t="shared" si="3"/>
        <v>1261922</v>
      </c>
      <c r="Q29" s="41">
        <f t="shared" si="4"/>
        <v>1418900</v>
      </c>
      <c r="R29" s="44"/>
      <c r="S29" s="44">
        <f t="shared" si="15"/>
        <v>147.59539100906693</v>
      </c>
      <c r="T29" s="52">
        <f t="shared" si="30"/>
        <v>0</v>
      </c>
      <c r="U29" s="53">
        <f t="shared" si="16"/>
        <v>0.29579431283262014</v>
      </c>
      <c r="V29" s="53">
        <f t="shared" si="17"/>
        <v>4.365787726078884E-2</v>
      </c>
      <c r="W29" s="53">
        <f t="shared" si="18"/>
        <v>0</v>
      </c>
      <c r="X29" s="46">
        <f t="shared" si="5"/>
        <v>0.2521364355718313</v>
      </c>
      <c r="Y29" s="54"/>
      <c r="Z29" s="41">
        <f t="shared" si="19"/>
        <v>409574.55320681579</v>
      </c>
      <c r="AA29" s="41">
        <f t="shared" si="20"/>
        <v>5915.8862566524031</v>
      </c>
      <c r="AB29" s="41">
        <f t="shared" si="6"/>
        <v>357756.38843287143</v>
      </c>
      <c r="AC29" s="41">
        <f t="shared" si="7"/>
        <v>5042.7287114366263</v>
      </c>
      <c r="AD29" s="54"/>
      <c r="AE29" s="41">
        <f t="shared" si="8"/>
        <v>0</v>
      </c>
      <c r="AF29" s="41"/>
      <c r="AG29" s="41">
        <f t="shared" si="9"/>
        <v>-6.3034108892957823</v>
      </c>
      <c r="AH29" s="41">
        <f t="shared" si="21"/>
        <v>-87315.754521577677</v>
      </c>
      <c r="AI29" s="41">
        <f t="shared" si="22"/>
        <v>0</v>
      </c>
      <c r="AJ29" s="41">
        <f t="shared" si="10"/>
        <v>-87322.057932466967</v>
      </c>
      <c r="AK29" s="41">
        <f t="shared" si="11"/>
        <v>51818.164773944358</v>
      </c>
      <c r="AL29" s="41">
        <f t="shared" si="23"/>
        <v>16619.617578538728</v>
      </c>
      <c r="AM29" s="41">
        <f t="shared" si="12"/>
        <v>-18884.275579983881</v>
      </c>
      <c r="AN29" s="41">
        <f t="shared" si="13"/>
        <v>873.15754521577674</v>
      </c>
      <c r="AO29" s="41">
        <f t="shared" si="14"/>
        <v>-18011.118034768104</v>
      </c>
      <c r="AP29" s="45"/>
      <c r="AQ29" s="55"/>
      <c r="AR29" s="48"/>
      <c r="AS29" s="48"/>
      <c r="AT29" s="51">
        <f t="shared" si="24"/>
        <v>25</v>
      </c>
      <c r="AU29" s="49">
        <f t="shared" si="25"/>
        <v>0.29579431283262014</v>
      </c>
      <c r="AV29" s="49">
        <f t="shared" si="26"/>
        <v>4.365787726078884E-2</v>
      </c>
      <c r="AW29" s="50">
        <f xml:space="preserve"> IF(ISERROR(ROUND((1000*NPV($AT$1,$AV30:$AV$124)-$AW$1*($AU30+NPV($AT$1,$AU31:$AU$124)))/AU30,3)), 0, ROUND((1000*NPV($AT$1,$AV30:$AV$124)-$AW$1*($AU30+NPV($AT$1,$AU31:$AU$124)))/AU30,3))</f>
        <v>709.45</v>
      </c>
      <c r="AX29" s="50">
        <f>IF(ISERROR(ROUND(MAX(0,1000*NPV($AT$2,$AV30:$AV$124)-$AW$2*($AU30+NPV($AT$2,$AU31:$AU$124)))/AU30,3)), 0, ROUND(MAX(0,1000*NPV($AT$2,$AV30:$AV$124)-$AW$2*($AU30+NPV($AT$2,$AU31:$AU$124)))/AU30,3))</f>
        <v>630.96100000000001</v>
      </c>
    </row>
    <row r="30" spans="1:50" ht="15" x14ac:dyDescent="0.25">
      <c r="A30">
        <v>5</v>
      </c>
      <c r="B30">
        <v>1.7463199379086399E-4</v>
      </c>
      <c r="C30">
        <f t="shared" si="31"/>
        <v>1.6415407416341213E-4</v>
      </c>
      <c r="D30" s="60">
        <v>40</v>
      </c>
      <c r="E30">
        <v>706002.48576576123</v>
      </c>
      <c r="F30" s="5">
        <v>23789.029236484377</v>
      </c>
      <c r="G30" s="8"/>
      <c r="H30" s="4"/>
      <c r="I30" s="51">
        <v>26</v>
      </c>
      <c r="J30" s="41"/>
      <c r="K30" s="41" t="str">
        <f t="shared" si="27"/>
        <v/>
      </c>
      <c r="L30" s="42">
        <f t="shared" si="28"/>
        <v>25</v>
      </c>
      <c r="M30" s="41">
        <f t="shared" si="29"/>
        <v>2000000</v>
      </c>
      <c r="N30" s="43">
        <f t="shared" si="1"/>
        <v>650.101</v>
      </c>
      <c r="O30" s="44">
        <f t="shared" si="2"/>
        <v>725.36800000000005</v>
      </c>
      <c r="P30" s="41">
        <f t="shared" si="3"/>
        <v>1300202</v>
      </c>
      <c r="Q30" s="41">
        <f t="shared" si="4"/>
        <v>1450736</v>
      </c>
      <c r="R30" s="44"/>
      <c r="S30" s="44">
        <f t="shared" si="15"/>
        <v>163.02323500984809</v>
      </c>
      <c r="T30" s="52">
        <f t="shared" si="30"/>
        <v>0</v>
      </c>
      <c r="U30" s="53">
        <f t="shared" si="16"/>
        <v>0.2521364355718313</v>
      </c>
      <c r="V30" s="53">
        <f t="shared" si="17"/>
        <v>4.1104097390772074E-2</v>
      </c>
      <c r="W30" s="53">
        <f t="shared" si="18"/>
        <v>0</v>
      </c>
      <c r="X30" s="46">
        <f t="shared" si="5"/>
        <v>0.21103233818105921</v>
      </c>
      <c r="Y30" s="54"/>
      <c r="Z30" s="41">
        <f t="shared" si="19"/>
        <v>357756.38843287143</v>
      </c>
      <c r="AA30" s="41">
        <f t="shared" si="20"/>
        <v>5042.7287114366263</v>
      </c>
      <c r="AB30" s="41">
        <f t="shared" si="6"/>
        <v>306152.21016343712</v>
      </c>
      <c r="AC30" s="41">
        <f t="shared" si="7"/>
        <v>4220.6467636211846</v>
      </c>
      <c r="AD30" s="54"/>
      <c r="AE30" s="41">
        <f t="shared" si="8"/>
        <v>0</v>
      </c>
      <c r="AF30" s="41"/>
      <c r="AG30" s="41">
        <f t="shared" si="9"/>
        <v>-5.2758084545264801</v>
      </c>
      <c r="AH30" s="41">
        <f t="shared" si="21"/>
        <v>-82208.194781544153</v>
      </c>
      <c r="AI30" s="41">
        <f t="shared" si="22"/>
        <v>0</v>
      </c>
      <c r="AJ30" s="41">
        <f t="shared" si="10"/>
        <v>-82213.470589998673</v>
      </c>
      <c r="AK30" s="41">
        <f t="shared" si="11"/>
        <v>51604.178269434313</v>
      </c>
      <c r="AL30" s="41">
        <f t="shared" si="23"/>
        <v>14511.964685772322</v>
      </c>
      <c r="AM30" s="41">
        <f t="shared" si="12"/>
        <v>-16097.327634792038</v>
      </c>
      <c r="AN30" s="41">
        <f t="shared" si="13"/>
        <v>822.08194781544171</v>
      </c>
      <c r="AO30" s="41">
        <f t="shared" si="14"/>
        <v>-15275.245686976596</v>
      </c>
      <c r="AP30" s="45"/>
      <c r="AQ30" s="55"/>
      <c r="AR30" s="48"/>
      <c r="AS30" s="48"/>
      <c r="AT30" s="51">
        <f t="shared" si="24"/>
        <v>26</v>
      </c>
      <c r="AU30" s="49">
        <f t="shared" si="25"/>
        <v>0.2521364355718313</v>
      </c>
      <c r="AV30" s="49">
        <f t="shared" si="26"/>
        <v>4.1104097390772074E-2</v>
      </c>
      <c r="AW30" s="50">
        <f xml:space="preserve"> IF(ISERROR(ROUND((1000*NPV($AT$1,$AV31:$AV$124)-$AW$1*($AU31+NPV($AT$1,$AU32:$AU$124)))/AU31,3)), 0, ROUND((1000*NPV($AT$1,$AV31:$AV$124)-$AW$1*($AU31+NPV($AT$1,$AU32:$AU$124)))/AU31,3))</f>
        <v>725.36800000000005</v>
      </c>
      <c r="AX30" s="50">
        <f>IF(ISERROR(ROUND(MAX(0,1000*NPV($AT$2,$AV31:$AV$124)-$AW$2*($AU31+NPV($AT$2,$AU32:$AU$124)))/AU31,3)), 0, ROUND(MAX(0,1000*NPV($AT$2,$AV31:$AV$124)-$AW$2*($AU31+NPV($AT$2,$AU32:$AU$124)))/AU31,3))</f>
        <v>650.101</v>
      </c>
    </row>
    <row r="31" spans="1:50" ht="15" x14ac:dyDescent="0.25">
      <c r="A31">
        <v>6</v>
      </c>
      <c r="B31">
        <v>1.6330562733302099E-4</v>
      </c>
      <c r="C31">
        <f t="shared" si="31"/>
        <v>1.5350728969303973E-4</v>
      </c>
      <c r="D31" s="60">
        <v>41</v>
      </c>
      <c r="E31">
        <v>731423.90700049698</v>
      </c>
      <c r="F31" s="5">
        <v>24560.957145569846</v>
      </c>
      <c r="G31" s="8"/>
      <c r="H31" s="4"/>
      <c r="I31" s="51">
        <v>27</v>
      </c>
      <c r="J31" s="41"/>
      <c r="K31" s="41" t="str">
        <f t="shared" si="27"/>
        <v/>
      </c>
      <c r="L31" s="42">
        <f t="shared" si="28"/>
        <v>25</v>
      </c>
      <c r="M31" s="41">
        <f t="shared" si="29"/>
        <v>2000000</v>
      </c>
      <c r="N31" s="43">
        <f t="shared" si="1"/>
        <v>668.27200000000005</v>
      </c>
      <c r="O31" s="44">
        <f t="shared" si="2"/>
        <v>740.39700000000005</v>
      </c>
      <c r="P31" s="41">
        <f t="shared" si="3"/>
        <v>1336544</v>
      </c>
      <c r="Q31" s="41">
        <f t="shared" si="4"/>
        <v>1480794</v>
      </c>
      <c r="R31" s="44"/>
      <c r="S31" s="44">
        <f t="shared" si="15"/>
        <v>178.33714930737366</v>
      </c>
      <c r="T31" s="52">
        <f t="shared" si="30"/>
        <v>0</v>
      </c>
      <c r="U31" s="53">
        <f t="shared" si="16"/>
        <v>0.21103233818105921</v>
      </c>
      <c r="V31" s="53">
        <f t="shared" si="17"/>
        <v>3.7634905602879729E-2</v>
      </c>
      <c r="W31" s="53">
        <f t="shared" si="18"/>
        <v>0</v>
      </c>
      <c r="X31" s="46">
        <f t="shared" si="5"/>
        <v>0.17339743257817947</v>
      </c>
      <c r="Y31" s="54"/>
      <c r="Z31" s="41">
        <f t="shared" si="19"/>
        <v>306152.21016343712</v>
      </c>
      <c r="AA31" s="41">
        <f t="shared" si="20"/>
        <v>4220.6467636211846</v>
      </c>
      <c r="AB31" s="41">
        <f t="shared" si="6"/>
        <v>256765.87777717269</v>
      </c>
      <c r="AC31" s="41">
        <f t="shared" si="7"/>
        <v>3467.9486515635895</v>
      </c>
      <c r="AD31" s="54"/>
      <c r="AE31" s="41">
        <f t="shared" si="8"/>
        <v>0</v>
      </c>
      <c r="AF31" s="41"/>
      <c r="AG31" s="41">
        <f t="shared" si="9"/>
        <v>-4.3349358144544867</v>
      </c>
      <c r="AH31" s="41">
        <f t="shared" si="21"/>
        <v>-75269.811205759455</v>
      </c>
      <c r="AI31" s="41">
        <f t="shared" si="22"/>
        <v>0</v>
      </c>
      <c r="AJ31" s="41">
        <f t="shared" si="10"/>
        <v>-75274.146141573903</v>
      </c>
      <c r="AK31" s="41">
        <f t="shared" si="11"/>
        <v>49386.332386264432</v>
      </c>
      <c r="AL31" s="41">
        <f t="shared" si="23"/>
        <v>12414.914277082333</v>
      </c>
      <c r="AM31" s="41">
        <f t="shared" si="12"/>
        <v>-13472.899478227138</v>
      </c>
      <c r="AN31" s="41">
        <f t="shared" si="13"/>
        <v>752.69811205759515</v>
      </c>
      <c r="AO31" s="41">
        <f t="shared" si="14"/>
        <v>-12720.201366169544</v>
      </c>
      <c r="AP31" s="45"/>
      <c r="AQ31" s="55"/>
      <c r="AR31" s="48"/>
      <c r="AS31" s="48"/>
      <c r="AT31" s="51">
        <f t="shared" si="24"/>
        <v>27</v>
      </c>
      <c r="AU31" s="49">
        <f t="shared" si="25"/>
        <v>0.21103233818105921</v>
      </c>
      <c r="AV31" s="49">
        <f t="shared" si="26"/>
        <v>3.7634905602879729E-2</v>
      </c>
      <c r="AW31" s="50">
        <f xml:space="preserve"> IF(ISERROR(ROUND((1000*NPV($AT$1,$AV32:$AV$124)-$AW$1*($AU32+NPV($AT$1,$AU33:$AU$124)))/AU32,3)), 0, ROUND((1000*NPV($AT$1,$AV32:$AV$124)-$AW$1*($AU32+NPV($AT$1,$AU33:$AU$124)))/AU32,3))</f>
        <v>740.39700000000005</v>
      </c>
      <c r="AX31" s="50">
        <f>IF(ISERROR(ROUND(MAX(0,1000*NPV($AT$2,$AV32:$AV$124)-$AW$2*($AU32+NPV($AT$2,$AU33:$AU$124)))/AU32,3)), 0, ROUND(MAX(0,1000*NPV($AT$2,$AV32:$AV$124)-$AW$2*($AU32+NPV($AT$2,$AU33:$AU$124)))/AU32,3))</f>
        <v>668.27200000000005</v>
      </c>
    </row>
    <row r="32" spans="1:50" ht="15" x14ac:dyDescent="0.25">
      <c r="A32">
        <v>7</v>
      </c>
      <c r="B32">
        <v>1.5300773660609199E-4</v>
      </c>
      <c r="C32">
        <f t="shared" si="31"/>
        <v>1.4382727240972647E-4</v>
      </c>
      <c r="D32" s="60">
        <v>42</v>
      </c>
      <c r="E32">
        <v>757580.0508226204</v>
      </c>
      <c r="F32" s="5">
        <v>25350.242897358607</v>
      </c>
      <c r="G32" s="8"/>
      <c r="H32" s="4"/>
      <c r="I32" s="51">
        <v>28</v>
      </c>
      <c r="J32" s="41"/>
      <c r="K32" s="41" t="str">
        <f t="shared" si="27"/>
        <v/>
      </c>
      <c r="L32" s="42">
        <f t="shared" si="28"/>
        <v>25</v>
      </c>
      <c r="M32" s="41">
        <f t="shared" si="29"/>
        <v>2000000</v>
      </c>
      <c r="N32" s="43">
        <f t="shared" si="1"/>
        <v>685.38499999999999</v>
      </c>
      <c r="O32" s="44">
        <f t="shared" si="2"/>
        <v>754.48099999999999</v>
      </c>
      <c r="P32" s="41">
        <f t="shared" si="3"/>
        <v>1370770</v>
      </c>
      <c r="Q32" s="41">
        <f t="shared" si="4"/>
        <v>1508962</v>
      </c>
      <c r="R32" s="44"/>
      <c r="S32" s="44">
        <f t="shared" si="15"/>
        <v>194.86477942066622</v>
      </c>
      <c r="T32" s="52">
        <f t="shared" si="30"/>
        <v>0</v>
      </c>
      <c r="U32" s="53">
        <f t="shared" si="16"/>
        <v>0.17339743257817947</v>
      </c>
      <c r="V32" s="53">
        <f t="shared" si="17"/>
        <v>3.3789052451456782E-2</v>
      </c>
      <c r="W32" s="53">
        <f t="shared" si="18"/>
        <v>0</v>
      </c>
      <c r="X32" s="46">
        <f t="shared" si="5"/>
        <v>0.13960838012672269</v>
      </c>
      <c r="Y32" s="54"/>
      <c r="Z32" s="41">
        <f t="shared" si="19"/>
        <v>256765.87777717269</v>
      </c>
      <c r="AA32" s="41">
        <f t="shared" si="20"/>
        <v>3467.9486515635895</v>
      </c>
      <c r="AB32" s="41">
        <f t="shared" si="6"/>
        <v>210663.74049277973</v>
      </c>
      <c r="AC32" s="41">
        <f t="shared" si="7"/>
        <v>2792.1676025344536</v>
      </c>
      <c r="AD32" s="54"/>
      <c r="AE32" s="41">
        <f t="shared" si="8"/>
        <v>0</v>
      </c>
      <c r="AF32" s="41"/>
      <c r="AG32" s="41">
        <f t="shared" si="9"/>
        <v>-3.4902095031680673</v>
      </c>
      <c r="AH32" s="41">
        <f t="shared" si="21"/>
        <v>-67578.104902913561</v>
      </c>
      <c r="AI32" s="41">
        <f t="shared" si="22"/>
        <v>0</v>
      </c>
      <c r="AJ32" s="41">
        <f t="shared" si="10"/>
        <v>-67581.595112416733</v>
      </c>
      <c r="AK32" s="41">
        <f t="shared" si="11"/>
        <v>46102.137284392957</v>
      </c>
      <c r="AL32" s="41">
        <f t="shared" si="23"/>
        <v>10409.35305714945</v>
      </c>
      <c r="AM32" s="41">
        <f t="shared" si="12"/>
        <v>-11070.104770874326</v>
      </c>
      <c r="AN32" s="41">
        <f t="shared" si="13"/>
        <v>675.78104902913583</v>
      </c>
      <c r="AO32" s="41">
        <f t="shared" si="14"/>
        <v>-10394.32372184519</v>
      </c>
      <c r="AP32" s="45"/>
      <c r="AQ32" s="55"/>
      <c r="AR32" s="48"/>
      <c r="AS32" s="48"/>
      <c r="AT32" s="51">
        <f t="shared" si="24"/>
        <v>28</v>
      </c>
      <c r="AU32" s="49">
        <f t="shared" si="25"/>
        <v>0.17339743257817947</v>
      </c>
      <c r="AV32" s="49">
        <f t="shared" si="26"/>
        <v>3.3789052451456782E-2</v>
      </c>
      <c r="AW32" s="50">
        <f xml:space="preserve"> IF(ISERROR(ROUND((1000*NPV($AT$1,$AV33:$AV$124)-$AW$1*($AU33+NPV($AT$1,$AU34:$AU$124)))/AU33,3)), 0, ROUND((1000*NPV($AT$1,$AV33:$AV$124)-$AW$1*($AU33+NPV($AT$1,$AU34:$AU$124)))/AU33,3))</f>
        <v>754.48099999999999</v>
      </c>
      <c r="AX32" s="50">
        <f>IF(ISERROR(ROUND(MAX(0,1000*NPV($AT$2,$AV33:$AV$124)-$AW$2*($AU33+NPV($AT$2,$AU34:$AU$124)))/AU33,3)), 0, ROUND(MAX(0,1000*NPV($AT$2,$AV33:$AV$124)-$AW$2*($AU33+NPV($AT$2,$AU34:$AU$124)))/AU33,3))</f>
        <v>685.38499999999999</v>
      </c>
    </row>
    <row r="33" spans="1:50" ht="15" x14ac:dyDescent="0.25">
      <c r="A33">
        <v>8</v>
      </c>
      <c r="B33">
        <v>1.4244582607103601E-4</v>
      </c>
      <c r="C33">
        <f t="shared" si="31"/>
        <v>1.3389907650677383E-4</v>
      </c>
      <c r="D33" s="60">
        <v>43</v>
      </c>
      <c r="E33">
        <v>784506.13456106524</v>
      </c>
      <c r="F33" s="5">
        <v>26158.043019824778</v>
      </c>
      <c r="G33" s="8"/>
      <c r="H33" s="4"/>
      <c r="I33" s="51">
        <v>29</v>
      </c>
      <c r="J33" s="41"/>
      <c r="K33" s="41" t="str">
        <f t="shared" si="27"/>
        <v/>
      </c>
      <c r="L33" s="42">
        <f t="shared" si="28"/>
        <v>25</v>
      </c>
      <c r="M33" s="41">
        <f t="shared" si="29"/>
        <v>2000000</v>
      </c>
      <c r="N33" s="43">
        <f t="shared" si="1"/>
        <v>701.49900000000002</v>
      </c>
      <c r="O33" s="44">
        <f t="shared" si="2"/>
        <v>767.68</v>
      </c>
      <c r="P33" s="41">
        <f t="shared" si="3"/>
        <v>1402998</v>
      </c>
      <c r="Q33" s="41">
        <f t="shared" si="4"/>
        <v>1535360</v>
      </c>
      <c r="R33" s="44"/>
      <c r="S33" s="44">
        <f t="shared" si="15"/>
        <v>212.1709465542921</v>
      </c>
      <c r="T33" s="52">
        <f t="shared" si="30"/>
        <v>0</v>
      </c>
      <c r="U33" s="53">
        <f t="shared" si="16"/>
        <v>0.13960838012672269</v>
      </c>
      <c r="V33" s="53">
        <f t="shared" si="17"/>
        <v>2.9620842158398174E-2</v>
      </c>
      <c r="W33" s="53">
        <f t="shared" si="18"/>
        <v>0</v>
      </c>
      <c r="X33" s="46">
        <f t="shared" si="5"/>
        <v>0.10998753796832451</v>
      </c>
      <c r="Y33" s="54"/>
      <c r="Z33" s="41">
        <f t="shared" si="19"/>
        <v>210663.74049277973</v>
      </c>
      <c r="AA33" s="41">
        <f t="shared" si="20"/>
        <v>2792.1676025344536</v>
      </c>
      <c r="AB33" s="41">
        <f t="shared" si="6"/>
        <v>168870.46629504673</v>
      </c>
      <c r="AC33" s="41">
        <f t="shared" si="7"/>
        <v>2199.7507593664905</v>
      </c>
      <c r="AD33" s="54"/>
      <c r="AE33" s="41">
        <f t="shared" si="8"/>
        <v>0</v>
      </c>
      <c r="AF33" s="41"/>
      <c r="AG33" s="41">
        <f t="shared" si="9"/>
        <v>-2.7496884492081128</v>
      </c>
      <c r="AH33" s="41">
        <f t="shared" si="21"/>
        <v>-59241.684316796353</v>
      </c>
      <c r="AI33" s="41">
        <f t="shared" si="22"/>
        <v>0</v>
      </c>
      <c r="AJ33" s="41">
        <f t="shared" si="10"/>
        <v>-59244.434005245559</v>
      </c>
      <c r="AK33" s="41">
        <f t="shared" si="11"/>
        <v>41793.274197733001</v>
      </c>
      <c r="AL33" s="41">
        <f t="shared" si="23"/>
        <v>8538.2363238125672</v>
      </c>
      <c r="AM33" s="41">
        <f t="shared" si="12"/>
        <v>-8912.9234836999913</v>
      </c>
      <c r="AN33" s="41">
        <f t="shared" si="13"/>
        <v>592.41684316796318</v>
      </c>
      <c r="AO33" s="41">
        <f t="shared" si="14"/>
        <v>-8320.5066405320285</v>
      </c>
      <c r="AP33" s="45"/>
      <c r="AQ33" s="55"/>
      <c r="AR33" s="48"/>
      <c r="AS33" s="48"/>
      <c r="AT33" s="51">
        <f t="shared" si="24"/>
        <v>29</v>
      </c>
      <c r="AU33" s="49">
        <f t="shared" si="25"/>
        <v>0.13960838012672269</v>
      </c>
      <c r="AV33" s="49">
        <f t="shared" si="26"/>
        <v>2.9620842158398174E-2</v>
      </c>
      <c r="AW33" s="50">
        <f xml:space="preserve"> IF(ISERROR(ROUND((1000*NPV($AT$1,$AV34:$AV$124)-$AW$1*($AU34+NPV($AT$1,$AU35:$AU$124)))/AU34,3)), 0, ROUND((1000*NPV($AT$1,$AV34:$AV$124)-$AW$1*($AU34+NPV($AT$1,$AU35:$AU$124)))/AU34,3))</f>
        <v>767.68</v>
      </c>
      <c r="AX33" s="50">
        <f>IF(ISERROR(ROUND(MAX(0,1000*NPV($AT$2,$AV34:$AV$124)-$AW$2*($AU34+NPV($AT$2,$AU35:$AU$124)))/AU34,3)), 0, ROUND(MAX(0,1000*NPV($AT$2,$AV34:$AV$124)-$AW$2*($AU34+NPV($AT$2,$AU35:$AU$124)))/AU34,3))</f>
        <v>701.49900000000002</v>
      </c>
    </row>
    <row r="34" spans="1:50" ht="15" x14ac:dyDescent="0.25">
      <c r="A34">
        <v>9</v>
      </c>
      <c r="B34">
        <v>1.39867715535424E-4</v>
      </c>
      <c r="C34">
        <f t="shared" si="31"/>
        <v>1.3147565260329856E-4</v>
      </c>
      <c r="D34" s="60">
        <v>44</v>
      </c>
      <c r="E34">
        <v>812204.97154413327</v>
      </c>
      <c r="F34" s="5">
        <v>26983.824971648573</v>
      </c>
      <c r="G34" s="8"/>
      <c r="H34" s="4"/>
      <c r="I34" s="51">
        <v>30</v>
      </c>
      <c r="J34" s="41"/>
      <c r="K34" s="41" t="str">
        <f t="shared" si="27"/>
        <v/>
      </c>
      <c r="L34" s="42">
        <f t="shared" si="28"/>
        <v>25</v>
      </c>
      <c r="M34" s="41">
        <f t="shared" si="29"/>
        <v>2000000</v>
      </c>
      <c r="N34" s="43">
        <f t="shared" si="1"/>
        <v>716.75599999999997</v>
      </c>
      <c r="O34" s="44">
        <f t="shared" si="2"/>
        <v>780.11699999999996</v>
      </c>
      <c r="P34" s="41">
        <f t="shared" si="3"/>
        <v>1433512</v>
      </c>
      <c r="Q34" s="41">
        <f t="shared" si="4"/>
        <v>1560234</v>
      </c>
      <c r="R34" s="44"/>
      <c r="S34" s="44">
        <f t="shared" si="15"/>
        <v>230.03818487073087</v>
      </c>
      <c r="T34" s="52">
        <f t="shared" si="30"/>
        <v>0</v>
      </c>
      <c r="U34" s="53">
        <f t="shared" si="16"/>
        <v>0.10998753796832451</v>
      </c>
      <c r="V34" s="53">
        <f t="shared" si="17"/>
        <v>2.5301333592633965E-2</v>
      </c>
      <c r="W34" s="53">
        <f t="shared" si="18"/>
        <v>0</v>
      </c>
      <c r="X34" s="46">
        <f t="shared" si="5"/>
        <v>8.4686204375690549E-2</v>
      </c>
      <c r="Y34" s="54"/>
      <c r="Z34" s="41">
        <f t="shared" si="19"/>
        <v>168870.46629504673</v>
      </c>
      <c r="AA34" s="41">
        <f t="shared" si="20"/>
        <v>2199.7507593664905</v>
      </c>
      <c r="AB34" s="41">
        <f t="shared" si="6"/>
        <v>132130.29539790118</v>
      </c>
      <c r="AC34" s="41">
        <f t="shared" si="7"/>
        <v>1693.7240875138109</v>
      </c>
      <c r="AD34" s="54"/>
      <c r="AE34" s="41">
        <f t="shared" si="8"/>
        <v>0</v>
      </c>
      <c r="AF34" s="41"/>
      <c r="AG34" s="41">
        <f t="shared" si="9"/>
        <v>-2.1171551093922636</v>
      </c>
      <c r="AH34" s="41">
        <f t="shared" si="21"/>
        <v>-50602.667185267928</v>
      </c>
      <c r="AI34" s="41">
        <f t="shared" si="22"/>
        <v>0</v>
      </c>
      <c r="AJ34" s="41">
        <f t="shared" si="10"/>
        <v>-50604.784340377322</v>
      </c>
      <c r="AK34" s="41">
        <f t="shared" si="11"/>
        <v>36740.170897145552</v>
      </c>
      <c r="AL34" s="41">
        <f t="shared" si="23"/>
        <v>6842.8086821765291</v>
      </c>
      <c r="AM34" s="41">
        <f t="shared" si="12"/>
        <v>-7021.8047610552412</v>
      </c>
      <c r="AN34" s="41">
        <f t="shared" si="13"/>
        <v>506.02667185267956</v>
      </c>
      <c r="AO34" s="41">
        <f t="shared" si="14"/>
        <v>-6515.7780892025621</v>
      </c>
      <c r="AP34" s="45"/>
      <c r="AQ34" s="55"/>
      <c r="AR34" s="48"/>
      <c r="AS34" s="48"/>
      <c r="AT34" s="51">
        <f t="shared" si="24"/>
        <v>30</v>
      </c>
      <c r="AU34" s="49">
        <f t="shared" si="25"/>
        <v>0.10998753796832451</v>
      </c>
      <c r="AV34" s="49">
        <f t="shared" si="26"/>
        <v>2.5301333592633965E-2</v>
      </c>
      <c r="AW34" s="50">
        <f xml:space="preserve"> IF(ISERROR(ROUND((1000*NPV($AT$1,$AV35:$AV$124)-$AW$1*($AU35+NPV($AT$1,$AU36:$AU$124)))/AU35,3)), 0, ROUND((1000*NPV($AT$1,$AV35:$AV$124)-$AW$1*($AU35+NPV($AT$1,$AU36:$AU$124)))/AU35,3))</f>
        <v>780.11699999999996</v>
      </c>
      <c r="AX34" s="50">
        <f>IF(ISERROR(ROUND(MAX(0,1000*NPV($AT$2,$AV35:$AV$124)-$AW$2*($AU35+NPV($AT$2,$AU36:$AU$124)))/AU35,3)), 0, ROUND(MAX(0,1000*NPV($AT$2,$AV35:$AV$124)-$AW$2*($AU35+NPV($AT$2,$AU36:$AU$124)))/AU35,3))</f>
        <v>716.75599999999997</v>
      </c>
    </row>
    <row r="35" spans="1:50" ht="15" x14ac:dyDescent="0.25">
      <c r="A35">
        <v>10</v>
      </c>
      <c r="B35">
        <v>1.3845698603298699E-4</v>
      </c>
      <c r="C35">
        <f t="shared" si="31"/>
        <v>1.3014956687100777E-4</v>
      </c>
      <c r="D35" s="60">
        <v>45</v>
      </c>
      <c r="E35">
        <v>840692.92332048377</v>
      </c>
      <c r="F35" s="5">
        <v>27827.549854518846</v>
      </c>
      <c r="G35" s="8"/>
      <c r="H35" s="4"/>
      <c r="I35" s="51">
        <v>31</v>
      </c>
      <c r="J35" s="41"/>
      <c r="K35" s="41" t="str">
        <f t="shared" si="27"/>
        <v/>
      </c>
      <c r="L35" s="42">
        <f t="shared" si="28"/>
        <v>25</v>
      </c>
      <c r="M35" s="41">
        <f t="shared" si="29"/>
        <v>2000000</v>
      </c>
      <c r="N35" s="43">
        <f t="shared" si="1"/>
        <v>731.07</v>
      </c>
      <c r="O35" s="44">
        <f t="shared" si="2"/>
        <v>791.73500000000001</v>
      </c>
      <c r="P35" s="41">
        <f t="shared" si="3"/>
        <v>1462140</v>
      </c>
      <c r="Q35" s="41">
        <f t="shared" si="4"/>
        <v>1583470</v>
      </c>
      <c r="R35" s="44"/>
      <c r="S35" s="44">
        <f t="shared" si="15"/>
        <v>249.19265656703149</v>
      </c>
      <c r="T35" s="52">
        <f t="shared" si="30"/>
        <v>0</v>
      </c>
      <c r="U35" s="53">
        <f t="shared" si="16"/>
        <v>8.4686204375690549E-2</v>
      </c>
      <c r="V35" s="53">
        <f t="shared" si="17"/>
        <v>2.1103180242956897E-2</v>
      </c>
      <c r="W35" s="53">
        <f t="shared" si="18"/>
        <v>0</v>
      </c>
      <c r="X35" s="46">
        <f t="shared" si="5"/>
        <v>6.3583024132733645E-2</v>
      </c>
      <c r="Y35" s="54"/>
      <c r="Z35" s="41">
        <f t="shared" si="19"/>
        <v>132130.29539790118</v>
      </c>
      <c r="AA35" s="41">
        <f t="shared" si="20"/>
        <v>1693.7240875138109</v>
      </c>
      <c r="AB35" s="41">
        <f t="shared" si="6"/>
        <v>100681.81122345975</v>
      </c>
      <c r="AC35" s="41">
        <f t="shared" si="7"/>
        <v>1271.6604826546729</v>
      </c>
      <c r="AD35" s="54"/>
      <c r="AE35" s="41">
        <f t="shared" si="8"/>
        <v>0</v>
      </c>
      <c r="AF35" s="41"/>
      <c r="AG35" s="41">
        <f t="shared" si="9"/>
        <v>-1.589575603318341</v>
      </c>
      <c r="AH35" s="41">
        <f t="shared" si="21"/>
        <v>-42206.360485913792</v>
      </c>
      <c r="AI35" s="41">
        <f t="shared" si="22"/>
        <v>0</v>
      </c>
      <c r="AJ35" s="41">
        <f t="shared" si="10"/>
        <v>-42207.950061517113</v>
      </c>
      <c r="AK35" s="41">
        <f t="shared" si="11"/>
        <v>31448.48417444143</v>
      </c>
      <c r="AL35" s="41">
        <f t="shared" si="23"/>
        <v>5352.9607794165995</v>
      </c>
      <c r="AM35" s="41">
        <f t="shared" si="12"/>
        <v>-5406.5051076590835</v>
      </c>
      <c r="AN35" s="41">
        <f t="shared" si="13"/>
        <v>422.06360485913797</v>
      </c>
      <c r="AO35" s="41">
        <f t="shared" si="14"/>
        <v>-4984.4415027999457</v>
      </c>
      <c r="AP35" s="45"/>
      <c r="AQ35" s="55"/>
      <c r="AR35" s="48"/>
      <c r="AS35" s="48"/>
      <c r="AT35" s="51">
        <f t="shared" si="24"/>
        <v>31</v>
      </c>
      <c r="AU35" s="49">
        <f t="shared" si="25"/>
        <v>8.4686204375690549E-2</v>
      </c>
      <c r="AV35" s="49">
        <f t="shared" si="26"/>
        <v>2.1103180242956897E-2</v>
      </c>
      <c r="AW35" s="50">
        <f xml:space="preserve"> IF(ISERROR(ROUND((1000*NPV($AT$1,$AV36:$AV$124)-$AW$1*($AU36+NPV($AT$1,$AU37:$AU$124)))/AU36,3)), 0, ROUND((1000*NPV($AT$1,$AV36:$AV$124)-$AW$1*($AU36+NPV($AT$1,$AU37:$AU$124)))/AU36,3))</f>
        <v>791.73500000000001</v>
      </c>
      <c r="AX35" s="50">
        <f>IF(ISERROR(ROUND(MAX(0,1000*NPV($AT$2,$AV36:$AV$124)-$AW$2*($AU36+NPV($AT$2,$AU37:$AU$124)))/AU36,3)), 0, ROUND(MAX(0,1000*NPV($AT$2,$AV36:$AV$124)-$AW$2*($AU36+NPV($AT$2,$AU37:$AU$124)))/AU36,3))</f>
        <v>731.07</v>
      </c>
    </row>
    <row r="36" spans="1:50" ht="15" x14ac:dyDescent="0.25">
      <c r="A36">
        <v>11</v>
      </c>
      <c r="B36">
        <v>1.5170759195481899E-4</v>
      </c>
      <c r="C36">
        <f t="shared" si="31"/>
        <v>1.4260513643752983E-4</v>
      </c>
      <c r="D36" s="60">
        <v>46</v>
      </c>
      <c r="E36">
        <v>869982.98603384779</v>
      </c>
      <c r="F36" s="5">
        <v>28689.20196839358</v>
      </c>
      <c r="G36" s="8"/>
      <c r="H36" s="4"/>
      <c r="I36" s="51">
        <v>32</v>
      </c>
      <c r="J36" s="41"/>
      <c r="K36" s="41" t="str">
        <f t="shared" si="27"/>
        <v/>
      </c>
      <c r="L36" s="42">
        <f t="shared" si="28"/>
        <v>25</v>
      </c>
      <c r="M36" s="41">
        <f t="shared" si="29"/>
        <v>2000000</v>
      </c>
      <c r="N36" s="43">
        <f t="shared" si="1"/>
        <v>744.58299999999997</v>
      </c>
      <c r="O36" s="44">
        <f t="shared" si="2"/>
        <v>802.654</v>
      </c>
      <c r="P36" s="41">
        <f t="shared" si="3"/>
        <v>1489166</v>
      </c>
      <c r="Q36" s="41">
        <f t="shared" si="4"/>
        <v>1605308</v>
      </c>
      <c r="R36" s="44"/>
      <c r="S36" s="44">
        <f t="shared" si="15"/>
        <v>268.87565988821825</v>
      </c>
      <c r="T36" s="52">
        <f t="shared" si="30"/>
        <v>0</v>
      </c>
      <c r="U36" s="53">
        <f t="shared" si="16"/>
        <v>6.3583024132733645E-2</v>
      </c>
      <c r="V36" s="53">
        <f t="shared" si="17"/>
        <v>1.7095927571377262E-2</v>
      </c>
      <c r="W36" s="53">
        <f t="shared" si="18"/>
        <v>0</v>
      </c>
      <c r="X36" s="46">
        <f t="shared" si="5"/>
        <v>4.6487096561356384E-2</v>
      </c>
      <c r="Y36" s="54"/>
      <c r="Z36" s="41">
        <f t="shared" si="19"/>
        <v>100681.81122345975</v>
      </c>
      <c r="AA36" s="41">
        <f t="shared" si="20"/>
        <v>1271.6604826546729</v>
      </c>
      <c r="AB36" s="41">
        <f t="shared" si="6"/>
        <v>74626.108006717899</v>
      </c>
      <c r="AC36" s="41">
        <f t="shared" si="7"/>
        <v>929.74193122712768</v>
      </c>
      <c r="AD36" s="54"/>
      <c r="AE36" s="41">
        <f t="shared" si="8"/>
        <v>0</v>
      </c>
      <c r="AF36" s="41"/>
      <c r="AG36" s="41">
        <f t="shared" si="9"/>
        <v>-1.1621774140339096</v>
      </c>
      <c r="AH36" s="41">
        <f t="shared" si="21"/>
        <v>-34191.855142754524</v>
      </c>
      <c r="AI36" s="41">
        <f t="shared" si="22"/>
        <v>0</v>
      </c>
      <c r="AJ36" s="41">
        <f t="shared" si="10"/>
        <v>-34193.017320168561</v>
      </c>
      <c r="AK36" s="41">
        <f t="shared" si="11"/>
        <v>26055.703216741851</v>
      </c>
      <c r="AL36" s="41">
        <f t="shared" si="23"/>
        <v>4078.1388682445768</v>
      </c>
      <c r="AM36" s="41">
        <f t="shared" si="12"/>
        <v>-4059.1752351821333</v>
      </c>
      <c r="AN36" s="41">
        <f t="shared" si="13"/>
        <v>341.91855142754525</v>
      </c>
      <c r="AO36" s="41">
        <f t="shared" si="14"/>
        <v>-3717.2566837545883</v>
      </c>
      <c r="AP36" s="45"/>
      <c r="AQ36" s="55"/>
      <c r="AR36" s="48"/>
      <c r="AS36" s="48"/>
      <c r="AT36" s="51">
        <f t="shared" si="24"/>
        <v>32</v>
      </c>
      <c r="AU36" s="49">
        <f t="shared" si="25"/>
        <v>6.3583024132733645E-2</v>
      </c>
      <c r="AV36" s="49">
        <f t="shared" si="26"/>
        <v>1.7095927571377262E-2</v>
      </c>
      <c r="AW36" s="50">
        <f xml:space="preserve"> IF(ISERROR(ROUND((1000*NPV($AT$1,$AV37:$AV$124)-$AW$1*($AU37+NPV($AT$1,$AU38:$AU$124)))/AU37,3)), 0, ROUND((1000*NPV($AT$1,$AV37:$AV$124)-$AW$1*($AU37+NPV($AT$1,$AU38:$AU$124)))/AU37,3))</f>
        <v>802.654</v>
      </c>
      <c r="AX36" s="50">
        <f>IF(ISERROR(ROUND(MAX(0,1000*NPV($AT$2,$AV37:$AV$124)-$AW$2*($AU37+NPV($AT$2,$AU38:$AU$124)))/AU37,3)), 0, ROUND(MAX(0,1000*NPV($AT$2,$AV37:$AV$124)-$AW$2*($AU37+NPV($AT$2,$AU38:$AU$124)))/AU37,3))</f>
        <v>744.58299999999997</v>
      </c>
    </row>
    <row r="37" spans="1:50" ht="15" x14ac:dyDescent="0.25">
      <c r="A37">
        <v>12</v>
      </c>
      <c r="B37">
        <v>1.6084499216772999E-4</v>
      </c>
      <c r="C37">
        <f t="shared" si="31"/>
        <v>1.5119429263766619E-4</v>
      </c>
      <c r="D37" s="60">
        <v>47</v>
      </c>
      <c r="E37">
        <v>900194.33392712171</v>
      </c>
      <c r="F37" s="5">
        <v>29574.523766423052</v>
      </c>
      <c r="G37" s="8"/>
      <c r="H37" s="4"/>
      <c r="I37" s="51">
        <v>33</v>
      </c>
      <c r="J37" s="41"/>
      <c r="K37" s="41" t="str">
        <f t="shared" si="27"/>
        <v/>
      </c>
      <c r="L37" s="42">
        <f t="shared" si="28"/>
        <v>25</v>
      </c>
      <c r="M37" s="41">
        <f t="shared" si="29"/>
        <v>2000000</v>
      </c>
      <c r="N37" s="43">
        <f t="shared" si="1"/>
        <v>757.26</v>
      </c>
      <c r="O37" s="44">
        <f t="shared" si="2"/>
        <v>812.85500000000002</v>
      </c>
      <c r="P37" s="41">
        <f t="shared" si="3"/>
        <v>1514520</v>
      </c>
      <c r="Q37" s="41">
        <f t="shared" si="4"/>
        <v>1625710</v>
      </c>
      <c r="R37" s="44"/>
      <c r="S37" s="44">
        <f t="shared" si="15"/>
        <v>289.70210526103773</v>
      </c>
      <c r="T37" s="52">
        <f t="shared" si="30"/>
        <v>0</v>
      </c>
      <c r="U37" s="53">
        <f t="shared" si="16"/>
        <v>4.6487096561356384E-2</v>
      </c>
      <c r="V37" s="53">
        <f t="shared" si="17"/>
        <v>1.3467409741298092E-2</v>
      </c>
      <c r="W37" s="53">
        <f t="shared" si="18"/>
        <v>0</v>
      </c>
      <c r="X37" s="46">
        <f t="shared" si="5"/>
        <v>3.3019686820058292E-2</v>
      </c>
      <c r="Y37" s="54"/>
      <c r="Z37" s="41">
        <f t="shared" si="19"/>
        <v>74626.108006717899</v>
      </c>
      <c r="AA37" s="41">
        <f t="shared" si="20"/>
        <v>929.74193122712768</v>
      </c>
      <c r="AB37" s="41">
        <f t="shared" si="6"/>
        <v>53680.435060236967</v>
      </c>
      <c r="AC37" s="41">
        <f t="shared" si="7"/>
        <v>660.39373640116582</v>
      </c>
      <c r="AD37" s="54"/>
      <c r="AE37" s="41">
        <f t="shared" si="8"/>
        <v>0</v>
      </c>
      <c r="AF37" s="41"/>
      <c r="AG37" s="41">
        <f t="shared" si="9"/>
        <v>-0.82549217050145729</v>
      </c>
      <c r="AH37" s="41">
        <f t="shared" si="21"/>
        <v>-26934.819482596184</v>
      </c>
      <c r="AI37" s="41">
        <f t="shared" si="22"/>
        <v>0</v>
      </c>
      <c r="AJ37" s="41">
        <f t="shared" si="10"/>
        <v>-26935.644974766685</v>
      </c>
      <c r="AK37" s="41">
        <f t="shared" si="11"/>
        <v>20945.672946480932</v>
      </c>
      <c r="AL37" s="41">
        <f t="shared" si="23"/>
        <v>3022.2339975178011</v>
      </c>
      <c r="AM37" s="41">
        <f t="shared" si="12"/>
        <v>-2967.7380307679514</v>
      </c>
      <c r="AN37" s="41">
        <f t="shared" si="13"/>
        <v>269.34819482596185</v>
      </c>
      <c r="AO37" s="41">
        <f t="shared" si="14"/>
        <v>-2698.3898359419895</v>
      </c>
      <c r="AP37" s="45"/>
      <c r="AQ37" s="55"/>
      <c r="AR37" s="48"/>
      <c r="AS37" s="48"/>
      <c r="AT37" s="51">
        <f t="shared" si="24"/>
        <v>33</v>
      </c>
      <c r="AU37" s="49">
        <f t="shared" si="25"/>
        <v>4.6487096561356384E-2</v>
      </c>
      <c r="AV37" s="49">
        <f t="shared" si="26"/>
        <v>1.3467409741298092E-2</v>
      </c>
      <c r="AW37" s="50">
        <f xml:space="preserve"> IF(ISERROR(ROUND((1000*NPV($AT$1,$AV38:$AV$124)-$AW$1*($AU38+NPV($AT$1,$AU39:$AU$124)))/AU38,3)), 0, ROUND((1000*NPV($AT$1,$AV38:$AV$124)-$AW$1*($AU38+NPV($AT$1,$AU39:$AU$124)))/AU38,3))</f>
        <v>812.85500000000002</v>
      </c>
      <c r="AX37" s="50">
        <f>IF(ISERROR(ROUND(MAX(0,1000*NPV($AT$2,$AV38:$AV$124)-$AW$2*($AU38+NPV($AT$2,$AU39:$AU$124)))/AU38,3)), 0, ROUND(MAX(0,1000*NPV($AT$2,$AV38:$AV$124)-$AW$2*($AU38+NPV($AT$2,$AU39:$AU$124)))/AU38,3))</f>
        <v>757.26</v>
      </c>
    </row>
    <row r="38" spans="1:50" ht="15" x14ac:dyDescent="0.25">
      <c r="A38">
        <v>13</v>
      </c>
      <c r="B38">
        <v>1.78536079733727E-4</v>
      </c>
      <c r="C38">
        <f t="shared" si="31"/>
        <v>1.6782391494970337E-4</v>
      </c>
      <c r="D38" s="60">
        <v>48</v>
      </c>
      <c r="E38">
        <v>931227.49426308938</v>
      </c>
      <c r="F38" s="5">
        <v>30477.232776695513</v>
      </c>
      <c r="G38" s="8"/>
      <c r="H38" s="4"/>
      <c r="I38" s="51">
        <v>34</v>
      </c>
      <c r="J38" s="41"/>
      <c r="K38" s="41" t="str">
        <f t="shared" si="27"/>
        <v/>
      </c>
      <c r="L38" s="42">
        <f t="shared" si="28"/>
        <v>25</v>
      </c>
      <c r="M38" s="41">
        <f t="shared" si="29"/>
        <v>2000000</v>
      </c>
      <c r="N38" s="43">
        <f t="shared" si="1"/>
        <v>769.01599999999996</v>
      </c>
      <c r="O38" s="44">
        <f t="shared" si="2"/>
        <v>822.28099999999995</v>
      </c>
      <c r="P38" s="41">
        <f t="shared" si="3"/>
        <v>1538032</v>
      </c>
      <c r="Q38" s="41">
        <f t="shared" si="4"/>
        <v>1644562</v>
      </c>
      <c r="R38" s="44"/>
      <c r="S38" s="44">
        <f t="shared" si="15"/>
        <v>311.72656236807057</v>
      </c>
      <c r="T38" s="52">
        <f t="shared" si="30"/>
        <v>0</v>
      </c>
      <c r="U38" s="53">
        <f t="shared" si="16"/>
        <v>3.3019686820058292E-2</v>
      </c>
      <c r="V38" s="53">
        <f t="shared" si="17"/>
        <v>1.0293113462887058E-2</v>
      </c>
      <c r="W38" s="53">
        <f t="shared" si="18"/>
        <v>0</v>
      </c>
      <c r="X38" s="46">
        <f t="shared" si="5"/>
        <v>2.2726573357171233E-2</v>
      </c>
      <c r="Y38" s="54"/>
      <c r="Z38" s="41">
        <f t="shared" si="19"/>
        <v>53680.435060236967</v>
      </c>
      <c r="AA38" s="41">
        <f t="shared" si="20"/>
        <v>660.39373640116582</v>
      </c>
      <c r="AB38" s="41">
        <f t="shared" si="6"/>
        <v>37375.25893341624</v>
      </c>
      <c r="AC38" s="41">
        <f t="shared" si="7"/>
        <v>454.53146714342466</v>
      </c>
      <c r="AD38" s="54"/>
      <c r="AE38" s="41">
        <f t="shared" si="8"/>
        <v>0</v>
      </c>
      <c r="AF38" s="41"/>
      <c r="AG38" s="41">
        <f t="shared" si="9"/>
        <v>-0.56816433392928078</v>
      </c>
      <c r="AH38" s="41">
        <f t="shared" si="21"/>
        <v>-20586.226925774117</v>
      </c>
      <c r="AI38" s="41">
        <f t="shared" si="22"/>
        <v>0</v>
      </c>
      <c r="AJ38" s="41">
        <f t="shared" si="10"/>
        <v>-20586.795090108048</v>
      </c>
      <c r="AK38" s="41">
        <f t="shared" si="11"/>
        <v>16305.176126820726</v>
      </c>
      <c r="AL38" s="41">
        <f t="shared" si="23"/>
        <v>2173.6331518655252</v>
      </c>
      <c r="AM38" s="41">
        <f t="shared" si="12"/>
        <v>-2107.9858114217959</v>
      </c>
      <c r="AN38" s="41">
        <f t="shared" si="13"/>
        <v>205.86226925774116</v>
      </c>
      <c r="AO38" s="41">
        <f t="shared" si="14"/>
        <v>-1902.1235421640547</v>
      </c>
      <c r="AP38" s="45"/>
      <c r="AQ38" s="55"/>
      <c r="AR38" s="48"/>
      <c r="AS38" s="48"/>
      <c r="AT38" s="51">
        <f t="shared" si="24"/>
        <v>34</v>
      </c>
      <c r="AU38" s="49">
        <f t="shared" si="25"/>
        <v>3.3019686820058292E-2</v>
      </c>
      <c r="AV38" s="49">
        <f t="shared" si="26"/>
        <v>1.0293113462887058E-2</v>
      </c>
      <c r="AW38" s="50">
        <f xml:space="preserve"> IF(ISERROR(ROUND((1000*NPV($AT$1,$AV39:$AV$124)-$AW$1*($AU39+NPV($AT$1,$AU40:$AU$124)))/AU39,3)), 0, ROUND((1000*NPV($AT$1,$AV39:$AV$124)-$AW$1*($AU39+NPV($AT$1,$AU40:$AU$124)))/AU39,3))</f>
        <v>822.28099999999995</v>
      </c>
      <c r="AX38" s="50">
        <f>IF(ISERROR(ROUND(MAX(0,1000*NPV($AT$2,$AV39:$AV$124)-$AW$2*($AU39+NPV($AT$2,$AU40:$AU$124)))/AU39,3)), 0, ROUND(MAX(0,1000*NPV($AT$2,$AV39:$AV$124)-$AW$2*($AU39+NPV($AT$2,$AU40:$AU$124)))/AU39,3))</f>
        <v>769.01599999999996</v>
      </c>
    </row>
    <row r="39" spans="1:50" ht="15" x14ac:dyDescent="0.25">
      <c r="A39">
        <v>14</v>
      </c>
      <c r="B39">
        <v>2.0047996254346501E-4</v>
      </c>
      <c r="C39">
        <f t="shared" si="31"/>
        <v>1.8845116479085708E-4</v>
      </c>
      <c r="D39" s="60">
        <v>49</v>
      </c>
      <c r="E39">
        <v>963073.41011168074</v>
      </c>
      <c r="F39" s="5">
        <v>31395.908768282156</v>
      </c>
      <c r="G39" s="8"/>
      <c r="H39" s="4"/>
      <c r="I39" s="51">
        <v>35</v>
      </c>
      <c r="J39" s="41"/>
      <c r="K39" s="41" t="str">
        <f t="shared" si="27"/>
        <v/>
      </c>
      <c r="L39" s="42">
        <f t="shared" si="28"/>
        <v>25</v>
      </c>
      <c r="M39" s="41">
        <f t="shared" si="29"/>
        <v>2000000</v>
      </c>
      <c r="N39" s="43">
        <f t="shared" si="1"/>
        <v>779.95799999999997</v>
      </c>
      <c r="O39" s="44">
        <f t="shared" si="2"/>
        <v>831.02200000000005</v>
      </c>
      <c r="P39" s="41">
        <f t="shared" si="3"/>
        <v>1559916</v>
      </c>
      <c r="Q39" s="41">
        <f t="shared" si="4"/>
        <v>1662044</v>
      </c>
      <c r="R39" s="44"/>
      <c r="S39" s="44">
        <f t="shared" si="15"/>
        <v>334.13314290069843</v>
      </c>
      <c r="T39" s="52">
        <f t="shared" si="30"/>
        <v>0</v>
      </c>
      <c r="U39" s="53">
        <f t="shared" si="16"/>
        <v>2.2726573357171233E-2</v>
      </c>
      <c r="V39" s="53">
        <f t="shared" si="17"/>
        <v>7.5937013831949016E-3</v>
      </c>
      <c r="W39" s="53">
        <f t="shared" si="18"/>
        <v>0</v>
      </c>
      <c r="X39" s="46">
        <f t="shared" si="5"/>
        <v>1.5132871973976333E-2</v>
      </c>
      <c r="Y39" s="54"/>
      <c r="Z39" s="41">
        <f t="shared" si="19"/>
        <v>37375.25893341624</v>
      </c>
      <c r="AA39" s="41">
        <f t="shared" si="20"/>
        <v>454.53146714342466</v>
      </c>
      <c r="AB39" s="41">
        <f t="shared" si="6"/>
        <v>25151.499067115521</v>
      </c>
      <c r="AC39" s="41">
        <f t="shared" si="7"/>
        <v>302.65743947952666</v>
      </c>
      <c r="AD39" s="54"/>
      <c r="AE39" s="41">
        <f t="shared" si="8"/>
        <v>0</v>
      </c>
      <c r="AF39" s="41"/>
      <c r="AG39" s="41">
        <f t="shared" si="9"/>
        <v>-0.37832179934940829</v>
      </c>
      <c r="AH39" s="41">
        <f t="shared" si="21"/>
        <v>-15187.402766389803</v>
      </c>
      <c r="AI39" s="41">
        <f t="shared" si="22"/>
        <v>0</v>
      </c>
      <c r="AJ39" s="41">
        <f t="shared" si="10"/>
        <v>-15187.781088189153</v>
      </c>
      <c r="AK39" s="41">
        <f t="shared" si="11"/>
        <v>12223.759866300719</v>
      </c>
      <c r="AL39" s="41">
        <f t="shared" si="23"/>
        <v>1513.1916160223866</v>
      </c>
      <c r="AM39" s="41">
        <f t="shared" si="12"/>
        <v>-1450.8296058660469</v>
      </c>
      <c r="AN39" s="41">
        <f t="shared" si="13"/>
        <v>151.874027663898</v>
      </c>
      <c r="AO39" s="41">
        <f t="shared" si="14"/>
        <v>-1298.9555782021489</v>
      </c>
      <c r="AP39" s="45"/>
      <c r="AQ39" s="55"/>
      <c r="AR39" s="48"/>
      <c r="AS39" s="48"/>
      <c r="AT39" s="51">
        <f t="shared" si="24"/>
        <v>35</v>
      </c>
      <c r="AU39" s="49">
        <f t="shared" si="25"/>
        <v>2.2726573357171233E-2</v>
      </c>
      <c r="AV39" s="49">
        <f t="shared" si="26"/>
        <v>7.5937013831949016E-3</v>
      </c>
      <c r="AW39" s="50">
        <f xml:space="preserve"> IF(ISERROR(ROUND((1000*NPV($AT$1,$AV40:$AV$124)-$AW$1*($AU40+NPV($AT$1,$AU41:$AU$124)))/AU40,3)), 0, ROUND((1000*NPV($AT$1,$AV40:$AV$124)-$AW$1*($AU40+NPV($AT$1,$AU41:$AU$124)))/AU40,3))</f>
        <v>831.02200000000005</v>
      </c>
      <c r="AX39" s="50">
        <f>IF(ISERROR(ROUND(MAX(0,1000*NPV($AT$2,$AV40:$AV$124)-$AW$2*($AU40+NPV($AT$2,$AU41:$AU$124)))/AU40,3)), 0, ROUND(MAX(0,1000*NPV($AT$2,$AV40:$AV$124)-$AW$2*($AU40+NPV($AT$2,$AU41:$AU$124)))/AU40,3))</f>
        <v>779.95799999999997</v>
      </c>
    </row>
    <row r="40" spans="1:50" ht="15" x14ac:dyDescent="0.25">
      <c r="A40">
        <v>15</v>
      </c>
      <c r="B40">
        <v>2.4127113976790701E-4</v>
      </c>
      <c r="C40">
        <f t="shared" si="31"/>
        <v>2.2679487138183257E-4</v>
      </c>
      <c r="D40" s="60">
        <v>50</v>
      </c>
      <c r="E40">
        <v>995753.07262733718</v>
      </c>
      <c r="F40" s="5">
        <v>32330.912121608737</v>
      </c>
      <c r="G40" s="8"/>
      <c r="H40" s="4"/>
      <c r="I40" s="51">
        <v>36</v>
      </c>
      <c r="J40" s="41"/>
      <c r="K40" s="41" t="str">
        <f t="shared" si="27"/>
        <v/>
      </c>
      <c r="L40" s="42">
        <f t="shared" si="28"/>
        <v>25</v>
      </c>
      <c r="M40" s="41">
        <f t="shared" si="29"/>
        <v>2000000</v>
      </c>
      <c r="N40" s="43">
        <f t="shared" si="1"/>
        <v>790.00099999999998</v>
      </c>
      <c r="O40" s="44">
        <f t="shared" si="2"/>
        <v>839.02099999999996</v>
      </c>
      <c r="P40" s="41">
        <f t="shared" si="3"/>
        <v>1580002</v>
      </c>
      <c r="Q40" s="41">
        <f t="shared" si="4"/>
        <v>1678042</v>
      </c>
      <c r="R40" s="44"/>
      <c r="S40" s="44">
        <f t="shared" si="15"/>
        <v>357.521716621076</v>
      </c>
      <c r="T40" s="52">
        <f t="shared" si="30"/>
        <v>0</v>
      </c>
      <c r="U40" s="53">
        <f t="shared" si="16"/>
        <v>1.5132871973976333E-2</v>
      </c>
      <c r="V40" s="53">
        <f t="shared" si="17"/>
        <v>5.4103303655429896E-3</v>
      </c>
      <c r="W40" s="53">
        <f t="shared" si="18"/>
        <v>0</v>
      </c>
      <c r="X40" s="46">
        <f t="shared" si="5"/>
        <v>9.7225416084333431E-3</v>
      </c>
      <c r="Y40" s="54"/>
      <c r="Z40" s="41">
        <f t="shared" si="19"/>
        <v>25151.499067115521</v>
      </c>
      <c r="AA40" s="41">
        <f t="shared" si="20"/>
        <v>302.65743947952666</v>
      </c>
      <c r="AB40" s="41">
        <f t="shared" si="6"/>
        <v>16314.833165698705</v>
      </c>
      <c r="AC40" s="41">
        <f t="shared" si="7"/>
        <v>194.45083216866686</v>
      </c>
      <c r="AD40" s="54"/>
      <c r="AE40" s="41">
        <f t="shared" si="8"/>
        <v>0</v>
      </c>
      <c r="AF40" s="41"/>
      <c r="AG40" s="41">
        <f t="shared" si="9"/>
        <v>-0.24306354021083357</v>
      </c>
      <c r="AH40" s="41">
        <f t="shared" si="21"/>
        <v>-10820.66073108598</v>
      </c>
      <c r="AI40" s="41">
        <f t="shared" si="22"/>
        <v>0</v>
      </c>
      <c r="AJ40" s="41">
        <f t="shared" si="10"/>
        <v>-10820.903794626191</v>
      </c>
      <c r="AK40" s="41">
        <f t="shared" si="11"/>
        <v>8836.6659014168163</v>
      </c>
      <c r="AL40" s="41">
        <f t="shared" si="23"/>
        <v>1018.166260263802</v>
      </c>
      <c r="AM40" s="41">
        <f t="shared" si="12"/>
        <v>-966.07163294557233</v>
      </c>
      <c r="AN40" s="41">
        <f t="shared" si="13"/>
        <v>108.20660731085979</v>
      </c>
      <c r="AO40" s="41">
        <f t="shared" si="14"/>
        <v>-857.86502563471254</v>
      </c>
      <c r="AP40" s="45"/>
      <c r="AQ40" s="55"/>
      <c r="AR40" s="48"/>
      <c r="AS40" s="48"/>
      <c r="AT40" s="51">
        <f t="shared" si="24"/>
        <v>36</v>
      </c>
      <c r="AU40" s="49">
        <f t="shared" si="25"/>
        <v>1.5132871973976333E-2</v>
      </c>
      <c r="AV40" s="49">
        <f t="shared" si="26"/>
        <v>5.4103303655429896E-3</v>
      </c>
      <c r="AW40" s="50">
        <f xml:space="preserve"> IF(ISERROR(ROUND((1000*NPV($AT$1,$AV41:$AV$124)-$AW$1*($AU41+NPV($AT$1,$AU42:$AU$124)))/AU41,3)), 0, ROUND((1000*NPV($AT$1,$AV41:$AV$124)-$AW$1*($AU41+NPV($AT$1,$AU42:$AU$124)))/AU41,3))</f>
        <v>839.02099999999996</v>
      </c>
      <c r="AX40" s="50">
        <f>IF(ISERROR(ROUND(MAX(0,1000*NPV($AT$2,$AV41:$AV$124)-$AW$2*($AU41+NPV($AT$2,$AU42:$AU$124)))/AU41,3)), 0, ROUND(MAX(0,1000*NPV($AT$2,$AV41:$AV$124)-$AW$2*($AU41+NPV($AT$2,$AU42:$AU$124)))/AU41,3))</f>
        <v>790.00099999999998</v>
      </c>
    </row>
    <row r="41" spans="1:50" ht="15" x14ac:dyDescent="0.25">
      <c r="A41">
        <v>16</v>
      </c>
      <c r="B41">
        <v>2.9202746110856798E-4</v>
      </c>
      <c r="C41">
        <f t="shared" si="31"/>
        <v>2.7450581344205387E-4</v>
      </c>
      <c r="D41" s="60">
        <v>51</v>
      </c>
      <c r="E41">
        <v>1029274.118875124</v>
      </c>
      <c r="F41" s="5">
        <v>33281.84204381099</v>
      </c>
      <c r="G41" s="8"/>
      <c r="H41" s="4"/>
      <c r="I41" s="51">
        <v>37</v>
      </c>
      <c r="J41" s="41"/>
      <c r="K41" s="41" t="str">
        <f t="shared" si="27"/>
        <v/>
      </c>
      <c r="L41" s="42">
        <f t="shared" si="28"/>
        <v>25</v>
      </c>
      <c r="M41" s="41">
        <f t="shared" si="29"/>
        <v>2000000</v>
      </c>
      <c r="N41" s="43">
        <f t="shared" si="1"/>
        <v>799.221</v>
      </c>
      <c r="O41" s="44">
        <f t="shared" si="2"/>
        <v>846.34400000000005</v>
      </c>
      <c r="P41" s="41">
        <f t="shared" si="3"/>
        <v>1598442</v>
      </c>
      <c r="Q41" s="41">
        <f t="shared" si="4"/>
        <v>1692688</v>
      </c>
      <c r="R41" s="44"/>
      <c r="S41" s="44">
        <f t="shared" si="15"/>
        <v>381.03752743268882</v>
      </c>
      <c r="T41" s="52">
        <f t="shared" si="30"/>
        <v>0</v>
      </c>
      <c r="U41" s="53">
        <f t="shared" si="16"/>
        <v>9.7225416084333431E-3</v>
      </c>
      <c r="V41" s="53">
        <f t="shared" si="17"/>
        <v>3.7046532148388785E-3</v>
      </c>
      <c r="W41" s="53">
        <f t="shared" si="18"/>
        <v>0</v>
      </c>
      <c r="X41" s="46">
        <f t="shared" si="5"/>
        <v>6.0178883935944651E-3</v>
      </c>
      <c r="Y41" s="54"/>
      <c r="Z41" s="41">
        <f t="shared" si="19"/>
        <v>16314.833165698705</v>
      </c>
      <c r="AA41" s="41">
        <f t="shared" si="20"/>
        <v>194.45083216866686</v>
      </c>
      <c r="AB41" s="41">
        <f t="shared" si="6"/>
        <v>10186.407469176627</v>
      </c>
      <c r="AC41" s="41">
        <f t="shared" si="7"/>
        <v>120.35776787188931</v>
      </c>
      <c r="AD41" s="54"/>
      <c r="AE41" s="41">
        <f t="shared" si="8"/>
        <v>0</v>
      </c>
      <c r="AF41" s="41"/>
      <c r="AG41" s="41">
        <f t="shared" si="9"/>
        <v>-0.15044720983986162</v>
      </c>
      <c r="AH41" s="41">
        <f t="shared" si="21"/>
        <v>-7409.3064296777566</v>
      </c>
      <c r="AI41" s="41">
        <f t="shared" si="22"/>
        <v>0</v>
      </c>
      <c r="AJ41" s="41">
        <f t="shared" si="10"/>
        <v>-7409.4568768875961</v>
      </c>
      <c r="AK41" s="41">
        <f t="shared" si="11"/>
        <v>6128.4256965220775</v>
      </c>
      <c r="AL41" s="41">
        <f t="shared" si="23"/>
        <v>660.37135991469495</v>
      </c>
      <c r="AM41" s="41">
        <f t="shared" si="12"/>
        <v>-620.65982045082364</v>
      </c>
      <c r="AN41" s="41">
        <f t="shared" si="13"/>
        <v>74.093064296777555</v>
      </c>
      <c r="AO41" s="41">
        <f t="shared" si="14"/>
        <v>-546.56675615404606</v>
      </c>
      <c r="AP41" s="45"/>
      <c r="AQ41" s="55"/>
      <c r="AR41" s="48"/>
      <c r="AS41" s="48"/>
      <c r="AT41" s="51">
        <f t="shared" si="24"/>
        <v>37</v>
      </c>
      <c r="AU41" s="49">
        <f t="shared" si="25"/>
        <v>9.7225416084333431E-3</v>
      </c>
      <c r="AV41" s="49">
        <f t="shared" si="26"/>
        <v>3.7046532148388785E-3</v>
      </c>
      <c r="AW41" s="50">
        <f xml:space="preserve"> IF(ISERROR(ROUND((1000*NPV($AT$1,$AV42:$AV$124)-$AW$1*($AU42+NPV($AT$1,$AU43:$AU$124)))/AU42,3)), 0, ROUND((1000*NPV($AT$1,$AV42:$AV$124)-$AW$1*($AU42+NPV($AT$1,$AU43:$AU$124)))/AU42,3))</f>
        <v>846.34400000000005</v>
      </c>
      <c r="AX41" s="50">
        <f>IF(ISERROR(ROUND(MAX(0,1000*NPV($AT$2,$AV42:$AV$124)-$AW$2*($AU42+NPV($AT$2,$AU43:$AU$124)))/AU42,3)), 0, ROUND(MAX(0,1000*NPV($AT$2,$AV42:$AV$124)-$AW$2*($AU42+NPV($AT$2,$AU43:$AU$124)))/AU42,3))</f>
        <v>799.221</v>
      </c>
    </row>
    <row r="42" spans="1:50" ht="15" x14ac:dyDescent="0.25">
      <c r="A42">
        <v>17</v>
      </c>
      <c r="B42">
        <v>3.4982282959372701E-4</v>
      </c>
      <c r="C42">
        <f t="shared" si="31"/>
        <v>3.2883345981810335E-4</v>
      </c>
      <c r="D42" s="60">
        <v>52</v>
      </c>
      <c r="E42">
        <v>1063653.9203006472</v>
      </c>
      <c r="F42" s="5">
        <v>34248.766076127882</v>
      </c>
      <c r="G42" s="8"/>
      <c r="H42" s="4"/>
      <c r="I42" s="51">
        <v>38</v>
      </c>
      <c r="J42" s="41"/>
      <c r="K42" s="41" t="str">
        <f t="shared" si="27"/>
        <v/>
      </c>
      <c r="L42" s="42">
        <f t="shared" si="28"/>
        <v>25</v>
      </c>
      <c r="M42" s="41">
        <f t="shared" si="29"/>
        <v>2000000</v>
      </c>
      <c r="N42" s="43">
        <f t="shared" si="1"/>
        <v>807.83799999999997</v>
      </c>
      <c r="O42" s="44">
        <f t="shared" si="2"/>
        <v>853.16899999999998</v>
      </c>
      <c r="P42" s="41">
        <f t="shared" si="3"/>
        <v>1615676</v>
      </c>
      <c r="Q42" s="41">
        <f t="shared" si="4"/>
        <v>1706338</v>
      </c>
      <c r="R42" s="44"/>
      <c r="S42" s="44">
        <f t="shared" si="15"/>
        <v>404.13897607312276</v>
      </c>
      <c r="T42" s="52">
        <f t="shared" si="30"/>
        <v>0</v>
      </c>
      <c r="U42" s="53">
        <f t="shared" si="16"/>
        <v>6.0178883935944651E-3</v>
      </c>
      <c r="V42" s="53">
        <f t="shared" si="17"/>
        <v>2.4320632535095969E-3</v>
      </c>
      <c r="W42" s="53">
        <f t="shared" si="18"/>
        <v>0</v>
      </c>
      <c r="X42" s="46">
        <f t="shared" si="5"/>
        <v>3.5858251400848681E-3</v>
      </c>
      <c r="Y42" s="54"/>
      <c r="Z42" s="41">
        <f t="shared" si="19"/>
        <v>10186.407469176627</v>
      </c>
      <c r="AA42" s="41">
        <f t="shared" si="20"/>
        <v>120.35776787188931</v>
      </c>
      <c r="AB42" s="41">
        <f t="shared" si="6"/>
        <v>6118.6296978821338</v>
      </c>
      <c r="AC42" s="41">
        <f t="shared" si="7"/>
        <v>71.716502801697359</v>
      </c>
      <c r="AD42" s="54"/>
      <c r="AE42" s="41">
        <f t="shared" si="8"/>
        <v>0</v>
      </c>
      <c r="AF42" s="41"/>
      <c r="AG42" s="41">
        <f t="shared" si="9"/>
        <v>-8.964562850212171E-2</v>
      </c>
      <c r="AH42" s="41">
        <f t="shared" si="21"/>
        <v>-4864.1265070191939</v>
      </c>
      <c r="AI42" s="41">
        <f t="shared" si="22"/>
        <v>0</v>
      </c>
      <c r="AJ42" s="41">
        <f t="shared" si="10"/>
        <v>-4864.2161526476957</v>
      </c>
      <c r="AK42" s="41">
        <f t="shared" si="11"/>
        <v>4067.7777712944935</v>
      </c>
      <c r="AL42" s="41">
        <f t="shared" si="23"/>
        <v>412.27060948194065</v>
      </c>
      <c r="AM42" s="41">
        <f t="shared" si="12"/>
        <v>-384.16777187126155</v>
      </c>
      <c r="AN42" s="41">
        <f t="shared" si="13"/>
        <v>48.641265070191949</v>
      </c>
      <c r="AO42" s="41">
        <f t="shared" si="14"/>
        <v>-335.52650680106962</v>
      </c>
      <c r="AP42" s="45"/>
      <c r="AQ42" s="55"/>
      <c r="AR42" s="48"/>
      <c r="AS42" s="48"/>
      <c r="AT42" s="51">
        <f t="shared" si="24"/>
        <v>38</v>
      </c>
      <c r="AU42" s="49">
        <f t="shared" si="25"/>
        <v>6.0178883935944651E-3</v>
      </c>
      <c r="AV42" s="49">
        <f t="shared" si="26"/>
        <v>2.4320632535095969E-3</v>
      </c>
      <c r="AW42" s="50">
        <f xml:space="preserve"> IF(ISERROR(ROUND((1000*NPV($AT$1,$AV43:$AV$124)-$AW$1*($AU43+NPV($AT$1,$AU44:$AU$124)))/AU43,3)), 0, ROUND((1000*NPV($AT$1,$AV43:$AV$124)-$AW$1*($AU43+NPV($AT$1,$AU44:$AU$124)))/AU43,3))</f>
        <v>853.16899999999998</v>
      </c>
      <c r="AX42" s="50">
        <f>IF(ISERROR(ROUND(MAX(0,1000*NPV($AT$2,$AV43:$AV$124)-$AW$2*($AU43+NPV($AT$2,$AU44:$AU$124)))/AU43,3)), 0, ROUND(MAX(0,1000*NPV($AT$2,$AV43:$AV$124)-$AW$2*($AU43+NPV($AT$2,$AU44:$AU$124)))/AU43,3))</f>
        <v>807.83799999999997</v>
      </c>
    </row>
    <row r="43" spans="1:50" ht="15" x14ac:dyDescent="0.25">
      <c r="A43">
        <v>18</v>
      </c>
      <c r="B43">
        <v>4.18396207694904E-4</v>
      </c>
      <c r="C43">
        <f t="shared" si="31"/>
        <v>3.9329243523320972E-4</v>
      </c>
      <c r="D43" s="60">
        <v>53</v>
      </c>
      <c r="E43">
        <v>1098873.8927910251</v>
      </c>
      <c r="F43" s="5">
        <v>35229.852641766425</v>
      </c>
      <c r="G43" s="8"/>
      <c r="H43" s="4"/>
      <c r="I43" s="51">
        <v>39</v>
      </c>
      <c r="J43" s="41"/>
      <c r="K43" s="41" t="str">
        <f t="shared" si="27"/>
        <v/>
      </c>
      <c r="L43" s="42">
        <f t="shared" si="28"/>
        <v>25</v>
      </c>
      <c r="M43" s="41">
        <f t="shared" si="29"/>
        <v>2000000</v>
      </c>
      <c r="N43" s="43">
        <f t="shared" si="1"/>
        <v>815.86900000000003</v>
      </c>
      <c r="O43" s="44">
        <f t="shared" si="2"/>
        <v>859.51199999999994</v>
      </c>
      <c r="P43" s="41">
        <f t="shared" si="3"/>
        <v>1631738</v>
      </c>
      <c r="Q43" s="41">
        <f t="shared" si="4"/>
        <v>1719024</v>
      </c>
      <c r="R43" s="44"/>
      <c r="S43" s="44">
        <f t="shared" si="15"/>
        <v>427.75978386856923</v>
      </c>
      <c r="T43" s="52">
        <f t="shared" si="30"/>
        <v>0</v>
      </c>
      <c r="U43" s="53">
        <f t="shared" si="16"/>
        <v>3.5858251400848681E-3</v>
      </c>
      <c r="V43" s="53">
        <f t="shared" si="17"/>
        <v>1.5338717869131852E-3</v>
      </c>
      <c r="W43" s="53">
        <f t="shared" si="18"/>
        <v>0</v>
      </c>
      <c r="X43" s="46">
        <f t="shared" si="5"/>
        <v>2.0519533531716829E-3</v>
      </c>
      <c r="Y43" s="54"/>
      <c r="Z43" s="41">
        <f t="shared" si="19"/>
        <v>6118.6296978821338</v>
      </c>
      <c r="AA43" s="41">
        <f t="shared" si="20"/>
        <v>71.716502801697359</v>
      </c>
      <c r="AB43" s="41">
        <f t="shared" si="6"/>
        <v>3527.3570609825988</v>
      </c>
      <c r="AC43" s="41">
        <f t="shared" si="7"/>
        <v>41.039067063433656</v>
      </c>
      <c r="AD43" s="54"/>
      <c r="AE43" s="41">
        <f t="shared" si="8"/>
        <v>0</v>
      </c>
      <c r="AF43" s="41"/>
      <c r="AG43" s="41">
        <f t="shared" si="9"/>
        <v>-5.1298833829292075E-2</v>
      </c>
      <c r="AH43" s="41">
        <f t="shared" si="21"/>
        <v>-3067.7435738263703</v>
      </c>
      <c r="AI43" s="41">
        <f t="shared" si="22"/>
        <v>0</v>
      </c>
      <c r="AJ43" s="41">
        <f t="shared" si="10"/>
        <v>-3067.7948726601994</v>
      </c>
      <c r="AK43" s="41">
        <f t="shared" si="11"/>
        <v>2591.272636899535</v>
      </c>
      <c r="AL43" s="41">
        <f t="shared" si="23"/>
        <v>247.61384802735324</v>
      </c>
      <c r="AM43" s="41">
        <f t="shared" si="12"/>
        <v>-228.9083877333112</v>
      </c>
      <c r="AN43" s="41">
        <f t="shared" si="13"/>
        <v>30.677435738263704</v>
      </c>
      <c r="AO43" s="41">
        <f t="shared" si="14"/>
        <v>-198.23095199504749</v>
      </c>
      <c r="AP43" s="45"/>
      <c r="AQ43" s="55"/>
      <c r="AR43" s="48"/>
      <c r="AS43" s="48"/>
      <c r="AT43" s="51">
        <f t="shared" si="24"/>
        <v>39</v>
      </c>
      <c r="AU43" s="49">
        <f t="shared" si="25"/>
        <v>3.5858251400848681E-3</v>
      </c>
      <c r="AV43" s="49">
        <f t="shared" si="26"/>
        <v>1.5338717869131852E-3</v>
      </c>
      <c r="AW43" s="50">
        <f xml:space="preserve"> IF(ISERROR(ROUND((1000*NPV($AT$1,$AV44:$AV$124)-$AW$1*($AU44+NPV($AT$1,$AU45:$AU$124)))/AU44,3)), 0, ROUND((1000*NPV($AT$1,$AV44:$AV$124)-$AW$1*($AU44+NPV($AT$1,$AU45:$AU$124)))/AU44,3))</f>
        <v>859.51199999999994</v>
      </c>
      <c r="AX43" s="50">
        <f>IF(ISERROR(ROUND(MAX(0,1000*NPV($AT$2,$AV44:$AV$124)-$AW$2*($AU44+NPV($AT$2,$AU45:$AU$124)))/AU44,3)), 0, ROUND(MAX(0,1000*NPV($AT$2,$AV44:$AV$124)-$AW$2*($AU44+NPV($AT$2,$AU45:$AU$124)))/AU44,3))</f>
        <v>815.86900000000003</v>
      </c>
    </row>
    <row r="44" spans="1:50" ht="15" x14ac:dyDescent="0.25">
      <c r="A44">
        <v>19</v>
      </c>
      <c r="B44">
        <v>3.7845001735259398E-4</v>
      </c>
      <c r="C44">
        <f t="shared" si="31"/>
        <v>3.5574301631143831E-4</v>
      </c>
      <c r="D44" s="60">
        <v>54</v>
      </c>
      <c r="E44">
        <v>1134914.1856285909</v>
      </c>
      <c r="F44" s="5">
        <v>36223.234741942957</v>
      </c>
      <c r="G44" s="8"/>
      <c r="H44" s="4"/>
      <c r="I44" s="51">
        <v>40</v>
      </c>
      <c r="J44" s="41"/>
      <c r="K44" s="41" t="str">
        <f t="shared" si="27"/>
        <v/>
      </c>
      <c r="L44" s="42">
        <f t="shared" si="28"/>
        <v>25</v>
      </c>
      <c r="M44" s="41">
        <f t="shared" si="29"/>
        <v>2000000</v>
      </c>
      <c r="N44" s="43">
        <f t="shared" si="1"/>
        <v>823.33500000000004</v>
      </c>
      <c r="O44" s="44">
        <f t="shared" si="2"/>
        <v>865.39499999999998</v>
      </c>
      <c r="P44" s="41">
        <f t="shared" si="3"/>
        <v>1646670</v>
      </c>
      <c r="Q44" s="41">
        <f t="shared" si="4"/>
        <v>1730790</v>
      </c>
      <c r="R44" s="44"/>
      <c r="S44" s="44">
        <f t="shared" si="15"/>
        <v>451.75897480186103</v>
      </c>
      <c r="T44" s="52">
        <f t="shared" si="30"/>
        <v>0</v>
      </c>
      <c r="U44" s="53">
        <f t="shared" si="16"/>
        <v>2.0519533531716829E-3</v>
      </c>
      <c r="V44" s="53">
        <f t="shared" si="17"/>
        <v>9.2698834317008047E-4</v>
      </c>
      <c r="W44" s="53">
        <f t="shared" si="18"/>
        <v>0</v>
      </c>
      <c r="X44" s="46">
        <f t="shared" si="5"/>
        <v>1.1249650100016023E-3</v>
      </c>
      <c r="Y44" s="54"/>
      <c r="Z44" s="41">
        <f t="shared" si="19"/>
        <v>3527.3570609825988</v>
      </c>
      <c r="AA44" s="41">
        <f t="shared" si="20"/>
        <v>41.039067063433656</v>
      </c>
      <c r="AB44" s="41">
        <f t="shared" si="6"/>
        <v>1947.0781896606732</v>
      </c>
      <c r="AC44" s="41">
        <f t="shared" si="7"/>
        <v>22.499300200032046</v>
      </c>
      <c r="AD44" s="54"/>
      <c r="AE44" s="41">
        <f t="shared" si="8"/>
        <v>0</v>
      </c>
      <c r="AF44" s="41"/>
      <c r="AG44" s="41">
        <f t="shared" si="9"/>
        <v>-2.8124125250040058E-2</v>
      </c>
      <c r="AH44" s="41">
        <f t="shared" si="21"/>
        <v>-1853.976686340161</v>
      </c>
      <c r="AI44" s="41">
        <f t="shared" si="22"/>
        <v>0</v>
      </c>
      <c r="AJ44" s="41">
        <f t="shared" si="10"/>
        <v>-1854.0048104654111</v>
      </c>
      <c r="AK44" s="41">
        <f t="shared" si="11"/>
        <v>1580.2788713219256</v>
      </c>
      <c r="AL44" s="41">
        <f t="shared" si="23"/>
        <v>142.73584512184129</v>
      </c>
      <c r="AM44" s="41">
        <f t="shared" si="12"/>
        <v>-130.99009402164415</v>
      </c>
      <c r="AN44" s="41">
        <f t="shared" si="13"/>
        <v>18.53976686340161</v>
      </c>
      <c r="AO44" s="41">
        <f t="shared" si="14"/>
        <v>-112.45032715824254</v>
      </c>
      <c r="AP44" s="45"/>
      <c r="AQ44" s="55"/>
      <c r="AR44" s="48"/>
      <c r="AS44" s="48"/>
      <c r="AT44" s="51">
        <f t="shared" si="24"/>
        <v>40</v>
      </c>
      <c r="AU44" s="49">
        <f t="shared" si="25"/>
        <v>2.0519533531716829E-3</v>
      </c>
      <c r="AV44" s="49">
        <f t="shared" si="26"/>
        <v>9.2698834317008047E-4</v>
      </c>
      <c r="AW44" s="50">
        <f xml:space="preserve"> IF(ISERROR(ROUND((1000*NPV($AT$1,$AV45:$AV$124)-$AW$1*($AU45+NPV($AT$1,$AU46:$AU$124)))/AU45,3)), 0, ROUND((1000*NPV($AT$1,$AV45:$AV$124)-$AW$1*($AU45+NPV($AT$1,$AU46:$AU$124)))/AU45,3))</f>
        <v>865.39499999999998</v>
      </c>
      <c r="AX44" s="50">
        <f>IF(ISERROR(ROUND(MAX(0,1000*NPV($AT$2,$AV45:$AV$124)-$AW$2*($AU45+NPV($AT$2,$AU46:$AU$124)))/AU45,3)), 0, ROUND(MAX(0,1000*NPV($AT$2,$AV45:$AV$124)-$AW$2*($AU45+NPV($AT$2,$AU46:$AU$124)))/AU45,3))</f>
        <v>823.33500000000004</v>
      </c>
    </row>
    <row r="45" spans="1:50" ht="15" x14ac:dyDescent="0.25">
      <c r="A45">
        <v>20</v>
      </c>
      <c r="B45">
        <v>4.1051397874658502E-4</v>
      </c>
      <c r="C45">
        <f t="shared" si="31"/>
        <v>3.858831400217899E-4</v>
      </c>
      <c r="D45" s="60">
        <v>55</v>
      </c>
      <c r="E45">
        <v>1171771.6530007387</v>
      </c>
      <c r="F45" s="5">
        <v>37227.85764544073</v>
      </c>
      <c r="G45" s="8"/>
      <c r="H45" s="4"/>
      <c r="I45" s="51">
        <v>41</v>
      </c>
      <c r="J45" s="41"/>
      <c r="K45" s="41" t="str">
        <f t="shared" si="27"/>
        <v/>
      </c>
      <c r="L45" s="42">
        <f t="shared" si="28"/>
        <v>25</v>
      </c>
      <c r="M45" s="41">
        <f t="shared" si="29"/>
        <v>2000000</v>
      </c>
      <c r="N45" s="43">
        <f t="shared" si="1"/>
        <v>830.274</v>
      </c>
      <c r="O45" s="44">
        <f t="shared" si="2"/>
        <v>870.84900000000005</v>
      </c>
      <c r="P45" s="41">
        <f t="shared" si="3"/>
        <v>1660548</v>
      </c>
      <c r="Q45" s="41">
        <f t="shared" si="4"/>
        <v>1741698</v>
      </c>
      <c r="R45" s="44"/>
      <c r="S45" s="44">
        <f t="shared" si="15"/>
        <v>475.97918868707012</v>
      </c>
      <c r="T45" s="52">
        <f t="shared" si="30"/>
        <v>0</v>
      </c>
      <c r="U45" s="53">
        <f t="shared" si="16"/>
        <v>1.1249650100016023E-3</v>
      </c>
      <c r="V45" s="53">
        <f t="shared" si="17"/>
        <v>5.3545993276190435E-4</v>
      </c>
      <c r="W45" s="53">
        <f t="shared" si="18"/>
        <v>0</v>
      </c>
      <c r="X45" s="46">
        <f t="shared" si="5"/>
        <v>5.8950507723969797E-4</v>
      </c>
      <c r="Y45" s="54"/>
      <c r="Z45" s="41">
        <f t="shared" si="19"/>
        <v>1947.0781896606732</v>
      </c>
      <c r="AA45" s="41">
        <f t="shared" si="20"/>
        <v>22.499300200032046</v>
      </c>
      <c r="AB45" s="41">
        <f t="shared" si="6"/>
        <v>1026.7398140182274</v>
      </c>
      <c r="AC45" s="41">
        <f t="shared" si="7"/>
        <v>11.790101544793959</v>
      </c>
      <c r="AD45" s="54"/>
      <c r="AE45" s="41">
        <f t="shared" si="8"/>
        <v>0</v>
      </c>
      <c r="AF45" s="41"/>
      <c r="AG45" s="41">
        <f t="shared" si="9"/>
        <v>-1.473762693099245E-2</v>
      </c>
      <c r="AH45" s="41">
        <f t="shared" si="21"/>
        <v>-1070.9198655238088</v>
      </c>
      <c r="AI45" s="41">
        <f t="shared" si="22"/>
        <v>0</v>
      </c>
      <c r="AJ45" s="41">
        <f t="shared" si="10"/>
        <v>-1070.9346031507398</v>
      </c>
      <c r="AK45" s="41">
        <f t="shared" si="11"/>
        <v>920.33837564244573</v>
      </c>
      <c r="AL45" s="41">
        <f t="shared" si="23"/>
        <v>78.783099594428208</v>
      </c>
      <c r="AM45" s="41">
        <f t="shared" si="12"/>
        <v>-71.81312791386587</v>
      </c>
      <c r="AN45" s="41">
        <f t="shared" si="13"/>
        <v>10.709198655238087</v>
      </c>
      <c r="AO45" s="41">
        <f t="shared" si="14"/>
        <v>-61.103929258627787</v>
      </c>
      <c r="AP45" s="45"/>
      <c r="AQ45" s="55"/>
      <c r="AR45" s="48"/>
      <c r="AS45" s="48"/>
      <c r="AT45" s="51">
        <f t="shared" si="24"/>
        <v>41</v>
      </c>
      <c r="AU45" s="49">
        <f t="shared" si="25"/>
        <v>1.1249650100016023E-3</v>
      </c>
      <c r="AV45" s="49">
        <f t="shared" si="26"/>
        <v>5.3545993276190435E-4</v>
      </c>
      <c r="AW45" s="50">
        <f xml:space="preserve"> IF(ISERROR(ROUND((1000*NPV($AT$1,$AV46:$AV$124)-$AW$1*($AU46+NPV($AT$1,$AU47:$AU$124)))/AU46,3)), 0, ROUND((1000*NPV($AT$1,$AV46:$AV$124)-$AW$1*($AU46+NPV($AT$1,$AU47:$AU$124)))/AU46,3))</f>
        <v>870.84900000000005</v>
      </c>
      <c r="AX45" s="50">
        <f>IF(ISERROR(ROUND(MAX(0,1000*NPV($AT$2,$AV46:$AV$124)-$AW$2*($AU46+NPV($AT$2,$AU47:$AU$124)))/AU46,3)), 0, ROUND(MAX(0,1000*NPV($AT$2,$AV46:$AV$124)-$AW$2*($AU46+NPV($AT$2,$AU47:$AU$124)))/AU46,3))</f>
        <v>830.274</v>
      </c>
    </row>
    <row r="46" spans="1:50" ht="15" x14ac:dyDescent="0.25">
      <c r="A46">
        <v>21</v>
      </c>
      <c r="B46">
        <v>4.4304895383962E-4</v>
      </c>
      <c r="C46">
        <f t="shared" si="31"/>
        <v>4.1646601660924278E-4</v>
      </c>
      <c r="D46" s="60">
        <v>56</v>
      </c>
      <c r="E46">
        <v>1209418.8824862109</v>
      </c>
      <c r="F46" s="5">
        <v>38241.632187603507</v>
      </c>
      <c r="G46" s="8"/>
      <c r="H46" s="4"/>
      <c r="I46" s="51">
        <v>42</v>
      </c>
      <c r="J46" s="41"/>
      <c r="K46" s="41" t="str">
        <f t="shared" si="27"/>
        <v/>
      </c>
      <c r="L46" s="42">
        <f t="shared" si="28"/>
        <v>25</v>
      </c>
      <c r="M46" s="41">
        <f t="shared" si="29"/>
        <v>2000000</v>
      </c>
      <c r="N46" s="43">
        <f t="shared" si="1"/>
        <v>836.74199999999996</v>
      </c>
      <c r="O46" s="44">
        <f t="shared" si="2"/>
        <v>875.923</v>
      </c>
      <c r="P46" s="41">
        <f t="shared" si="3"/>
        <v>1673484</v>
      </c>
      <c r="Q46" s="41">
        <f t="shared" si="4"/>
        <v>1751846</v>
      </c>
      <c r="R46" s="44"/>
      <c r="S46" s="44">
        <f t="shared" si="15"/>
        <v>500.2637339523385</v>
      </c>
      <c r="T46" s="52">
        <f t="shared" si="30"/>
        <v>0</v>
      </c>
      <c r="U46" s="53">
        <f t="shared" si="16"/>
        <v>5.8950507723969797E-4</v>
      </c>
      <c r="V46" s="53">
        <f t="shared" si="17"/>
        <v>2.94908011123793E-4</v>
      </c>
      <c r="W46" s="53">
        <f t="shared" si="18"/>
        <v>0</v>
      </c>
      <c r="X46" s="46">
        <f t="shared" si="5"/>
        <v>2.9459706611590497E-4</v>
      </c>
      <c r="Y46" s="54"/>
      <c r="Z46" s="41">
        <f t="shared" si="19"/>
        <v>1026.7398140182274</v>
      </c>
      <c r="AA46" s="41">
        <f t="shared" si="20"/>
        <v>11.790101544793959</v>
      </c>
      <c r="AB46" s="41">
        <f t="shared" si="6"/>
        <v>516.08869188688368</v>
      </c>
      <c r="AC46" s="41">
        <f t="shared" si="7"/>
        <v>5.8919413223180994</v>
      </c>
      <c r="AD46" s="54"/>
      <c r="AE46" s="41">
        <f t="shared" si="8"/>
        <v>0</v>
      </c>
      <c r="AF46" s="41"/>
      <c r="AG46" s="41">
        <f t="shared" si="9"/>
        <v>-7.3649266528976239E-3</v>
      </c>
      <c r="AH46" s="41">
        <f t="shared" si="21"/>
        <v>-589.81602224758603</v>
      </c>
      <c r="AI46" s="41">
        <f t="shared" si="22"/>
        <v>0</v>
      </c>
      <c r="AJ46" s="41">
        <f t="shared" si="10"/>
        <v>-589.82338717423897</v>
      </c>
      <c r="AK46" s="41">
        <f t="shared" si="11"/>
        <v>510.65112213134375</v>
      </c>
      <c r="AL46" s="41">
        <f t="shared" si="23"/>
        <v>41.541196622520857</v>
      </c>
      <c r="AM46" s="41">
        <f t="shared" si="12"/>
        <v>-37.631068420374362</v>
      </c>
      <c r="AN46" s="41">
        <f t="shared" si="13"/>
        <v>5.8981602224758598</v>
      </c>
      <c r="AO46" s="41">
        <f t="shared" si="14"/>
        <v>-31.732908197898503</v>
      </c>
      <c r="AP46" s="45"/>
      <c r="AQ46" s="55"/>
      <c r="AR46" s="48"/>
      <c r="AS46" s="48"/>
      <c r="AT46" s="51">
        <f t="shared" si="24"/>
        <v>42</v>
      </c>
      <c r="AU46" s="49">
        <f t="shared" si="25"/>
        <v>5.8950507723969797E-4</v>
      </c>
      <c r="AV46" s="49">
        <f t="shared" si="26"/>
        <v>2.94908011123793E-4</v>
      </c>
      <c r="AW46" s="50">
        <f xml:space="preserve"> IF(ISERROR(ROUND((1000*NPV($AT$1,$AV47:$AV$124)-$AW$1*($AU47+NPV($AT$1,$AU48:$AU$124)))/AU47,3)), 0, ROUND((1000*NPV($AT$1,$AV47:$AV$124)-$AW$1*($AU47+NPV($AT$1,$AU48:$AU$124)))/AU47,3))</f>
        <v>875.923</v>
      </c>
      <c r="AX46" s="50">
        <f>IF(ISERROR(ROUND(MAX(0,1000*NPV($AT$2,$AV47:$AV$124)-$AW$2*($AU47+NPV($AT$2,$AU48:$AU$124)))/AU47,3)), 0, ROUND(MAX(0,1000*NPV($AT$2,$AV47:$AV$124)-$AW$2*($AU47+NPV($AT$2,$AU48:$AU$124)))/AU47,3))</f>
        <v>836.74199999999996</v>
      </c>
    </row>
    <row r="47" spans="1:50" ht="15" x14ac:dyDescent="0.25">
      <c r="A47">
        <v>22</v>
      </c>
      <c r="B47">
        <v>4.6531454247367198E-4</v>
      </c>
      <c r="C47">
        <f t="shared" si="31"/>
        <v>4.3739566992525165E-4</v>
      </c>
      <c r="D47" s="60">
        <v>57</v>
      </c>
      <c r="E47">
        <v>1248214.4851013173</v>
      </c>
      <c r="F47" s="5">
        <v>39282.476034966414</v>
      </c>
      <c r="G47" s="8"/>
      <c r="H47" s="4"/>
      <c r="I47" s="51">
        <v>43</v>
      </c>
      <c r="J47" s="41"/>
      <c r="K47" s="41" t="str">
        <f t="shared" si="27"/>
        <v/>
      </c>
      <c r="L47" s="42">
        <f t="shared" si="28"/>
        <v>25</v>
      </c>
      <c r="M47" s="41">
        <f t="shared" si="29"/>
        <v>2000000</v>
      </c>
      <c r="N47" s="43">
        <f t="shared" si="1"/>
        <v>842.79700000000003</v>
      </c>
      <c r="O47" s="44">
        <f t="shared" si="2"/>
        <v>880.66300000000001</v>
      </c>
      <c r="P47" s="41">
        <f t="shared" si="3"/>
        <v>1685594</v>
      </c>
      <c r="Q47" s="41">
        <f t="shared" si="4"/>
        <v>1761326</v>
      </c>
      <c r="R47" s="44"/>
      <c r="S47" s="44">
        <f t="shared" si="15"/>
        <v>524.63444634809446</v>
      </c>
      <c r="T47" s="52">
        <f t="shared" si="30"/>
        <v>0</v>
      </c>
      <c r="U47" s="53">
        <f t="shared" si="16"/>
        <v>2.9459706611590497E-4</v>
      </c>
      <c r="V47" s="53">
        <f t="shared" si="17"/>
        <v>1.5455576867749079E-4</v>
      </c>
      <c r="W47" s="53">
        <f t="shared" si="18"/>
        <v>0</v>
      </c>
      <c r="X47" s="46">
        <f t="shared" si="5"/>
        <v>1.4004129743841419E-4</v>
      </c>
      <c r="Y47" s="54"/>
      <c r="Z47" s="41">
        <f t="shared" si="19"/>
        <v>516.08869188688368</v>
      </c>
      <c r="AA47" s="41">
        <f t="shared" si="20"/>
        <v>5.8919413223180994</v>
      </c>
      <c r="AB47" s="41">
        <f t="shared" si="6"/>
        <v>246.65837825201231</v>
      </c>
      <c r="AC47" s="41">
        <f t="shared" si="7"/>
        <v>2.8008259487682836</v>
      </c>
      <c r="AD47" s="54"/>
      <c r="AE47" s="41">
        <f t="shared" si="8"/>
        <v>0</v>
      </c>
      <c r="AF47" s="41"/>
      <c r="AG47" s="41">
        <f t="shared" si="9"/>
        <v>-3.5010324359603545E-3</v>
      </c>
      <c r="AH47" s="41">
        <f t="shared" si="21"/>
        <v>-309.11153735498158</v>
      </c>
      <c r="AI47" s="41">
        <f t="shared" si="22"/>
        <v>0</v>
      </c>
      <c r="AJ47" s="41">
        <f t="shared" si="10"/>
        <v>-309.11503838741754</v>
      </c>
      <c r="AK47" s="41">
        <f t="shared" si="11"/>
        <v>269.43031363487137</v>
      </c>
      <c r="AL47" s="41">
        <f t="shared" si="23"/>
        <v>20.879225328368072</v>
      </c>
      <c r="AM47" s="41">
        <f t="shared" si="12"/>
        <v>-18.805499424178102</v>
      </c>
      <c r="AN47" s="41">
        <f t="shared" si="13"/>
        <v>3.0911153735498158</v>
      </c>
      <c r="AO47" s="41">
        <f t="shared" si="14"/>
        <v>-15.714384050628286</v>
      </c>
      <c r="AP47" s="45"/>
      <c r="AQ47" s="55"/>
      <c r="AR47" s="48"/>
      <c r="AS47" s="48"/>
      <c r="AT47" s="51">
        <f t="shared" si="24"/>
        <v>43</v>
      </c>
      <c r="AU47" s="49">
        <f t="shared" si="25"/>
        <v>2.9459706611590497E-4</v>
      </c>
      <c r="AV47" s="49">
        <f t="shared" si="26"/>
        <v>1.5455576867749079E-4</v>
      </c>
      <c r="AW47" s="50">
        <f xml:space="preserve"> IF(ISERROR(ROUND((1000*NPV($AT$1,$AV48:$AV$124)-$AW$1*($AU48+NPV($AT$1,$AU49:$AU$124)))/AU48,3)), 0, ROUND((1000*NPV($AT$1,$AV48:$AV$124)-$AW$1*($AU48+NPV($AT$1,$AU49:$AU$124)))/AU48,3))</f>
        <v>880.66300000000001</v>
      </c>
      <c r="AX47" s="50">
        <f>IF(ISERROR(ROUND(MAX(0,1000*NPV($AT$2,$AV48:$AV$124)-$AW$2*($AU48+NPV($AT$2,$AU49:$AU$124)))/AU48,3)), 0, ROUND(MAX(0,1000*NPV($AT$2,$AV48:$AV$124)-$AW$2*($AU48+NPV($AT$2,$AU49:$AU$124)))/AU48,3))</f>
        <v>842.79700000000003</v>
      </c>
    </row>
    <row r="48" spans="1:50" ht="15" x14ac:dyDescent="0.25">
      <c r="A48">
        <v>23</v>
      </c>
      <c r="B48">
        <v>4.8291631833752302E-4</v>
      </c>
      <c r="C48">
        <f t="shared" si="31"/>
        <v>4.539413392372716E-4</v>
      </c>
      <c r="D48" s="60">
        <v>58</v>
      </c>
      <c r="E48">
        <v>1287851.5070789352</v>
      </c>
      <c r="F48" s="5">
        <v>40333.586867476813</v>
      </c>
      <c r="G48" s="8"/>
      <c r="H48" s="4"/>
      <c r="I48" s="51">
        <v>44</v>
      </c>
      <c r="J48" s="41"/>
      <c r="K48" s="41" t="str">
        <f t="shared" si="27"/>
        <v/>
      </c>
      <c r="L48" s="42">
        <f t="shared" si="28"/>
        <v>25</v>
      </c>
      <c r="M48" s="41">
        <f t="shared" si="29"/>
        <v>2000000</v>
      </c>
      <c r="N48" s="43">
        <f t="shared" si="1"/>
        <v>848.49</v>
      </c>
      <c r="O48" s="44">
        <f t="shared" si="2"/>
        <v>885.11099999999999</v>
      </c>
      <c r="P48" s="41">
        <f t="shared" si="3"/>
        <v>1696980</v>
      </c>
      <c r="Q48" s="41">
        <f t="shared" si="4"/>
        <v>1770222</v>
      </c>
      <c r="R48" s="44"/>
      <c r="S48" s="44">
        <f t="shared" si="15"/>
        <v>549.13405584842224</v>
      </c>
      <c r="T48" s="52">
        <f t="shared" si="30"/>
        <v>0</v>
      </c>
      <c r="U48" s="53">
        <f t="shared" si="16"/>
        <v>1.4004129743841419E-4</v>
      </c>
      <c r="V48" s="53">
        <f t="shared" si="17"/>
        <v>7.6901445648631646E-5</v>
      </c>
      <c r="W48" s="53">
        <f t="shared" si="18"/>
        <v>0</v>
      </c>
      <c r="X48" s="46">
        <f t="shared" si="5"/>
        <v>6.313985178978254E-5</v>
      </c>
      <c r="Y48" s="54"/>
      <c r="Z48" s="41">
        <f t="shared" si="19"/>
        <v>246.65837825201231</v>
      </c>
      <c r="AA48" s="41">
        <f t="shared" si="20"/>
        <v>2.8008259487682836</v>
      </c>
      <c r="AB48" s="41">
        <f t="shared" si="6"/>
        <v>111.77155471501243</v>
      </c>
      <c r="AC48" s="41">
        <f t="shared" si="7"/>
        <v>1.2627970357956508</v>
      </c>
      <c r="AD48" s="54"/>
      <c r="AE48" s="41">
        <f t="shared" si="8"/>
        <v>0</v>
      </c>
      <c r="AF48" s="41"/>
      <c r="AG48" s="41">
        <f t="shared" si="9"/>
        <v>-1.5784962947445636E-3</v>
      </c>
      <c r="AH48" s="41">
        <f t="shared" si="21"/>
        <v>-153.8028912972633</v>
      </c>
      <c r="AI48" s="41">
        <f t="shared" si="22"/>
        <v>0</v>
      </c>
      <c r="AJ48" s="41">
        <f t="shared" si="10"/>
        <v>-153.80446979355804</v>
      </c>
      <c r="AK48" s="41">
        <f t="shared" si="11"/>
        <v>134.88682353699988</v>
      </c>
      <c r="AL48" s="41">
        <f t="shared" si="23"/>
        <v>9.9783681680312242</v>
      </c>
      <c r="AM48" s="41">
        <f t="shared" si="12"/>
        <v>-8.9392780885269332</v>
      </c>
      <c r="AN48" s="41">
        <f t="shared" si="13"/>
        <v>1.5380289129726328</v>
      </c>
      <c r="AO48" s="41">
        <f t="shared" si="14"/>
        <v>-7.4012491755543</v>
      </c>
      <c r="AP48" s="45"/>
      <c r="AQ48" s="55"/>
      <c r="AR48" s="48"/>
      <c r="AS48" s="48"/>
      <c r="AT48" s="51">
        <f t="shared" si="24"/>
        <v>44</v>
      </c>
      <c r="AU48" s="49">
        <f t="shared" si="25"/>
        <v>1.4004129743841419E-4</v>
      </c>
      <c r="AV48" s="49">
        <f t="shared" si="26"/>
        <v>7.6901445648631646E-5</v>
      </c>
      <c r="AW48" s="50">
        <f xml:space="preserve"> IF(ISERROR(ROUND((1000*NPV($AT$1,$AV49:$AV$124)-$AW$1*($AU49+NPV($AT$1,$AU50:$AU$124)))/AU49,3)), 0, ROUND((1000*NPV($AT$1,$AV49:$AV$124)-$AW$1*($AU49+NPV($AT$1,$AU50:$AU$124)))/AU49,3))</f>
        <v>885.11099999999999</v>
      </c>
      <c r="AX48" s="50">
        <f>IF(ISERROR(ROUND(MAX(0,1000*NPV($AT$2,$AV49:$AV$124)-$AW$2*($AU49+NPV($AT$2,$AU50:$AU$124)))/AU49,3)), 0, ROUND(MAX(0,1000*NPV($AT$2,$AV49:$AV$124)-$AW$2*($AU49+NPV($AT$2,$AU50:$AU$124)))/AU49,3))</f>
        <v>848.49</v>
      </c>
    </row>
    <row r="49" spans="1:50" ht="15" x14ac:dyDescent="0.25">
      <c r="A49">
        <v>24</v>
      </c>
      <c r="B49">
        <v>4.8479989207572699E-4</v>
      </c>
      <c r="C49">
        <f t="shared" si="31"/>
        <v>4.5571189855118336E-4</v>
      </c>
      <c r="D49" s="60">
        <v>59</v>
      </c>
      <c r="E49">
        <v>1328350.0310148369</v>
      </c>
      <c r="F49" s="5">
        <v>41395.238258893369</v>
      </c>
      <c r="G49" s="8"/>
      <c r="I49" s="51">
        <v>45</v>
      </c>
      <c r="J49" s="41"/>
      <c r="K49" s="41" t="str">
        <f t="shared" si="27"/>
        <v/>
      </c>
      <c r="L49" s="42">
        <f t="shared" si="28"/>
        <v>25</v>
      </c>
      <c r="M49" s="41">
        <f t="shared" si="29"/>
        <v>2000000</v>
      </c>
      <c r="N49" s="43">
        <f t="shared" si="1"/>
        <v>853.94200000000001</v>
      </c>
      <c r="O49" s="44">
        <f t="shared" si="2"/>
        <v>889.36400000000003</v>
      </c>
      <c r="P49" s="41">
        <f t="shared" si="3"/>
        <v>1707884</v>
      </c>
      <c r="Q49" s="41">
        <f t="shared" si="4"/>
        <v>1778728</v>
      </c>
      <c r="R49" s="44"/>
      <c r="S49" s="44">
        <f t="shared" si="15"/>
        <v>573.61846386137688</v>
      </c>
      <c r="T49" s="52">
        <f t="shared" si="30"/>
        <v>0</v>
      </c>
      <c r="U49" s="53">
        <f t="shared" si="16"/>
        <v>6.313985178978254E-5</v>
      </c>
      <c r="V49" s="53">
        <f t="shared" si="17"/>
        <v>3.6218184792090068E-5</v>
      </c>
      <c r="W49" s="53">
        <f t="shared" si="18"/>
        <v>0</v>
      </c>
      <c r="X49" s="46">
        <f t="shared" si="5"/>
        <v>2.6921666997692472E-5</v>
      </c>
      <c r="Y49" s="54"/>
      <c r="Z49" s="41">
        <f t="shared" si="19"/>
        <v>111.77155471501243</v>
      </c>
      <c r="AA49" s="41">
        <f t="shared" si="20"/>
        <v>1.2627970357956508</v>
      </c>
      <c r="AB49" s="41">
        <f t="shared" si="6"/>
        <v>47.886322895471537</v>
      </c>
      <c r="AC49" s="41">
        <f t="shared" si="7"/>
        <v>0.53843333995384945</v>
      </c>
      <c r="AD49" s="54"/>
      <c r="AE49" s="41">
        <f t="shared" si="8"/>
        <v>0</v>
      </c>
      <c r="AF49" s="41"/>
      <c r="AG49" s="41">
        <f t="shared" si="9"/>
        <v>-6.7304167494231177E-4</v>
      </c>
      <c r="AH49" s="41">
        <f t="shared" si="21"/>
        <v>-72.436369584180142</v>
      </c>
      <c r="AI49" s="41">
        <f t="shared" si="22"/>
        <v>0</v>
      </c>
      <c r="AJ49" s="41">
        <f t="shared" si="10"/>
        <v>-72.437042625855085</v>
      </c>
      <c r="AK49" s="41">
        <f t="shared" si="11"/>
        <v>63.885231819540891</v>
      </c>
      <c r="AL49" s="41">
        <f t="shared" si="23"/>
        <v>4.5213740700323237</v>
      </c>
      <c r="AM49" s="41">
        <f t="shared" si="12"/>
        <v>-4.03043673628187</v>
      </c>
      <c r="AN49" s="41">
        <f t="shared" si="13"/>
        <v>0.72436369584180138</v>
      </c>
      <c r="AO49" s="41">
        <f t="shared" si="14"/>
        <v>-3.3060730404400687</v>
      </c>
      <c r="AP49" s="45"/>
      <c r="AQ49" s="45"/>
      <c r="AR49" s="48"/>
      <c r="AS49" s="48"/>
      <c r="AT49" s="51">
        <f t="shared" si="24"/>
        <v>45</v>
      </c>
      <c r="AU49" s="49">
        <f t="shared" si="25"/>
        <v>6.313985178978254E-5</v>
      </c>
      <c r="AV49" s="49">
        <f t="shared" si="26"/>
        <v>3.6218184792090068E-5</v>
      </c>
      <c r="AW49" s="50">
        <f xml:space="preserve"> IF(ISERROR(ROUND((1000*NPV($AT$1,$AV50:$AV$124)-$AW$1*($AU50+NPV($AT$1,$AU51:$AU$124)))/AU50,3)), 0, ROUND((1000*NPV($AT$1,$AV50:$AV$124)-$AW$1*($AU50+NPV($AT$1,$AU51:$AU$124)))/AU50,3))</f>
        <v>889.36400000000003</v>
      </c>
      <c r="AX49" s="50">
        <f>IF(ISERROR(ROUND(MAX(0,1000*NPV($AT$2,$AV50:$AV$124)-$AW$2*($AU50+NPV($AT$2,$AU51:$AU$124)))/AU50,3)), 0, ROUND(MAX(0,1000*NPV($AT$2,$AV50:$AV$124)-$AW$2*($AU50+NPV($AT$2,$AU51:$AU$124)))/AU50,3))</f>
        <v>853.94200000000001</v>
      </c>
    </row>
    <row r="50" spans="1:50" ht="15" x14ac:dyDescent="0.25">
      <c r="A50">
        <v>25</v>
      </c>
      <c r="B50">
        <v>4.87311324384732E-4</v>
      </c>
      <c r="C50">
        <f t="shared" si="31"/>
        <v>4.5807264492164806E-4</v>
      </c>
      <c r="D50" s="60">
        <v>60</v>
      </c>
      <c r="E50">
        <v>1369708.9689356573</v>
      </c>
      <c r="F50" s="5">
        <v>42466.813306357944</v>
      </c>
      <c r="G50" s="8"/>
      <c r="I50" s="51">
        <v>46</v>
      </c>
      <c r="J50" s="41"/>
      <c r="K50" s="41" t="str">
        <f t="shared" si="27"/>
        <v/>
      </c>
      <c r="L50" s="42">
        <f t="shared" si="28"/>
        <v>25</v>
      </c>
      <c r="M50" s="41">
        <f t="shared" si="29"/>
        <v>2000000</v>
      </c>
      <c r="N50" s="43">
        <f t="shared" si="1"/>
        <v>859.48</v>
      </c>
      <c r="O50" s="44">
        <f t="shared" si="2"/>
        <v>893.67100000000005</v>
      </c>
      <c r="P50" s="41">
        <f t="shared" si="3"/>
        <v>1718960</v>
      </c>
      <c r="Q50" s="41">
        <f t="shared" si="4"/>
        <v>1787342</v>
      </c>
      <c r="R50" s="44"/>
      <c r="S50" s="44">
        <f t="shared" si="15"/>
        <v>597.94448337528877</v>
      </c>
      <c r="T50" s="52">
        <f t="shared" si="30"/>
        <v>0</v>
      </c>
      <c r="U50" s="53">
        <f t="shared" si="16"/>
        <v>2.6921666997692472E-5</v>
      </c>
      <c r="V50" s="53">
        <f t="shared" si="17"/>
        <v>1.6097662264536788E-5</v>
      </c>
      <c r="W50" s="53">
        <f t="shared" si="18"/>
        <v>0</v>
      </c>
      <c r="X50" s="46">
        <f t="shared" si="5"/>
        <v>1.0824004733155684E-5</v>
      </c>
      <c r="Y50" s="54"/>
      <c r="Z50" s="41">
        <f t="shared" si="19"/>
        <v>47.886322895471537</v>
      </c>
      <c r="AA50" s="41">
        <f t="shared" si="20"/>
        <v>0.53843333995384945</v>
      </c>
      <c r="AB50" s="41">
        <f t="shared" si="6"/>
        <v>19.346198267767946</v>
      </c>
      <c r="AC50" s="41">
        <f t="shared" si="7"/>
        <v>0.21648009466311369</v>
      </c>
      <c r="AD50" s="54"/>
      <c r="AE50" s="41">
        <f t="shared" si="8"/>
        <v>0</v>
      </c>
      <c r="AF50" s="41"/>
      <c r="AG50" s="41">
        <f t="shared" si="9"/>
        <v>-2.7060011832889211E-4</v>
      </c>
      <c r="AH50" s="41">
        <f t="shared" si="21"/>
        <v>-32.195324529073574</v>
      </c>
      <c r="AI50" s="41">
        <f t="shared" si="22"/>
        <v>0</v>
      </c>
      <c r="AJ50" s="41">
        <f t="shared" si="10"/>
        <v>-32.195595129191901</v>
      </c>
      <c r="AK50" s="41">
        <f t="shared" si="11"/>
        <v>28.540124627703591</v>
      </c>
      <c r="AL50" s="41">
        <f t="shared" si="23"/>
        <v>1.9369902494170155</v>
      </c>
      <c r="AM50" s="41">
        <f t="shared" si="12"/>
        <v>-1.7184802520712943</v>
      </c>
      <c r="AN50" s="41">
        <f t="shared" si="13"/>
        <v>0.32195324529073577</v>
      </c>
      <c r="AO50" s="41">
        <f t="shared" si="14"/>
        <v>-1.3965270067805586</v>
      </c>
      <c r="AP50" s="45"/>
      <c r="AQ50" s="45"/>
      <c r="AR50" s="48"/>
      <c r="AS50" s="48"/>
      <c r="AT50" s="51">
        <f t="shared" si="24"/>
        <v>46</v>
      </c>
      <c r="AU50" s="49">
        <f t="shared" si="25"/>
        <v>2.6921666997692472E-5</v>
      </c>
      <c r="AV50" s="49">
        <f t="shared" si="26"/>
        <v>1.6097662264536788E-5</v>
      </c>
      <c r="AW50" s="50">
        <f xml:space="preserve"> IF(ISERROR(ROUND((1000*NPV($AT$1,$AV51:$AV$124)-$AW$1*($AU51+NPV($AT$1,$AU52:$AU$124)))/AU51,3)), 0, ROUND((1000*NPV($AT$1,$AV51:$AV$124)-$AW$1*($AU51+NPV($AT$1,$AU52:$AU$124)))/AU51,3))</f>
        <v>893.67100000000005</v>
      </c>
      <c r="AX50" s="50">
        <f>IF(ISERROR(ROUND(MAX(0,1000*NPV($AT$2,$AV51:$AV$124)-$AW$2*($AU51+NPV($AT$2,$AU52:$AU$124)))/AU51,3)), 0, ROUND(MAX(0,1000*NPV($AT$2,$AV51:$AV$124)-$AW$2*($AU51+NPV($AT$2,$AU52:$AU$124)))/AU51,3))</f>
        <v>859.48</v>
      </c>
    </row>
    <row r="51" spans="1:50" ht="15" x14ac:dyDescent="0.25">
      <c r="A51">
        <v>26</v>
      </c>
      <c r="B51">
        <v>4.5810164847781603E-4</v>
      </c>
      <c r="C51">
        <f t="shared" si="31"/>
        <v>4.3061554956914705E-4</v>
      </c>
      <c r="D51" s="60">
        <v>61</v>
      </c>
      <c r="E51">
        <v>1411844.0312451997</v>
      </c>
      <c r="F51" s="5">
        <v>43543.327123832656</v>
      </c>
      <c r="G51" s="8"/>
      <c r="I51" s="51">
        <v>47</v>
      </c>
      <c r="J51" s="41"/>
      <c r="K51" s="41" t="str">
        <f t="shared" si="27"/>
        <v/>
      </c>
      <c r="L51" s="42">
        <f t="shared" si="28"/>
        <v>25</v>
      </c>
      <c r="M51" s="41">
        <f t="shared" si="29"/>
        <v>2000000</v>
      </c>
      <c r="N51" s="43">
        <f t="shared" si="1"/>
        <v>864.59100000000001</v>
      </c>
      <c r="O51" s="44">
        <f t="shared" si="2"/>
        <v>897.63900000000001</v>
      </c>
      <c r="P51" s="41">
        <f t="shared" si="3"/>
        <v>1729182</v>
      </c>
      <c r="Q51" s="41">
        <f t="shared" si="4"/>
        <v>1795278</v>
      </c>
      <c r="R51" s="44"/>
      <c r="S51" s="44">
        <f t="shared" si="15"/>
        <v>626.11808562306658</v>
      </c>
      <c r="T51" s="52">
        <f t="shared" si="30"/>
        <v>0</v>
      </c>
      <c r="U51" s="53">
        <f t="shared" si="16"/>
        <v>1.0824004733155684E-5</v>
      </c>
      <c r="V51" s="53">
        <f t="shared" si="17"/>
        <v>6.7771051222984483E-6</v>
      </c>
      <c r="W51" s="53">
        <f t="shared" si="18"/>
        <v>0</v>
      </c>
      <c r="X51" s="46">
        <f t="shared" si="5"/>
        <v>4.0468996108572357E-6</v>
      </c>
      <c r="Y51" s="54"/>
      <c r="Z51" s="41">
        <f t="shared" si="19"/>
        <v>19.346198267767946</v>
      </c>
      <c r="AA51" s="41">
        <f t="shared" si="20"/>
        <v>0.21648009466311369</v>
      </c>
      <c r="AB51" s="41">
        <f t="shared" si="6"/>
        <v>7.2653098395805564</v>
      </c>
      <c r="AC51" s="41">
        <f t="shared" si="7"/>
        <v>8.0937992217144719E-2</v>
      </c>
      <c r="AD51" s="54"/>
      <c r="AE51" s="41">
        <f t="shared" si="8"/>
        <v>0</v>
      </c>
      <c r="AF51" s="41"/>
      <c r="AG51" s="41">
        <f t="shared" si="9"/>
        <v>-1.0117249027143089E-4</v>
      </c>
      <c r="AH51" s="41">
        <f t="shared" si="21"/>
        <v>-13.554210244596897</v>
      </c>
      <c r="AI51" s="41">
        <f t="shared" si="22"/>
        <v>0</v>
      </c>
      <c r="AJ51" s="41">
        <f t="shared" si="10"/>
        <v>-13.554311417087169</v>
      </c>
      <c r="AK51" s="41">
        <f t="shared" si="11"/>
        <v>12.080888428187389</v>
      </c>
      <c r="AL51" s="41">
        <f t="shared" si="23"/>
        <v>0.78250713449724252</v>
      </c>
      <c r="AM51" s="41">
        <f t="shared" si="12"/>
        <v>-0.69091585440253667</v>
      </c>
      <c r="AN51" s="41">
        <f t="shared" si="13"/>
        <v>0.13554210244596898</v>
      </c>
      <c r="AO51" s="41">
        <f t="shared" si="14"/>
        <v>-0.55537375195656769</v>
      </c>
      <c r="AP51" s="45"/>
      <c r="AQ51" s="45"/>
      <c r="AR51" s="48"/>
      <c r="AS51" s="48"/>
      <c r="AT51" s="51">
        <f t="shared" si="24"/>
        <v>47</v>
      </c>
      <c r="AU51" s="49">
        <f t="shared" si="25"/>
        <v>1.0824004733155684E-5</v>
      </c>
      <c r="AV51" s="49">
        <f t="shared" si="26"/>
        <v>6.7771051222984483E-6</v>
      </c>
      <c r="AW51" s="50">
        <f xml:space="preserve"> IF(ISERROR(ROUND((1000*NPV($AT$1,$AV52:$AV$124)-$AW$1*($AU52+NPV($AT$1,$AU53:$AU$124)))/AU52,3)), 0, ROUND((1000*NPV($AT$1,$AV52:$AV$124)-$AW$1*($AU52+NPV($AT$1,$AU53:$AU$124)))/AU52,3))</f>
        <v>897.63900000000001</v>
      </c>
      <c r="AX51" s="50">
        <f>IF(ISERROR(ROUND(MAX(0,1000*NPV($AT$2,$AV52:$AV$124)-$AW$2*($AU52+NPV($AT$2,$AU53:$AU$124)))/AU52,3)), 0, ROUND(MAX(0,1000*NPV($AT$2,$AV52:$AV$124)-$AW$2*($AU52+NPV($AT$2,$AU53:$AU$124)))/AU52,3))</f>
        <v>864.59100000000001</v>
      </c>
    </row>
    <row r="52" spans="1:50" ht="15" x14ac:dyDescent="0.25">
      <c r="A52">
        <v>27</v>
      </c>
      <c r="B52">
        <v>4.6830321021307198E-4</v>
      </c>
      <c r="C52">
        <f t="shared" si="31"/>
        <v>4.4020501760028765E-4</v>
      </c>
      <c r="D52" s="60">
        <v>62</v>
      </c>
      <c r="E52">
        <v>1454780.191835257</v>
      </c>
      <c r="F52" s="5">
        <v>44625.485321755288</v>
      </c>
      <c r="G52" s="8"/>
      <c r="I52" s="51">
        <v>48</v>
      </c>
      <c r="J52" s="41"/>
      <c r="K52" s="41" t="str">
        <f t="shared" si="27"/>
        <v/>
      </c>
      <c r="L52" s="42">
        <f t="shared" si="28"/>
        <v>25</v>
      </c>
      <c r="M52" s="41">
        <f t="shared" si="29"/>
        <v>2000000</v>
      </c>
      <c r="N52" s="43">
        <f t="shared" si="1"/>
        <v>869.31600000000003</v>
      </c>
      <c r="O52" s="44">
        <f t="shared" si="2"/>
        <v>901.30100000000004</v>
      </c>
      <c r="P52" s="41">
        <f t="shared" si="3"/>
        <v>1738632</v>
      </c>
      <c r="Q52" s="41">
        <f t="shared" si="4"/>
        <v>1802602</v>
      </c>
      <c r="R52" s="44"/>
      <c r="S52" s="44">
        <f t="shared" si="15"/>
        <v>654.05995742613766</v>
      </c>
      <c r="T52" s="52">
        <f t="shared" si="30"/>
        <v>0</v>
      </c>
      <c r="U52" s="53">
        <f t="shared" si="16"/>
        <v>4.0468996108572357E-6</v>
      </c>
      <c r="V52" s="53">
        <f t="shared" si="17"/>
        <v>2.6469149871851367E-6</v>
      </c>
      <c r="W52" s="53">
        <f t="shared" si="18"/>
        <v>0</v>
      </c>
      <c r="X52" s="46">
        <f t="shared" si="5"/>
        <v>1.399984623672099E-6</v>
      </c>
      <c r="Y52" s="54"/>
      <c r="Z52" s="41">
        <f t="shared" si="19"/>
        <v>7.2653098395805564</v>
      </c>
      <c r="AA52" s="41">
        <f t="shared" si="20"/>
        <v>8.0937992217144719E-2</v>
      </c>
      <c r="AB52" s="41">
        <f t="shared" si="6"/>
        <v>2.523615082600573</v>
      </c>
      <c r="AC52" s="41">
        <f t="shared" si="7"/>
        <v>2.799969247344198E-2</v>
      </c>
      <c r="AD52" s="54"/>
      <c r="AE52" s="41">
        <f t="shared" si="8"/>
        <v>0</v>
      </c>
      <c r="AF52" s="41"/>
      <c r="AG52" s="41">
        <f t="shared" si="9"/>
        <v>-3.4999615591802476E-5</v>
      </c>
      <c r="AH52" s="41">
        <f t="shared" si="21"/>
        <v>-5.293829974370273</v>
      </c>
      <c r="AI52" s="41">
        <f t="shared" si="22"/>
        <v>0</v>
      </c>
      <c r="AJ52" s="41">
        <f t="shared" si="10"/>
        <v>-5.2938649739858645</v>
      </c>
      <c r="AK52" s="41">
        <f t="shared" si="11"/>
        <v>4.7416947569799834</v>
      </c>
      <c r="AL52" s="41">
        <f t="shared" si="23"/>
        <v>0.29384991327190807</v>
      </c>
      <c r="AM52" s="41">
        <f>SUM(AJ52:AL52)</f>
        <v>-0.25832030373397302</v>
      </c>
      <c r="AN52" s="41">
        <f t="shared" si="13"/>
        <v>5.2938299743702739E-2</v>
      </c>
      <c r="AO52" s="41">
        <f t="shared" si="14"/>
        <v>-0.20538200399027029</v>
      </c>
      <c r="AP52" s="45"/>
      <c r="AQ52" s="45"/>
      <c r="AR52" s="48"/>
      <c r="AS52" s="48"/>
      <c r="AT52" s="51">
        <f t="shared" si="24"/>
        <v>48</v>
      </c>
      <c r="AU52" s="49">
        <f t="shared" si="25"/>
        <v>4.0468996108572357E-6</v>
      </c>
      <c r="AV52" s="49">
        <f t="shared" si="26"/>
        <v>2.6469149871851367E-6</v>
      </c>
      <c r="AW52" s="50">
        <f xml:space="preserve"> IF(ISERROR(ROUND((1000*NPV($AT$1,$AV53:$AV$124)-$AW$1*($AU53+NPV($AT$1,$AU54:$AU$124)))/AU53,3)), 0, ROUND((1000*NPV($AT$1,$AV53:$AV$124)-$AW$1*($AU53+NPV($AT$1,$AU54:$AU$124)))/AU53,3))</f>
        <v>901.30100000000004</v>
      </c>
      <c r="AX52" s="50">
        <f>IF(ISERROR(ROUND(MAX(0,1000*NPV($AT$2,$AV53:$AV$124)-$AW$2*($AU53+NPV($AT$2,$AU54:$AU$124)))/AU53,3)), 0, ROUND(MAX(0,1000*NPV($AT$2,$AV53:$AV$124)-$AW$2*($AU53+NPV($AT$2,$AU54:$AU$124)))/AU53,3))</f>
        <v>869.31600000000003</v>
      </c>
    </row>
    <row r="53" spans="1:50" ht="15" x14ac:dyDescent="0.25">
      <c r="A53">
        <v>28</v>
      </c>
      <c r="B53">
        <v>4.8041804666376598E-4</v>
      </c>
      <c r="C53">
        <f t="shared" si="31"/>
        <v>4.5159296386394001E-4</v>
      </c>
      <c r="D53" s="60">
        <v>63</v>
      </c>
      <c r="E53">
        <v>1498620.1532034299</v>
      </c>
      <c r="F53" s="5">
        <v>45718.058764521615</v>
      </c>
      <c r="G53" s="8"/>
      <c r="I53" s="51">
        <v>49</v>
      </c>
      <c r="J53" s="41"/>
      <c r="K53" s="41" t="str">
        <f t="shared" si="27"/>
        <v/>
      </c>
      <c r="L53" s="42">
        <f t="shared" si="28"/>
        <v>25</v>
      </c>
      <c r="M53" s="41">
        <f t="shared" si="29"/>
        <v>2000000</v>
      </c>
      <c r="N53" s="43">
        <f t="shared" si="1"/>
        <v>873.69</v>
      </c>
      <c r="O53" s="44">
        <f t="shared" si="2"/>
        <v>904.68600000000004</v>
      </c>
      <c r="P53" s="41">
        <f t="shared" si="3"/>
        <v>1747380</v>
      </c>
      <c r="Q53" s="41">
        <f t="shared" si="4"/>
        <v>1809372</v>
      </c>
      <c r="R53" s="44"/>
      <c r="S53" s="44">
        <f t="shared" si="15"/>
        <v>681.72989747372549</v>
      </c>
      <c r="T53" s="52">
        <f t="shared" si="30"/>
        <v>0</v>
      </c>
      <c r="U53" s="53">
        <f t="shared" si="16"/>
        <v>1.399984623672099E-6</v>
      </c>
      <c r="V53" s="53">
        <f t="shared" si="17"/>
        <v>9.5441137396077231E-7</v>
      </c>
      <c r="W53" s="53">
        <f t="shared" si="18"/>
        <v>0</v>
      </c>
      <c r="X53" s="46">
        <f t="shared" si="5"/>
        <v>4.4557324971132669E-7</v>
      </c>
      <c r="Y53" s="54"/>
      <c r="Z53" s="41">
        <f t="shared" si="19"/>
        <v>2.523615082600573</v>
      </c>
      <c r="AA53" s="41">
        <f t="shared" si="20"/>
        <v>2.799969247344198E-2</v>
      </c>
      <c r="AB53" s="41">
        <f t="shared" si="6"/>
        <v>0.80620776197668265</v>
      </c>
      <c r="AC53" s="41">
        <f t="shared" si="7"/>
        <v>8.9114649942265336E-3</v>
      </c>
      <c r="AD53" s="54"/>
      <c r="AE53" s="41">
        <f t="shared" si="8"/>
        <v>0</v>
      </c>
      <c r="AF53" s="41"/>
      <c r="AG53" s="41">
        <f t="shared" si="9"/>
        <v>-1.1139331242783168E-5</v>
      </c>
      <c r="AH53" s="41">
        <f t="shared" si="21"/>
        <v>-1.9088227479215447</v>
      </c>
      <c r="AI53" s="41">
        <f t="shared" si="22"/>
        <v>0</v>
      </c>
      <c r="AJ53" s="41">
        <f t="shared" si="10"/>
        <v>-1.9088338872527875</v>
      </c>
      <c r="AK53" s="41">
        <f t="shared" si="11"/>
        <v>1.7174073206238902</v>
      </c>
      <c r="AL53" s="41">
        <f t="shared" si="23"/>
        <v>0.1020645910029606</v>
      </c>
      <c r="AM53" s="41">
        <f t="shared" si="12"/>
        <v>-8.9361975625936632E-2</v>
      </c>
      <c r="AN53" s="41">
        <f t="shared" si="13"/>
        <v>1.9088227479215444E-2</v>
      </c>
      <c r="AO53" s="41">
        <f t="shared" si="14"/>
        <v>-7.0273748146721188E-2</v>
      </c>
      <c r="AP53" s="45"/>
      <c r="AQ53" s="45"/>
      <c r="AR53" s="48"/>
      <c r="AS53" s="48"/>
      <c r="AT53" s="51">
        <f t="shared" si="24"/>
        <v>49</v>
      </c>
      <c r="AU53" s="49">
        <f t="shared" si="25"/>
        <v>1.399984623672099E-6</v>
      </c>
      <c r="AV53" s="49">
        <f t="shared" si="26"/>
        <v>9.5441137396077231E-7</v>
      </c>
      <c r="AW53" s="50">
        <f xml:space="preserve"> IF(ISERROR(ROUND((1000*NPV($AT$1,$AV54:$AV$124)-$AW$1*($AU54+NPV($AT$1,$AU55:$AU$124)))/AU54,3)), 0, ROUND((1000*NPV($AT$1,$AV54:$AV$124)-$AW$1*($AU54+NPV($AT$1,$AU55:$AU$124)))/AU54,3))</f>
        <v>904.68600000000004</v>
      </c>
      <c r="AX53" s="50">
        <f>IF(ISERROR(ROUND(MAX(0,1000*NPV($AT$2,$AV54:$AV$124)-$AW$2*($AU54+NPV($AT$2,$AU55:$AU$124)))/AU54,3)), 0, ROUND(MAX(0,1000*NPV($AT$2,$AV54:$AV$124)-$AW$2*($AU54+NPV($AT$2,$AU55:$AU$124)))/AU54,3))</f>
        <v>873.69</v>
      </c>
    </row>
    <row r="54" spans="1:50" ht="15" x14ac:dyDescent="0.25">
      <c r="A54">
        <v>29</v>
      </c>
      <c r="B54">
        <v>4.9349466827019995E-4</v>
      </c>
      <c r="C54">
        <f t="shared" si="31"/>
        <v>4.6388498817398791E-4</v>
      </c>
      <c r="D54" s="60">
        <v>64</v>
      </c>
      <c r="E54">
        <v>1543368.0825342606</v>
      </c>
      <c r="F54" s="5">
        <v>46820.928686493309</v>
      </c>
      <c r="G54" s="8"/>
      <c r="I54" s="51">
        <v>50</v>
      </c>
      <c r="J54" s="41"/>
      <c r="K54" s="41" t="str">
        <f t="shared" si="27"/>
        <v/>
      </c>
      <c r="L54" s="42">
        <f t="shared" si="28"/>
        <v>25</v>
      </c>
      <c r="M54" s="41">
        <f t="shared" si="29"/>
        <v>2000000</v>
      </c>
      <c r="N54" s="43">
        <f t="shared" si="1"/>
        <v>877.74900000000002</v>
      </c>
      <c r="O54" s="44">
        <f t="shared" si="2"/>
        <v>907.822</v>
      </c>
      <c r="P54" s="41">
        <f t="shared" si="3"/>
        <v>1755498</v>
      </c>
      <c r="Q54" s="41">
        <f t="shared" si="4"/>
        <v>1815644</v>
      </c>
      <c r="R54" s="44"/>
      <c r="S54" s="44">
        <f t="shared" si="15"/>
        <v>709.0874675513719</v>
      </c>
      <c r="T54" s="52">
        <f t="shared" si="30"/>
        <v>0</v>
      </c>
      <c r="U54" s="53">
        <f t="shared" si="16"/>
        <v>4.4557324971132669E-7</v>
      </c>
      <c r="V54" s="53">
        <f t="shared" si="17"/>
        <v>3.159504072464397E-7</v>
      </c>
      <c r="W54" s="53">
        <f t="shared" si="18"/>
        <v>0</v>
      </c>
      <c r="X54" s="46">
        <f t="shared" si="5"/>
        <v>1.29622842464887E-7</v>
      </c>
      <c r="Y54" s="54"/>
      <c r="Z54" s="41">
        <f t="shared" si="19"/>
        <v>0.80620776197668265</v>
      </c>
      <c r="AA54" s="41">
        <f t="shared" si="20"/>
        <v>8.9114649942265336E-3</v>
      </c>
      <c r="AB54" s="41">
        <f t="shared" si="6"/>
        <v>0.23534893618431729</v>
      </c>
      <c r="AC54" s="41">
        <f t="shared" si="7"/>
        <v>2.5924568492977401E-3</v>
      </c>
      <c r="AD54" s="54"/>
      <c r="AE54" s="41">
        <f t="shared" si="8"/>
        <v>0</v>
      </c>
      <c r="AF54" s="41"/>
      <c r="AG54" s="41">
        <f t="shared" si="9"/>
        <v>-3.2405710616221748E-6</v>
      </c>
      <c r="AH54" s="41">
        <f t="shared" si="21"/>
        <v>-0.63190081449287938</v>
      </c>
      <c r="AI54" s="41">
        <f t="shared" si="22"/>
        <v>0</v>
      </c>
      <c r="AJ54" s="41">
        <f t="shared" si="10"/>
        <v>-0.63190405506394098</v>
      </c>
      <c r="AK54" s="41">
        <f t="shared" si="11"/>
        <v>0.57085882579236535</v>
      </c>
      <c r="AL54" s="41">
        <f t="shared" si="23"/>
        <v>3.2604769078836367E-2</v>
      </c>
      <c r="AM54" s="41">
        <f t="shared" si="12"/>
        <v>-2.8440460192739263E-2</v>
      </c>
      <c r="AN54" s="41">
        <f t="shared" si="13"/>
        <v>6.3190081449287939E-3</v>
      </c>
      <c r="AO54" s="41">
        <f t="shared" si="14"/>
        <v>-2.2121452047810471E-2</v>
      </c>
      <c r="AP54" s="45"/>
      <c r="AQ54" s="45"/>
      <c r="AR54" s="48"/>
      <c r="AS54" s="48"/>
      <c r="AT54" s="51">
        <f t="shared" si="24"/>
        <v>50</v>
      </c>
      <c r="AU54" s="49">
        <f t="shared" si="25"/>
        <v>4.4557324971132669E-7</v>
      </c>
      <c r="AV54" s="49">
        <f t="shared" si="26"/>
        <v>3.159504072464397E-7</v>
      </c>
      <c r="AW54" s="50">
        <f xml:space="preserve"> IF(ISERROR(ROUND((1000*NPV($AT$1,$AV55:$AV$124)-$AW$1*($AU55+NPV($AT$1,$AU56:$AU$124)))/AU55,3)), 0, ROUND((1000*NPV($AT$1,$AV55:$AV$124)-$AW$1*($AU55+NPV($AT$1,$AU56:$AU$124)))/AU55,3))</f>
        <v>907.822</v>
      </c>
      <c r="AX54" s="50">
        <f>IF(ISERROR(ROUND(MAX(0,1000*NPV($AT$2,$AV55:$AV$124)-$AW$2*($AU55+NPV($AT$2,$AU56:$AU$124)))/AU55,3)), 0, ROUND(MAX(0,1000*NPV($AT$2,$AV55:$AV$124)-$AW$2*($AU55+NPV($AT$2,$AU56:$AU$124)))/AU55,3))</f>
        <v>877.74900000000002</v>
      </c>
    </row>
    <row r="55" spans="1:50" ht="15" x14ac:dyDescent="0.25">
      <c r="A55">
        <v>30</v>
      </c>
      <c r="B55">
        <v>5.1041322954514801E-4</v>
      </c>
      <c r="C55">
        <f t="shared" si="31"/>
        <v>4.7978843577243911E-4</v>
      </c>
      <c r="D55" s="60">
        <v>65</v>
      </c>
      <c r="E55">
        <v>1589070.2693368909</v>
      </c>
      <c r="F55" s="5">
        <v>47936.102692173095</v>
      </c>
      <c r="G55" s="8"/>
      <c r="I55" s="51">
        <v>51</v>
      </c>
      <c r="J55" s="41"/>
      <c r="K55" s="41" t="str">
        <f t="shared" si="27"/>
        <v/>
      </c>
      <c r="L55" s="42">
        <f t="shared" si="28"/>
        <v>25</v>
      </c>
      <c r="M55" s="41">
        <f t="shared" si="29"/>
        <v>2000000</v>
      </c>
      <c r="N55" s="43">
        <f t="shared" si="1"/>
        <v>881.54399999999998</v>
      </c>
      <c r="O55" s="44">
        <f t="shared" si="2"/>
        <v>910.75099999999998</v>
      </c>
      <c r="P55" s="41">
        <f t="shared" si="3"/>
        <v>1763088</v>
      </c>
      <c r="Q55" s="41">
        <f t="shared" si="4"/>
        <v>1821502</v>
      </c>
      <c r="R55" s="44"/>
      <c r="S55" s="44">
        <f t="shared" si="15"/>
        <v>736.09105579744164</v>
      </c>
      <c r="T55" s="52">
        <f t="shared" si="30"/>
        <v>0</v>
      </c>
      <c r="U55" s="53">
        <f t="shared" si="16"/>
        <v>1.29622842464887E-7</v>
      </c>
      <c r="V55" s="53">
        <f t="shared" si="17"/>
        <v>9.5414214965444122E-8</v>
      </c>
      <c r="W55" s="53">
        <f t="shared" si="18"/>
        <v>0</v>
      </c>
      <c r="X55" s="46">
        <f t="shared" si="5"/>
        <v>3.4208627499442875E-8</v>
      </c>
      <c r="Y55" s="54"/>
      <c r="Z55" s="41">
        <f t="shared" si="19"/>
        <v>0.23534893618431729</v>
      </c>
      <c r="AA55" s="41">
        <f t="shared" si="20"/>
        <v>2.5924568492977401E-3</v>
      </c>
      <c r="AB55" s="41">
        <f t="shared" si="6"/>
        <v>6.2311083407490198E-2</v>
      </c>
      <c r="AC55" s="41">
        <f t="shared" si="7"/>
        <v>6.8417254998885744E-4</v>
      </c>
      <c r="AD55" s="54"/>
      <c r="AE55" s="41">
        <f t="shared" si="8"/>
        <v>0</v>
      </c>
      <c r="AF55" s="41"/>
      <c r="AG55" s="41">
        <f t="shared" si="9"/>
        <v>-8.552156874860719E-7</v>
      </c>
      <c r="AH55" s="41">
        <f t="shared" si="21"/>
        <v>-0.19082842993088825</v>
      </c>
      <c r="AI55" s="41">
        <f t="shared" si="22"/>
        <v>0</v>
      </c>
      <c r="AJ55" s="41">
        <f t="shared" si="10"/>
        <v>-0.19082928514657574</v>
      </c>
      <c r="AK55" s="41">
        <f t="shared" si="11"/>
        <v>0.17303785277682709</v>
      </c>
      <c r="AL55" s="41">
        <f t="shared" si="23"/>
        <v>9.517655721344602E-3</v>
      </c>
      <c r="AM55" s="41">
        <f t="shared" si="12"/>
        <v>-8.2737766484040423E-3</v>
      </c>
      <c r="AN55" s="41">
        <f t="shared" si="13"/>
        <v>1.9082842993088827E-3</v>
      </c>
      <c r="AO55" s="41">
        <f t="shared" si="14"/>
        <v>-6.3654923490951594E-3</v>
      </c>
      <c r="AP55" s="45"/>
      <c r="AQ55" s="45"/>
      <c r="AR55" s="48"/>
      <c r="AS55" s="48"/>
      <c r="AT55" s="51">
        <f t="shared" si="24"/>
        <v>51</v>
      </c>
      <c r="AU55" s="49">
        <f t="shared" si="25"/>
        <v>1.29622842464887E-7</v>
      </c>
      <c r="AV55" s="49">
        <f t="shared" si="26"/>
        <v>9.5414214965444122E-8</v>
      </c>
      <c r="AW55" s="50">
        <f xml:space="preserve"> IF(ISERROR(ROUND((1000*NPV($AT$1,$AV56:$AV$124)-$AW$1*($AU56+NPV($AT$1,$AU57:$AU$124)))/AU56,3)), 0, ROUND((1000*NPV($AT$1,$AV56:$AV$124)-$AW$1*($AU56+NPV($AT$1,$AU57:$AU$124)))/AU56,3))</f>
        <v>910.75099999999998</v>
      </c>
      <c r="AX55" s="50">
        <f>IF(ISERROR(ROUND(MAX(0,1000*NPV($AT$2,$AV56:$AV$124)-$AW$2*($AU56+NPV($AT$2,$AU57:$AU$124)))/AU56,3)), 0, ROUND(MAX(0,1000*NPV($AT$2,$AV56:$AV$124)-$AW$2*($AU56+NPV($AT$2,$AU57:$AU$124)))/AU56,3))</f>
        <v>881.54399999999998</v>
      </c>
    </row>
    <row r="56" spans="1:50" ht="15" x14ac:dyDescent="0.25">
      <c r="A56">
        <v>31</v>
      </c>
      <c r="B56">
        <v>5.35635663220013E-4</v>
      </c>
      <c r="C56">
        <f t="shared" si="31"/>
        <v>5.034975234268122E-4</v>
      </c>
      <c r="D56" s="60"/>
      <c r="E56" s="5"/>
      <c r="F56" s="5"/>
      <c r="G56" s="8"/>
      <c r="I56" s="51">
        <v>52</v>
      </c>
      <c r="J56" s="41"/>
      <c r="K56" s="41" t="str">
        <f t="shared" si="27"/>
        <v/>
      </c>
      <c r="L56" s="42">
        <f t="shared" si="28"/>
        <v>25</v>
      </c>
      <c r="M56" s="41">
        <f t="shared" si="29"/>
        <v>2000000</v>
      </c>
      <c r="N56" s="43">
        <f t="shared" si="1"/>
        <v>885.14400000000001</v>
      </c>
      <c r="O56" s="44">
        <f t="shared" si="2"/>
        <v>913.52700000000004</v>
      </c>
      <c r="P56" s="41">
        <f t="shared" si="3"/>
        <v>1770288</v>
      </c>
      <c r="Q56" s="41">
        <f t="shared" si="4"/>
        <v>1827054</v>
      </c>
      <c r="R56" s="44"/>
      <c r="S56" s="44">
        <f t="shared" si="15"/>
        <v>762.84580898796514</v>
      </c>
      <c r="T56" s="52">
        <f t="shared" si="30"/>
        <v>0</v>
      </c>
      <c r="U56" s="53">
        <f t="shared" si="16"/>
        <v>3.4208627499442875E-8</v>
      </c>
      <c r="V56" s="53">
        <f t="shared" si="17"/>
        <v>2.6095908119180449E-8</v>
      </c>
      <c r="W56" s="53">
        <f t="shared" si="18"/>
        <v>0</v>
      </c>
      <c r="X56" s="46">
        <f t="shared" si="5"/>
        <v>8.1127193802624262E-9</v>
      </c>
      <c r="Y56" s="54"/>
      <c r="Z56" s="41">
        <f t="shared" si="19"/>
        <v>6.2311083407490198E-2</v>
      </c>
      <c r="AA56" s="41">
        <f t="shared" si="20"/>
        <v>6.8417254998885744E-4</v>
      </c>
      <c r="AB56" s="41">
        <f t="shared" si="6"/>
        <v>1.4822376394585987E-2</v>
      </c>
      <c r="AC56" s="41">
        <f t="shared" si="7"/>
        <v>1.6225438760524851E-4</v>
      </c>
      <c r="AD56" s="54"/>
      <c r="AE56" s="41">
        <f t="shared" si="8"/>
        <v>0</v>
      </c>
      <c r="AF56" s="41"/>
      <c r="AG56" s="41">
        <f t="shared" si="9"/>
        <v>-2.0281798450656065E-7</v>
      </c>
      <c r="AH56" s="41">
        <f t="shared" si="21"/>
        <v>-5.2191816238360896E-2</v>
      </c>
      <c r="AI56" s="41">
        <f t="shared" si="22"/>
        <v>0</v>
      </c>
      <c r="AJ56" s="41">
        <f t="shared" si="10"/>
        <v>-5.21920190563454E-2</v>
      </c>
      <c r="AK56" s="41">
        <f t="shared" si="11"/>
        <v>4.748870701290421E-2</v>
      </c>
      <c r="AL56" s="41">
        <f t="shared" si="23"/>
        <v>2.519810238299162E-3</v>
      </c>
      <c r="AM56" s="41">
        <f t="shared" si="12"/>
        <v>-2.1835018051420273E-3</v>
      </c>
      <c r="AN56" s="41">
        <f t="shared" si="13"/>
        <v>5.2191816238360896E-4</v>
      </c>
      <c r="AO56" s="41">
        <f t="shared" si="14"/>
        <v>-1.6615836427584184E-3</v>
      </c>
      <c r="AP56" s="45"/>
      <c r="AQ56" s="45"/>
      <c r="AR56" s="48"/>
      <c r="AS56" s="48"/>
      <c r="AT56" s="51">
        <f t="shared" si="24"/>
        <v>52</v>
      </c>
      <c r="AU56" s="49">
        <f t="shared" si="25"/>
        <v>3.4208627499442875E-8</v>
      </c>
      <c r="AV56" s="49">
        <f t="shared" si="26"/>
        <v>2.6095908119180449E-8</v>
      </c>
      <c r="AW56" s="50">
        <f xml:space="preserve"> IF(ISERROR(ROUND((1000*NPV($AT$1,$AV57:$AV$124)-$AW$1*($AU57+NPV($AT$1,$AU58:$AU$124)))/AU57,3)), 0, ROUND((1000*NPV($AT$1,$AV57:$AV$124)-$AW$1*($AU57+NPV($AT$1,$AU58:$AU$124)))/AU57,3))</f>
        <v>913.52700000000004</v>
      </c>
      <c r="AX56" s="50">
        <f>IF(ISERROR(ROUND(MAX(0,1000*NPV($AT$2,$AV57:$AV$124)-$AW$2*($AU57+NPV($AT$2,$AU58:$AU$124)))/AU57,3)), 0, ROUND(MAX(0,1000*NPV($AT$2,$AV57:$AV$124)-$AW$2*($AU57+NPV($AT$2,$AU58:$AU$124)))/AU57,3))</f>
        <v>885.14400000000001</v>
      </c>
    </row>
    <row r="57" spans="1:50" ht="15" x14ac:dyDescent="0.25">
      <c r="A57">
        <v>32</v>
      </c>
      <c r="B57">
        <v>5.6597699063665196E-4</v>
      </c>
      <c r="C57">
        <f t="shared" si="31"/>
        <v>5.3201837119845282E-4</v>
      </c>
      <c r="D57" s="60"/>
      <c r="E57" s="5"/>
      <c r="F57" s="5"/>
      <c r="I57" s="51">
        <v>53</v>
      </c>
      <c r="J57" s="41"/>
      <c r="K57" s="41" t="str">
        <f t="shared" si="27"/>
        <v/>
      </c>
      <c r="L57" s="42">
        <f t="shared" si="28"/>
        <v>25</v>
      </c>
      <c r="M57" s="41">
        <f t="shared" si="29"/>
        <v>2000000</v>
      </c>
      <c r="N57" s="43">
        <f t="shared" si="1"/>
        <v>888.73900000000003</v>
      </c>
      <c r="O57" s="44">
        <f t="shared" si="2"/>
        <v>916.29899999999998</v>
      </c>
      <c r="P57" s="41">
        <f t="shared" si="3"/>
        <v>1777478</v>
      </c>
      <c r="Q57" s="41">
        <f t="shared" si="4"/>
        <v>1832598</v>
      </c>
      <c r="R57" s="44"/>
      <c r="S57" s="44">
        <f t="shared" si="15"/>
        <v>789.47400752624583</v>
      </c>
      <c r="T57" s="52">
        <f t="shared" si="30"/>
        <v>0</v>
      </c>
      <c r="U57" s="53">
        <f t="shared" si="16"/>
        <v>8.1127193802624262E-9</v>
      </c>
      <c r="V57" s="53">
        <f t="shared" si="17"/>
        <v>6.4047810810716184E-9</v>
      </c>
      <c r="W57" s="53">
        <f t="shared" si="18"/>
        <v>0</v>
      </c>
      <c r="X57" s="46">
        <f t="shared" si="5"/>
        <v>1.7079382991908077E-9</v>
      </c>
      <c r="Y57" s="54"/>
      <c r="Z57" s="41">
        <f t="shared" si="19"/>
        <v>1.4822376394585987E-2</v>
      </c>
      <c r="AA57" s="41">
        <f t="shared" si="20"/>
        <v>1.6225438760524851E-4</v>
      </c>
      <c r="AB57" s="41">
        <f t="shared" si="6"/>
        <v>3.1299643112204759E-3</v>
      </c>
      <c r="AC57" s="41">
        <f t="shared" si="7"/>
        <v>3.4158765983816158E-5</v>
      </c>
      <c r="AD57" s="54"/>
      <c r="AE57" s="41">
        <f t="shared" si="8"/>
        <v>0</v>
      </c>
      <c r="AF57" s="41"/>
      <c r="AG57" s="41">
        <f t="shared" si="9"/>
        <v>-4.2698457479770195E-8</v>
      </c>
      <c r="AH57" s="41">
        <f t="shared" si="21"/>
        <v>-1.2809562162143236E-2</v>
      </c>
      <c r="AI57" s="41">
        <f t="shared" si="22"/>
        <v>0</v>
      </c>
      <c r="AJ57" s="41">
        <f t="shared" si="10"/>
        <v>-1.2809604860600716E-2</v>
      </c>
      <c r="AK57" s="41">
        <f t="shared" si="11"/>
        <v>1.1692412083365512E-2</v>
      </c>
      <c r="AL57" s="41">
        <f t="shared" si="23"/>
        <v>5.9938523128764943E-4</v>
      </c>
      <c r="AM57" s="41">
        <f t="shared" si="12"/>
        <v>-5.1780754594755508E-4</v>
      </c>
      <c r="AN57" s="41">
        <f t="shared" si="13"/>
        <v>1.2809562162143236E-4</v>
      </c>
      <c r="AO57" s="41">
        <f t="shared" si="14"/>
        <v>-3.8971192432612275E-4</v>
      </c>
      <c r="AP57" s="45"/>
      <c r="AQ57" s="45"/>
      <c r="AR57" s="48"/>
      <c r="AS57" s="48"/>
      <c r="AT57" s="51">
        <f t="shared" si="24"/>
        <v>53</v>
      </c>
      <c r="AU57" s="49">
        <f t="shared" si="25"/>
        <v>8.1127193802624262E-9</v>
      </c>
      <c r="AV57" s="49">
        <f t="shared" si="26"/>
        <v>6.4047810810716184E-9</v>
      </c>
      <c r="AW57" s="50">
        <f xml:space="preserve"> IF(ISERROR(ROUND((1000*NPV($AT$1,$AV58:$AV$124)-$AW$1*($AU58+NPV($AT$1,$AU59:$AU$124)))/AU58,3)), 0, ROUND((1000*NPV($AT$1,$AV58:$AV$124)-$AW$1*($AU58+NPV($AT$1,$AU59:$AU$124)))/AU58,3))</f>
        <v>916.29899999999998</v>
      </c>
      <c r="AX57" s="50">
        <f>IF(ISERROR(ROUND(MAX(0,1000*NPV($AT$2,$AV58:$AV$124)-$AW$2*($AU58+NPV($AT$2,$AU59:$AU$124)))/AU58,3)), 0, ROUND(MAX(0,1000*NPV($AT$2,$AV58:$AV$124)-$AW$2*($AU58+NPV($AT$2,$AU59:$AU$124)))/AU58,3))</f>
        <v>888.73900000000003</v>
      </c>
    </row>
    <row r="58" spans="1:50" ht="15" x14ac:dyDescent="0.25">
      <c r="A58">
        <v>33</v>
      </c>
      <c r="B58">
        <v>5.9626683848002003E-4</v>
      </c>
      <c r="C58">
        <f t="shared" si="31"/>
        <v>5.6049082817121885E-4</v>
      </c>
      <c r="D58" s="60"/>
      <c r="E58" s="5"/>
      <c r="F58" s="5"/>
      <c r="G58" s="11"/>
      <c r="I58" s="51">
        <v>54</v>
      </c>
      <c r="J58" s="41"/>
      <c r="K58" s="41" t="str">
        <f t="shared" si="27"/>
        <v/>
      </c>
      <c r="L58" s="42">
        <f t="shared" si="28"/>
        <v>25</v>
      </c>
      <c r="M58" s="41">
        <f t="shared" si="29"/>
        <v>2000000</v>
      </c>
      <c r="N58" s="43">
        <f t="shared" si="1"/>
        <v>893.43799999999999</v>
      </c>
      <c r="O58" s="44">
        <f t="shared" si="2"/>
        <v>919.92399999999998</v>
      </c>
      <c r="P58" s="41">
        <f t="shared" si="3"/>
        <v>1786876</v>
      </c>
      <c r="Q58" s="41">
        <f t="shared" si="4"/>
        <v>1839848</v>
      </c>
      <c r="R58" s="44"/>
      <c r="S58" s="44">
        <f t="shared" si="15"/>
        <v>815.95458941092784</v>
      </c>
      <c r="T58" s="52">
        <f t="shared" si="30"/>
        <v>0</v>
      </c>
      <c r="U58" s="53">
        <f t="shared" si="16"/>
        <v>1.7079382991908077E-9</v>
      </c>
      <c r="V58" s="53">
        <f t="shared" si="17"/>
        <v>1.393600093655434E-9</v>
      </c>
      <c r="W58" s="53">
        <f t="shared" si="18"/>
        <v>0</v>
      </c>
      <c r="X58" s="46">
        <f t="shared" si="5"/>
        <v>3.1433820553537377E-10</v>
      </c>
      <c r="Y58" s="54"/>
      <c r="Z58" s="41">
        <f t="shared" si="19"/>
        <v>3.1299643112204759E-3</v>
      </c>
      <c r="AA58" s="41">
        <f t="shared" si="20"/>
        <v>3.4158765983816158E-5</v>
      </c>
      <c r="AB58" s="41">
        <f t="shared" si="6"/>
        <v>5.7833451877784632E-4</v>
      </c>
      <c r="AC58" s="41">
        <f t="shared" si="7"/>
        <v>6.2867641107074751E-6</v>
      </c>
      <c r="AD58" s="54"/>
      <c r="AE58" s="41">
        <f t="shared" si="8"/>
        <v>0</v>
      </c>
      <c r="AF58" s="41"/>
      <c r="AG58" s="41">
        <f t="shared" si="9"/>
        <v>-7.8584551383843447E-9</v>
      </c>
      <c r="AH58" s="41">
        <f t="shared" si="21"/>
        <v>-2.7872001873108679E-3</v>
      </c>
      <c r="AI58" s="41">
        <f t="shared" si="22"/>
        <v>0</v>
      </c>
      <c r="AJ58" s="41">
        <f t="shared" si="10"/>
        <v>-2.7872080457660062E-3</v>
      </c>
      <c r="AK58" s="41">
        <f t="shared" si="11"/>
        <v>2.5516297924426294E-3</v>
      </c>
      <c r="AL58" s="41">
        <f t="shared" si="23"/>
        <v>1.2656492308817167E-4</v>
      </c>
      <c r="AM58" s="41">
        <f t="shared" si="12"/>
        <v>-1.090133302352051E-4</v>
      </c>
      <c r="AN58" s="41">
        <f t="shared" si="13"/>
        <v>2.7872001873108683E-5</v>
      </c>
      <c r="AO58" s="41">
        <f t="shared" si="14"/>
        <v>-8.1141328362096426E-5</v>
      </c>
      <c r="AP58" s="45"/>
      <c r="AQ58" s="45"/>
      <c r="AR58" s="48"/>
      <c r="AS58" s="48"/>
      <c r="AT58" s="51">
        <f t="shared" si="24"/>
        <v>54</v>
      </c>
      <c r="AU58" s="49">
        <f t="shared" si="25"/>
        <v>1.7079382991908077E-9</v>
      </c>
      <c r="AV58" s="49">
        <f t="shared" si="26"/>
        <v>1.393600093655434E-9</v>
      </c>
      <c r="AW58" s="50">
        <f xml:space="preserve"> IF(ISERROR(ROUND((1000*NPV($AT$1,$AV59:$AV$124)-$AW$1*($AU59+NPV($AT$1,$AU60:$AU$124)))/AU59,3)), 0, ROUND((1000*NPV($AT$1,$AV59:$AV$124)-$AW$1*($AU59+NPV($AT$1,$AU60:$AU$124)))/AU59,3))</f>
        <v>919.92399999999998</v>
      </c>
      <c r="AX58" s="50">
        <f>IF(ISERROR(ROUND(MAX(0,1000*NPV($AT$2,$AV59:$AV$124)-$AW$2*($AU59+NPV($AT$2,$AU60:$AU$124)))/AU59,3)), 0, ROUND(MAX(0,1000*NPV($AT$2,$AV59:$AV$124)-$AW$2*($AU59+NPV($AT$2,$AU60:$AU$124)))/AU59,3))</f>
        <v>893.43799999999999</v>
      </c>
    </row>
    <row r="59" spans="1:50" ht="15" x14ac:dyDescent="0.25">
      <c r="A59">
        <v>34</v>
      </c>
      <c r="B59">
        <v>6.3397169017043197E-4</v>
      </c>
      <c r="C59">
        <f t="shared" si="31"/>
        <v>5.9593338876020598E-4</v>
      </c>
      <c r="D59" s="60"/>
      <c r="E59" s="76"/>
      <c r="F59" s="76"/>
      <c r="I59" s="51">
        <v>55</v>
      </c>
      <c r="J59" s="41"/>
      <c r="K59" s="41" t="str">
        <f t="shared" si="27"/>
        <v/>
      </c>
      <c r="L59" s="42">
        <f t="shared" si="28"/>
        <v>25</v>
      </c>
      <c r="M59" s="41">
        <f t="shared" si="29"/>
        <v>2000000</v>
      </c>
      <c r="N59" s="43">
        <f t="shared" si="1"/>
        <v>907.24099999999999</v>
      </c>
      <c r="O59" s="44">
        <f>AW59</f>
        <v>930.47</v>
      </c>
      <c r="P59" s="41">
        <f t="shared" si="3"/>
        <v>1814482</v>
      </c>
      <c r="Q59" s="41">
        <f t="shared" si="4"/>
        <v>1860940</v>
      </c>
      <c r="R59" s="44"/>
      <c r="S59" s="44">
        <f t="shared" si="15"/>
        <v>842.25782057949812</v>
      </c>
      <c r="T59" s="52">
        <f t="shared" si="30"/>
        <v>0</v>
      </c>
      <c r="U59" s="53">
        <f t="shared" si="16"/>
        <v>3.1433820553537377E-10</v>
      </c>
      <c r="V59" s="53">
        <f t="shared" si="17"/>
        <v>2.6475381191909429E-10</v>
      </c>
      <c r="W59" s="53">
        <f t="shared" si="18"/>
        <v>0</v>
      </c>
      <c r="X59" s="46">
        <f t="shared" si="5"/>
        <v>4.9584393616279485E-11</v>
      </c>
      <c r="Y59" s="54"/>
      <c r="Z59" s="41">
        <f t="shared" si="19"/>
        <v>5.7833451877784632E-4</v>
      </c>
      <c r="AA59" s="41">
        <f t="shared" si="20"/>
        <v>6.2867641107074751E-6</v>
      </c>
      <c r="AB59" s="41">
        <f t="shared" si="6"/>
        <v>9.2273581456279151E-5</v>
      </c>
      <c r="AC59" s="41">
        <f t="shared" si="7"/>
        <v>9.9168787232558974E-7</v>
      </c>
      <c r="AD59" s="54"/>
      <c r="AE59" s="41">
        <f t="shared" si="8"/>
        <v>0</v>
      </c>
      <c r="AF59" s="41"/>
      <c r="AG59" s="41">
        <f t="shared" si="9"/>
        <v>-1.2396098404069871E-9</v>
      </c>
      <c r="AH59" s="41">
        <f t="shared" si="21"/>
        <v>-5.295076238381886E-4</v>
      </c>
      <c r="AI59" s="41">
        <f t="shared" si="22"/>
        <v>0</v>
      </c>
      <c r="AJ59" s="41">
        <f t="shared" si="10"/>
        <v>-5.2950886344802905E-4</v>
      </c>
      <c r="AK59" s="41">
        <f t="shared" si="11"/>
        <v>4.8606093732156717E-4</v>
      </c>
      <c r="AL59" s="41">
        <f t="shared" si="23"/>
        <v>2.3384851315542154E-5</v>
      </c>
      <c r="AM59" s="41">
        <f t="shared" si="12"/>
        <v>-2.0063074810919721E-5</v>
      </c>
      <c r="AN59" s="41">
        <f t="shared" si="13"/>
        <v>5.2950762383818856E-6</v>
      </c>
      <c r="AO59" s="41">
        <f t="shared" si="14"/>
        <v>-1.4767998572537836E-5</v>
      </c>
      <c r="AP59" s="45"/>
      <c r="AQ59" s="45"/>
      <c r="AR59" s="48"/>
      <c r="AS59" s="48"/>
      <c r="AT59" s="51">
        <f t="shared" si="24"/>
        <v>55</v>
      </c>
      <c r="AU59" s="49">
        <f t="shared" si="25"/>
        <v>3.1433820553537377E-10</v>
      </c>
      <c r="AV59" s="49">
        <f t="shared" si="26"/>
        <v>2.6475381191909429E-10</v>
      </c>
      <c r="AW59" s="50">
        <f xml:space="preserve"> IF(ISERROR(ROUND((1000*NPV($AT$1,$AV60:$AV$124)-$AW$1*($AU60+NPV($AT$1,$AU61:$AU$124)))/AU60,3)), 0, ROUND((1000*NPV($AT$1,$AV60:$AV$124)-$AW$1*($AU60+NPV($AT$1,$AU61:$AU$124)))/AU60,3))</f>
        <v>930.47</v>
      </c>
      <c r="AX59" s="50">
        <f>IF(ISERROR(ROUND(MAX(0,1000*NPV($AT$2,$AV60:$AV$124)-$AW$2*($AU60+NPV($AT$2,$AU61:$AU$124)))/AU60,3)), 0, ROUND(MAX(0,1000*NPV($AT$2,$AV60:$AV$124)-$AW$2*($AU60+NPV($AT$2,$AU61:$AU$124)))/AU60,3))</f>
        <v>907.24099999999999</v>
      </c>
    </row>
    <row r="60" spans="1:50" ht="15" x14ac:dyDescent="0.25">
      <c r="A60">
        <v>35</v>
      </c>
      <c r="B60">
        <v>6.7344539580516105E-4</v>
      </c>
      <c r="C60">
        <f t="shared" si="31"/>
        <v>6.3303867205685141E-4</v>
      </c>
      <c r="D60" s="60"/>
      <c r="E60" s="5"/>
      <c r="F60" s="5"/>
      <c r="I60" s="51">
        <v>56</v>
      </c>
      <c r="J60" s="41"/>
      <c r="K60" s="41" t="str">
        <f t="shared" si="27"/>
        <v/>
      </c>
      <c r="L60" s="42">
        <f t="shared" si="28"/>
        <v>25</v>
      </c>
      <c r="M60" s="41">
        <f t="shared" si="29"/>
        <v>2000000</v>
      </c>
      <c r="N60" s="43">
        <f t="shared" si="1"/>
        <v>0</v>
      </c>
      <c r="O60" s="44">
        <f t="shared" si="2"/>
        <v>0</v>
      </c>
      <c r="P60" s="41">
        <f t="shared" si="3"/>
        <v>0</v>
      </c>
      <c r="Q60" s="41">
        <f t="shared" si="4"/>
        <v>0</v>
      </c>
      <c r="R60" s="44"/>
      <c r="S60" s="44">
        <f t="shared" si="15"/>
        <v>1000</v>
      </c>
      <c r="T60" s="52">
        <f t="shared" si="30"/>
        <v>0</v>
      </c>
      <c r="U60" s="53">
        <f t="shared" si="16"/>
        <v>4.9584393616279485E-11</v>
      </c>
      <c r="V60" s="53">
        <f t="shared" si="17"/>
        <v>4.9584393616279485E-11</v>
      </c>
      <c r="W60" s="53">
        <f t="shared" si="18"/>
        <v>0</v>
      </c>
      <c r="X60" s="46">
        <f t="shared" si="5"/>
        <v>0</v>
      </c>
      <c r="Y60" s="54"/>
      <c r="Z60" s="41">
        <f t="shared" si="19"/>
        <v>9.2273581456279151E-5</v>
      </c>
      <c r="AA60" s="41">
        <f t="shared" si="20"/>
        <v>9.9168787232558974E-7</v>
      </c>
      <c r="AB60" s="41">
        <f t="shared" si="6"/>
        <v>0</v>
      </c>
      <c r="AC60" s="41">
        <f t="shared" si="7"/>
        <v>0</v>
      </c>
      <c r="AD60" s="54"/>
      <c r="AE60" s="41">
        <f t="shared" si="8"/>
        <v>0</v>
      </c>
      <c r="AF60" s="41"/>
      <c r="AG60" s="41">
        <f t="shared" si="9"/>
        <v>0</v>
      </c>
      <c r="AH60" s="41">
        <f t="shared" si="21"/>
        <v>-9.9168787232558963E-5</v>
      </c>
      <c r="AI60" s="41">
        <f t="shared" si="22"/>
        <v>0</v>
      </c>
      <c r="AJ60" s="41">
        <f t="shared" si="10"/>
        <v>-9.9168787232558963E-5</v>
      </c>
      <c r="AK60" s="41">
        <f t="shared" si="11"/>
        <v>9.2273581456279151E-5</v>
      </c>
      <c r="AL60" s="41">
        <f t="shared" si="23"/>
        <v>3.7306107731441899E-6</v>
      </c>
      <c r="AM60" s="41">
        <f t="shared" si="12"/>
        <v>-3.1645950031356226E-6</v>
      </c>
      <c r="AN60" s="41">
        <f t="shared" si="13"/>
        <v>9.9168787232558974E-7</v>
      </c>
      <c r="AO60" s="41">
        <f t="shared" si="14"/>
        <v>-2.1729071308100331E-6</v>
      </c>
      <c r="AP60" s="45"/>
      <c r="AQ60" s="45"/>
      <c r="AR60" s="48"/>
      <c r="AS60" s="48"/>
      <c r="AT60" s="51">
        <f t="shared" si="24"/>
        <v>56</v>
      </c>
      <c r="AU60" s="49">
        <f t="shared" si="25"/>
        <v>4.9584393616279485E-11</v>
      </c>
      <c r="AV60" s="49">
        <f t="shared" si="26"/>
        <v>4.9584393616279485E-11</v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7.0164143797779598E-4</v>
      </c>
      <c r="C61">
        <f t="shared" si="31"/>
        <v>6.5954295169912819E-4</v>
      </c>
      <c r="D61" s="60"/>
      <c r="E61" s="5"/>
      <c r="F61" s="5"/>
      <c r="I61" s="51"/>
      <c r="J61" s="41"/>
      <c r="K61" s="41" t="str">
        <f t="shared" si="27"/>
        <v/>
      </c>
      <c r="L61" s="42" t="str">
        <f t="shared" si="28"/>
        <v/>
      </c>
      <c r="M61" s="41" t="str">
        <f t="shared" si="29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 t="shared" si="15"/>
        <v/>
      </c>
      <c r="T61" s="52">
        <f t="shared" si="30"/>
        <v>0</v>
      </c>
      <c r="U61" s="53" t="str">
        <f t="shared" si="16"/>
        <v/>
      </c>
      <c r="V61" s="53" t="str">
        <f t="shared" si="17"/>
        <v/>
      </c>
      <c r="W61" s="53" t="str">
        <f t="shared" si="18"/>
        <v/>
      </c>
      <c r="X61" s="46" t="str">
        <f t="shared" si="5"/>
        <v/>
      </c>
      <c r="Y61" s="54"/>
      <c r="Z61" s="41" t="str">
        <f t="shared" si="19"/>
        <v/>
      </c>
      <c r="AA61" s="41" t="str">
        <f t="shared" si="20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21"/>
        <v/>
      </c>
      <c r="AI61" s="41" t="str">
        <f t="shared" si="22"/>
        <v/>
      </c>
      <c r="AJ61" s="41">
        <f t="shared" si="10"/>
        <v>0</v>
      </c>
      <c r="AK61" s="41" t="str">
        <f t="shared" si="11"/>
        <v/>
      </c>
      <c r="AL61" s="41">
        <f t="shared" si="23"/>
        <v>0</v>
      </c>
      <c r="AM61" s="41">
        <f t="shared" si="12"/>
        <v>0</v>
      </c>
      <c r="AN61" s="41" t="str">
        <f t="shared" si="13"/>
        <v/>
      </c>
      <c r="AO61" s="41">
        <f t="shared" si="14"/>
        <v>0</v>
      </c>
      <c r="AP61" s="45"/>
      <c r="AQ61" s="45"/>
      <c r="AR61" s="48"/>
      <c r="AS61" s="48"/>
      <c r="AT61" s="51">
        <f t="shared" si="24"/>
        <v>57</v>
      </c>
      <c r="AU61" s="49" t="str">
        <f t="shared" si="25"/>
        <v/>
      </c>
      <c r="AV61" s="49" t="str">
        <f t="shared" si="26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7.6310898413622897E-4</v>
      </c>
      <c r="C62">
        <f t="shared" si="31"/>
        <v>7.1732244508805523E-4</v>
      </c>
      <c r="D62" s="60"/>
      <c r="E62" s="5"/>
      <c r="F62" s="5"/>
      <c r="I62" s="51"/>
      <c r="J62" s="41"/>
      <c r="K62" s="41" t="str">
        <f t="shared" si="27"/>
        <v/>
      </c>
      <c r="L62" s="42" t="str">
        <f t="shared" si="28"/>
        <v/>
      </c>
      <c r="M62" s="41" t="str">
        <f t="shared" si="29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 t="shared" si="15"/>
        <v/>
      </c>
      <c r="T62" s="52">
        <f t="shared" si="30"/>
        <v>0</v>
      </c>
      <c r="U62" s="53" t="str">
        <f t="shared" si="16"/>
        <v/>
      </c>
      <c r="V62" s="53" t="str">
        <f t="shared" si="17"/>
        <v/>
      </c>
      <c r="W62" s="53" t="str">
        <f t="shared" si="18"/>
        <v/>
      </c>
      <c r="X62" s="46" t="str">
        <f t="shared" si="5"/>
        <v/>
      </c>
      <c r="Y62" s="54"/>
      <c r="Z62" s="41" t="str">
        <f t="shared" si="19"/>
        <v/>
      </c>
      <c r="AA62" s="41" t="str">
        <f t="shared" si="20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21"/>
        <v/>
      </c>
      <c r="AI62" s="41" t="str">
        <f t="shared" si="22"/>
        <v/>
      </c>
      <c r="AJ62" s="41">
        <f t="shared" si="10"/>
        <v>0</v>
      </c>
      <c r="AK62" s="41" t="str">
        <f t="shared" si="11"/>
        <v/>
      </c>
      <c r="AL62" s="41">
        <f t="shared" si="23"/>
        <v>0</v>
      </c>
      <c r="AM62" s="41">
        <f t="shared" si="12"/>
        <v>0</v>
      </c>
      <c r="AN62" s="41" t="str">
        <f t="shared" si="13"/>
        <v/>
      </c>
      <c r="AO62" s="41">
        <f t="shared" si="14"/>
        <v>0</v>
      </c>
      <c r="AP62" s="45"/>
      <c r="AQ62" s="45"/>
      <c r="AR62" s="48"/>
      <c r="AS62" s="48"/>
      <c r="AT62" s="51">
        <f t="shared" si="24"/>
        <v>58</v>
      </c>
      <c r="AU62" s="49" t="str">
        <f t="shared" si="25"/>
        <v/>
      </c>
      <c r="AV62" s="49" t="str">
        <f t="shared" si="26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8.3463811600603698E-4</v>
      </c>
      <c r="C63">
        <f t="shared" si="31"/>
        <v>7.8455982904567477E-4</v>
      </c>
      <c r="D63" s="60"/>
      <c r="E63" s="5"/>
      <c r="F63" s="5"/>
      <c r="I63" s="51"/>
      <c r="J63" s="41"/>
      <c r="K63" s="41" t="str">
        <f t="shared" si="27"/>
        <v/>
      </c>
      <c r="L63" s="42" t="str">
        <f t="shared" si="28"/>
        <v/>
      </c>
      <c r="M63" s="41" t="str">
        <f t="shared" si="29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 t="shared" si="15"/>
        <v/>
      </c>
      <c r="T63" s="52">
        <f t="shared" si="30"/>
        <v>0</v>
      </c>
      <c r="U63" s="53" t="str">
        <f t="shared" si="16"/>
        <v/>
      </c>
      <c r="V63" s="53" t="str">
        <f t="shared" si="17"/>
        <v/>
      </c>
      <c r="W63" s="53" t="str">
        <f t="shared" si="18"/>
        <v/>
      </c>
      <c r="X63" s="46" t="str">
        <f t="shared" si="5"/>
        <v/>
      </c>
      <c r="Y63" s="54"/>
      <c r="Z63" s="41" t="str">
        <f t="shared" si="19"/>
        <v/>
      </c>
      <c r="AA63" s="41" t="str">
        <f t="shared" si="20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21"/>
        <v/>
      </c>
      <c r="AI63" s="41" t="str">
        <f t="shared" si="22"/>
        <v/>
      </c>
      <c r="AJ63" s="41">
        <f t="shared" si="10"/>
        <v>0</v>
      </c>
      <c r="AK63" s="41" t="str">
        <f t="shared" si="11"/>
        <v/>
      </c>
      <c r="AL63" s="41">
        <f t="shared" si="23"/>
        <v>0</v>
      </c>
      <c r="AM63" s="41">
        <f t="shared" si="12"/>
        <v>0</v>
      </c>
      <c r="AN63" s="41" t="str">
        <f t="shared" si="13"/>
        <v/>
      </c>
      <c r="AO63" s="41">
        <f t="shared" si="14"/>
        <v>0</v>
      </c>
      <c r="AP63" s="45"/>
      <c r="AQ63" s="45"/>
      <c r="AR63" s="48"/>
      <c r="AS63" s="48"/>
      <c r="AT63" s="51">
        <f t="shared" si="24"/>
        <v>59</v>
      </c>
      <c r="AU63" s="49" t="str">
        <f t="shared" si="25"/>
        <v/>
      </c>
      <c r="AV63" s="49" t="str">
        <f t="shared" si="26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9.0812443771137697E-4</v>
      </c>
      <c r="C64">
        <f t="shared" si="31"/>
        <v>8.5363697144869434E-4</v>
      </c>
      <c r="D64" s="60"/>
      <c r="E64" s="5"/>
      <c r="F64" s="5"/>
      <c r="I64" s="51"/>
      <c r="J64" s="41"/>
      <c r="K64" s="41" t="str">
        <f t="shared" si="27"/>
        <v/>
      </c>
      <c r="L64" s="42" t="str">
        <f t="shared" si="28"/>
        <v/>
      </c>
      <c r="M64" s="41" t="str">
        <f t="shared" si="29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 t="shared" si="15"/>
        <v/>
      </c>
      <c r="T64" s="52">
        <f t="shared" si="30"/>
        <v>0</v>
      </c>
      <c r="U64" s="53" t="str">
        <f t="shared" si="16"/>
        <v/>
      </c>
      <c r="V64" s="53" t="str">
        <f t="shared" si="17"/>
        <v/>
      </c>
      <c r="W64" s="53" t="str">
        <f t="shared" si="18"/>
        <v/>
      </c>
      <c r="X64" s="46" t="str">
        <f t="shared" si="5"/>
        <v/>
      </c>
      <c r="Y64" s="54"/>
      <c r="Z64" s="41" t="str">
        <f t="shared" si="19"/>
        <v/>
      </c>
      <c r="AA64" s="41" t="str">
        <f t="shared" si="20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21"/>
        <v/>
      </c>
      <c r="AI64" s="41" t="str">
        <f t="shared" si="22"/>
        <v/>
      </c>
      <c r="AJ64" s="41">
        <f t="shared" si="10"/>
        <v>0</v>
      </c>
      <c r="AK64" s="41" t="str">
        <f t="shared" si="11"/>
        <v/>
      </c>
      <c r="AL64" s="41">
        <f t="shared" si="23"/>
        <v>0</v>
      </c>
      <c r="AM64" s="41">
        <f t="shared" si="12"/>
        <v>0</v>
      </c>
      <c r="AN64" s="41" t="str">
        <f t="shared" si="13"/>
        <v/>
      </c>
      <c r="AO64" s="41">
        <f t="shared" si="14"/>
        <v>0</v>
      </c>
      <c r="AP64" s="45"/>
      <c r="AQ64" s="45"/>
      <c r="AR64" s="48"/>
      <c r="AS64" s="48"/>
      <c r="AT64" s="51">
        <f t="shared" si="24"/>
        <v>60</v>
      </c>
      <c r="AU64" s="49" t="str">
        <f t="shared" si="25"/>
        <v/>
      </c>
      <c r="AV64" s="49" t="str">
        <f t="shared" si="26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9.8479293204090101E-4</v>
      </c>
      <c r="C65">
        <f t="shared" si="31"/>
        <v>9.2570535611844688E-4</v>
      </c>
      <c r="D65" s="60"/>
      <c r="E65" s="5"/>
      <c r="F65" s="5"/>
      <c r="I65" s="51"/>
      <c r="J65" s="41"/>
      <c r="K65" s="41" t="str">
        <f t="shared" si="27"/>
        <v/>
      </c>
      <c r="L65" s="42" t="str">
        <f t="shared" si="28"/>
        <v/>
      </c>
      <c r="M65" s="41" t="str">
        <f t="shared" si="29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 t="shared" si="15"/>
        <v/>
      </c>
      <c r="T65" s="52">
        <f t="shared" si="30"/>
        <v>0</v>
      </c>
      <c r="U65" s="53" t="str">
        <f t="shared" si="16"/>
        <v/>
      </c>
      <c r="V65" s="53" t="str">
        <f t="shared" si="17"/>
        <v/>
      </c>
      <c r="W65" s="53" t="str">
        <f t="shared" si="18"/>
        <v/>
      </c>
      <c r="X65" s="46" t="str">
        <f t="shared" si="5"/>
        <v/>
      </c>
      <c r="Y65" s="54"/>
      <c r="Z65" s="41" t="str">
        <f t="shared" si="19"/>
        <v/>
      </c>
      <c r="AA65" s="41" t="str">
        <f t="shared" si="20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21"/>
        <v/>
      </c>
      <c r="AI65" s="41" t="str">
        <f t="shared" si="22"/>
        <v/>
      </c>
      <c r="AJ65" s="41">
        <f t="shared" si="10"/>
        <v>0</v>
      </c>
      <c r="AK65" s="41" t="str">
        <f t="shared" si="11"/>
        <v/>
      </c>
      <c r="AL65" s="41">
        <f t="shared" si="23"/>
        <v>0</v>
      </c>
      <c r="AM65" s="41">
        <f t="shared" si="12"/>
        <v>0</v>
      </c>
      <c r="AN65" s="41" t="str">
        <f t="shared" si="13"/>
        <v/>
      </c>
      <c r="AO65" s="41">
        <f t="shared" si="14"/>
        <v>0</v>
      </c>
      <c r="AP65" s="45"/>
      <c r="AQ65" s="45"/>
      <c r="AR65" s="48"/>
      <c r="AS65" s="48"/>
      <c r="AT65" s="51">
        <f t="shared" si="24"/>
        <v>61</v>
      </c>
      <c r="AU65" s="49" t="str">
        <f t="shared" si="25"/>
        <v/>
      </c>
      <c r="AV65" s="49" t="str">
        <f t="shared" si="26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1.07415544721889E-3</v>
      </c>
      <c r="C66">
        <f t="shared" si="31"/>
        <v>1.0097061203857565E-3</v>
      </c>
      <c r="D66" s="60"/>
      <c r="E66" s="5"/>
      <c r="F66" s="5"/>
      <c r="I66" s="51"/>
      <c r="J66" s="41"/>
      <c r="K66" s="41" t="str">
        <f t="shared" si="27"/>
        <v/>
      </c>
      <c r="L66" s="42" t="str">
        <f t="shared" si="28"/>
        <v/>
      </c>
      <c r="M66" s="41" t="str">
        <f t="shared" si="29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 t="shared" si="15"/>
        <v/>
      </c>
      <c r="T66" s="52">
        <f t="shared" si="30"/>
        <v>0</v>
      </c>
      <c r="U66" s="53" t="str">
        <f t="shared" si="16"/>
        <v/>
      </c>
      <c r="V66" s="53" t="str">
        <f t="shared" si="17"/>
        <v/>
      </c>
      <c r="W66" s="53" t="str">
        <f t="shared" si="18"/>
        <v/>
      </c>
      <c r="X66" s="46" t="str">
        <f t="shared" si="5"/>
        <v/>
      </c>
      <c r="Y66" s="54"/>
      <c r="Z66" s="41" t="str">
        <f t="shared" si="19"/>
        <v/>
      </c>
      <c r="AA66" s="41" t="str">
        <f t="shared" si="20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21"/>
        <v/>
      </c>
      <c r="AI66" s="41" t="str">
        <f t="shared" si="22"/>
        <v/>
      </c>
      <c r="AJ66" s="41">
        <f t="shared" si="10"/>
        <v>0</v>
      </c>
      <c r="AK66" s="41" t="str">
        <f t="shared" si="11"/>
        <v/>
      </c>
      <c r="AL66" s="41">
        <f t="shared" si="23"/>
        <v>0</v>
      </c>
      <c r="AM66" s="41">
        <f t="shared" si="12"/>
        <v>0</v>
      </c>
      <c r="AN66" s="41" t="str">
        <f t="shared" si="13"/>
        <v/>
      </c>
      <c r="AO66" s="41">
        <f t="shared" si="14"/>
        <v>0</v>
      </c>
      <c r="AP66" s="45"/>
      <c r="AQ66" s="45"/>
      <c r="AR66" s="48"/>
      <c r="AS66" s="48"/>
      <c r="AT66" s="51">
        <f t="shared" si="24"/>
        <v>62</v>
      </c>
      <c r="AU66" s="49" t="str">
        <f t="shared" si="25"/>
        <v/>
      </c>
      <c r="AV66" s="49" t="str">
        <f t="shared" si="26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1.16287456228303E-3</v>
      </c>
      <c r="C67">
        <f t="shared" si="31"/>
        <v>1.0931020885460482E-3</v>
      </c>
      <c r="D67" s="60"/>
      <c r="E67" s="5"/>
      <c r="F67" s="5"/>
      <c r="I67" s="51"/>
      <c r="J67" s="41"/>
      <c r="K67" s="41" t="str">
        <f t="shared" si="27"/>
        <v/>
      </c>
      <c r="L67" s="42" t="str">
        <f t="shared" si="28"/>
        <v/>
      </c>
      <c r="M67" s="41" t="str">
        <f t="shared" si="29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 t="shared" si="15"/>
        <v/>
      </c>
      <c r="T67" s="52">
        <f t="shared" si="30"/>
        <v>0</v>
      </c>
      <c r="U67" s="53" t="str">
        <f t="shared" si="16"/>
        <v/>
      </c>
      <c r="V67" s="53" t="str">
        <f t="shared" si="17"/>
        <v/>
      </c>
      <c r="W67" s="53" t="str">
        <f t="shared" si="18"/>
        <v/>
      </c>
      <c r="X67" s="46" t="str">
        <f t="shared" si="5"/>
        <v/>
      </c>
      <c r="Y67" s="54"/>
      <c r="Z67" s="41" t="str">
        <f t="shared" si="19"/>
        <v/>
      </c>
      <c r="AA67" s="41" t="str">
        <f t="shared" si="20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21"/>
        <v/>
      </c>
      <c r="AI67" s="41" t="str">
        <f t="shared" si="22"/>
        <v/>
      </c>
      <c r="AJ67" s="41">
        <f t="shared" si="10"/>
        <v>0</v>
      </c>
      <c r="AK67" s="41" t="str">
        <f t="shared" si="11"/>
        <v/>
      </c>
      <c r="AL67" s="41">
        <f t="shared" si="23"/>
        <v>0</v>
      </c>
      <c r="AM67" s="41">
        <f t="shared" si="12"/>
        <v>0</v>
      </c>
      <c r="AN67" s="41" t="str">
        <f t="shared" si="13"/>
        <v/>
      </c>
      <c r="AO67" s="41">
        <f t="shared" si="14"/>
        <v>0</v>
      </c>
      <c r="AP67" s="45"/>
      <c r="AQ67" s="45"/>
      <c r="AR67" s="48"/>
      <c r="AS67" s="48"/>
      <c r="AT67" s="51">
        <f t="shared" si="24"/>
        <v>63</v>
      </c>
      <c r="AU67" s="49" t="str">
        <f t="shared" si="25"/>
        <v/>
      </c>
      <c r="AV67" s="49" t="str">
        <f t="shared" si="26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1.2640568605671899E-3</v>
      </c>
      <c r="C68">
        <f t="shared" si="31"/>
        <v>1.1882134489331585E-3</v>
      </c>
      <c r="D68" s="60"/>
      <c r="E68" s="5"/>
      <c r="F68" s="5"/>
      <c r="I68" s="51"/>
      <c r="J68" s="41"/>
      <c r="K68" s="41" t="str">
        <f t="shared" si="27"/>
        <v/>
      </c>
      <c r="L68" s="42" t="str">
        <f t="shared" si="28"/>
        <v/>
      </c>
      <c r="M68" s="41" t="str">
        <f t="shared" si="29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 t="shared" si="15"/>
        <v/>
      </c>
      <c r="T68" s="52">
        <f t="shared" si="30"/>
        <v>0</v>
      </c>
      <c r="U68" s="53" t="str">
        <f t="shared" si="16"/>
        <v/>
      </c>
      <c r="V68" s="53" t="str">
        <f t="shared" si="17"/>
        <v/>
      </c>
      <c r="W68" s="53" t="str">
        <f t="shared" si="18"/>
        <v/>
      </c>
      <c r="X68" s="46" t="str">
        <f t="shared" si="5"/>
        <v/>
      </c>
      <c r="Y68" s="54"/>
      <c r="Z68" s="41" t="str">
        <f t="shared" si="19"/>
        <v/>
      </c>
      <c r="AA68" s="41" t="str">
        <f t="shared" si="20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21"/>
        <v/>
      </c>
      <c r="AI68" s="41" t="str">
        <f t="shared" si="22"/>
        <v/>
      </c>
      <c r="AJ68" s="41">
        <f t="shared" si="10"/>
        <v>0</v>
      </c>
      <c r="AK68" s="41" t="str">
        <f t="shared" si="11"/>
        <v/>
      </c>
      <c r="AL68" s="41">
        <f t="shared" si="23"/>
        <v>0</v>
      </c>
      <c r="AM68" s="41">
        <f t="shared" si="12"/>
        <v>0</v>
      </c>
      <c r="AN68" s="41" t="str">
        <f t="shared" si="13"/>
        <v/>
      </c>
      <c r="AO68" s="41">
        <f t="shared" si="14"/>
        <v>0</v>
      </c>
      <c r="AP68" s="45"/>
      <c r="AQ68" s="45"/>
      <c r="AR68" s="48"/>
      <c r="AS68" s="48"/>
      <c r="AT68" s="51">
        <f t="shared" si="24"/>
        <v>64</v>
      </c>
      <c r="AU68" s="49" t="str">
        <f t="shared" si="25"/>
        <v/>
      </c>
      <c r="AV68" s="49" t="str">
        <f t="shared" si="26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1.3729949625973499E-3</v>
      </c>
      <c r="C69">
        <f t="shared" si="31"/>
        <v>1.2906152648415089E-3</v>
      </c>
      <c r="D69" s="60"/>
      <c r="E69" s="5"/>
      <c r="F69" s="5"/>
      <c r="I69" s="51"/>
      <c r="J69" s="41"/>
      <c r="K69" s="41" t="str">
        <f t="shared" si="27"/>
        <v/>
      </c>
      <c r="L69" s="42" t="str">
        <f t="shared" si="28"/>
        <v/>
      </c>
      <c r="M69" s="41" t="str">
        <f t="shared" si="29"/>
        <v/>
      </c>
      <c r="N69" s="43">
        <f t="shared" ref="N69:N123" si="32">AX69</f>
        <v>0</v>
      </c>
      <c r="O69" s="44">
        <f t="shared" ref="O69:O123" si="33">AW69</f>
        <v>0</v>
      </c>
      <c r="P69" s="41" t="str">
        <f t="shared" ref="P69:P124" si="34">IF(I69&lt;&gt;"", M69*N69/1000, "")</f>
        <v/>
      </c>
      <c r="Q69" s="41" t="str">
        <f t="shared" ref="Q69:Q124" si="35">IF(I69&lt;&gt;"", M69*O69/1000, "")</f>
        <v/>
      </c>
      <c r="R69" s="44"/>
      <c r="S69" s="44" t="str">
        <f t="shared" si="15"/>
        <v/>
      </c>
      <c r="T69" s="52">
        <f t="shared" si="30"/>
        <v>0</v>
      </c>
      <c r="U69" s="53" t="str">
        <f t="shared" si="16"/>
        <v/>
      </c>
      <c r="V69" s="53" t="str">
        <f t="shared" si="17"/>
        <v/>
      </c>
      <c r="W69" s="53" t="str">
        <f t="shared" si="18"/>
        <v/>
      </c>
      <c r="X69" s="46" t="str">
        <f t="shared" ref="X69:X124" si="36">IF(I69&lt;&gt;"", U69-SUM(V69:W69), "")</f>
        <v/>
      </c>
      <c r="Y69" s="54"/>
      <c r="Z69" s="41" t="str">
        <f t="shared" si="19"/>
        <v/>
      </c>
      <c r="AA69" s="41" t="str">
        <f t="shared" si="20"/>
        <v/>
      </c>
      <c r="AB69" s="41" t="str">
        <f t="shared" ref="AB69:AB124" si="37">IF(I69&lt;&gt;"", Q69*X69, "" )</f>
        <v/>
      </c>
      <c r="AC69" s="41" t="str">
        <f t="shared" ref="AC69:AC124" si="38">IF(I69&lt;&gt;"", $H$14*M69*X69, "")</f>
        <v/>
      </c>
      <c r="AD69" s="54"/>
      <c r="AE69" s="41" t="str">
        <f t="shared" ref="AE69:AE124" si="39">IF(I69&lt;&gt;"", $X69*J69, "")</f>
        <v/>
      </c>
      <c r="AF69" s="41"/>
      <c r="AG69" s="41" t="str">
        <f t="shared" ref="AG69:AG124" si="40">IF(I69&lt;&gt;"", -$X69*L69, "")</f>
        <v/>
      </c>
      <c r="AH69" s="41" t="str">
        <f t="shared" si="21"/>
        <v/>
      </c>
      <c r="AI69" s="41" t="str">
        <f t="shared" si="22"/>
        <v/>
      </c>
      <c r="AJ69" s="41">
        <f t="shared" ref="AJ69:AJ124" si="41">SUM(AE69:AI69)</f>
        <v>0</v>
      </c>
      <c r="AK69" s="41" t="str">
        <f t="shared" ref="AK69:AK124" si="42">IF(I69&lt;&gt;"", Z69-AB69, "")</f>
        <v/>
      </c>
      <c r="AL69" s="41">
        <f t="shared" si="23"/>
        <v>0</v>
      </c>
      <c r="AM69" s="41">
        <f t="shared" ref="AM69:AM124" si="43">SUM(AJ69:AL69)</f>
        <v>0</v>
      </c>
      <c r="AN69" s="41" t="str">
        <f t="shared" ref="AN69:AN124" si="44">IF(I69&lt;&gt;"", AA69-AC69, "")</f>
        <v/>
      </c>
      <c r="AO69" s="41">
        <f t="shared" ref="AO69:AO78" si="45">SUM(AM69:AN69)</f>
        <v>0</v>
      </c>
      <c r="AP69" s="45"/>
      <c r="AQ69" s="45"/>
      <c r="AR69" s="48"/>
      <c r="AS69" s="48"/>
      <c r="AT69" s="51">
        <f t="shared" si="24"/>
        <v>65</v>
      </c>
      <c r="AU69" s="49" t="str">
        <f t="shared" si="25"/>
        <v/>
      </c>
      <c r="AV69" s="49" t="str">
        <f t="shared" si="26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1.49177132168521E-3</v>
      </c>
      <c r="C70">
        <f t="shared" si="31"/>
        <v>1.4022650423840973E-3</v>
      </c>
      <c r="D70" s="60"/>
      <c r="E70" s="5"/>
      <c r="F70" s="5"/>
      <c r="I70" s="51"/>
      <c r="J70" s="41"/>
      <c r="K70" s="41" t="str">
        <f t="shared" si="27"/>
        <v/>
      </c>
      <c r="L70" s="42" t="str">
        <f t="shared" si="28"/>
        <v/>
      </c>
      <c r="M70" s="41" t="str">
        <f t="shared" si="29"/>
        <v/>
      </c>
      <c r="N70" s="43">
        <f t="shared" si="32"/>
        <v>0</v>
      </c>
      <c r="O70" s="44">
        <f t="shared" si="33"/>
        <v>0</v>
      </c>
      <c r="P70" s="41" t="str">
        <f t="shared" si="34"/>
        <v/>
      </c>
      <c r="Q70" s="41" t="str">
        <f t="shared" si="35"/>
        <v/>
      </c>
      <c r="R70" s="44"/>
      <c r="S70" s="44" t="str">
        <f t="shared" ref="S70:S124" si="46">IF(I70&lt;&gt;"",_xlfn.XLOOKUP(D$4+I69,A$26:A$145,$C$26:$C$145,0) * 1000,"")</f>
        <v/>
      </c>
      <c r="T70" s="52">
        <f t="shared" si="30"/>
        <v>0</v>
      </c>
      <c r="U70" s="53" t="str">
        <f t="shared" ref="U70:U124" si="47">IF(I70&lt;&gt;"", X69, "")</f>
        <v/>
      </c>
      <c r="V70" s="53" t="str">
        <f t="shared" ref="V70:V124" si="48">IF(I70&lt;&gt;"", S70*U70/1000, "")</f>
        <v/>
      </c>
      <c r="W70" s="53" t="str">
        <f t="shared" ref="W70:W124" si="49">IF(I70&lt;&gt;"", MIN(T70*U70,U70-V70), "")</f>
        <v/>
      </c>
      <c r="X70" s="46" t="str">
        <f t="shared" si="36"/>
        <v/>
      </c>
      <c r="Y70" s="54"/>
      <c r="Z70" s="41" t="str">
        <f t="shared" ref="Z70:Z124" si="50">IF(I70&lt;&gt;"",AB69,"")</f>
        <v/>
      </c>
      <c r="AA70" s="41" t="str">
        <f t="shared" ref="AA70:AA124" si="51">IF(I70&lt;&gt;"", AC69, "")</f>
        <v/>
      </c>
      <c r="AB70" s="41" t="str">
        <f t="shared" si="37"/>
        <v/>
      </c>
      <c r="AC70" s="41" t="str">
        <f t="shared" si="38"/>
        <v/>
      </c>
      <c r="AD70" s="54"/>
      <c r="AE70" s="41" t="str">
        <f t="shared" si="39"/>
        <v/>
      </c>
      <c r="AF70" s="41"/>
      <c r="AG70" s="41" t="str">
        <f t="shared" si="40"/>
        <v/>
      </c>
      <c r="AH70" s="41" t="str">
        <f t="shared" ref="AH70:AH124" si="52">IF(I70&lt;&gt;"",-M70*V70,"")</f>
        <v/>
      </c>
      <c r="AI70" s="41" t="str">
        <f t="shared" ref="AI70:AI124" si="53">IF(I70 &lt;&gt; "", -P70*W70, "")</f>
        <v/>
      </c>
      <c r="AJ70" s="41">
        <f t="shared" si="41"/>
        <v>0</v>
      </c>
      <c r="AK70" s="41" t="str">
        <f t="shared" si="42"/>
        <v/>
      </c>
      <c r="AL70" s="41">
        <f t="shared" ref="AL70:AL124" si="54">$D$6*SUM(Z70:AA70,AE70:AF70)</f>
        <v>0</v>
      </c>
      <c r="AM70" s="41">
        <f t="shared" si="43"/>
        <v>0</v>
      </c>
      <c r="AN70" s="41" t="str">
        <f t="shared" si="44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5">AT69+1</f>
        <v>66</v>
      </c>
      <c r="AU70" s="49" t="str">
        <f t="shared" ref="AU70:AU124" si="56">IF(I70&lt;&gt;"", AU69-AV69, "")</f>
        <v/>
      </c>
      <c r="AV70" s="49" t="str">
        <f t="shared" ref="AV70:AV124" si="57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1.5784777539943301E-3</v>
      </c>
      <c r="C71">
        <f t="shared" si="31"/>
        <v>1.4837690887546703E-3</v>
      </c>
      <c r="D71" s="60"/>
      <c r="E71" s="5"/>
      <c r="F71" s="5"/>
      <c r="I71" s="51"/>
      <c r="J71" s="41"/>
      <c r="K71" s="41" t="str">
        <f t="shared" ref="K71:K124" si="58">IF(J71&lt;&gt;"",J71*$C$17,"")</f>
        <v/>
      </c>
      <c r="L71" s="42" t="str">
        <f t="shared" ref="L71:L124" si="59">IF(I71&lt;&gt;"",$C$21,"")</f>
        <v/>
      </c>
      <c r="M71" s="41" t="str">
        <f t="shared" ref="M71:M124" si="60">IF(I71&lt;&gt;"",$E$11,"")</f>
        <v/>
      </c>
      <c r="N71" s="43">
        <f t="shared" si="32"/>
        <v>0</v>
      </c>
      <c r="O71" s="44">
        <f t="shared" si="33"/>
        <v>0</v>
      </c>
      <c r="P71" s="41" t="str">
        <f t="shared" si="34"/>
        <v/>
      </c>
      <c r="Q71" s="41" t="str">
        <f t="shared" si="35"/>
        <v/>
      </c>
      <c r="R71" s="44"/>
      <c r="S71" s="44" t="str">
        <f t="shared" si="46"/>
        <v/>
      </c>
      <c r="T71" s="52">
        <f t="shared" si="30"/>
        <v>0</v>
      </c>
      <c r="U71" s="53" t="str">
        <f t="shared" si="47"/>
        <v/>
      </c>
      <c r="V71" s="53" t="str">
        <f t="shared" si="48"/>
        <v/>
      </c>
      <c r="W71" s="53" t="str">
        <f t="shared" si="49"/>
        <v/>
      </c>
      <c r="X71" s="46" t="str">
        <f t="shared" si="36"/>
        <v/>
      </c>
      <c r="Y71" s="54"/>
      <c r="Z71" s="41" t="str">
        <f t="shared" si="50"/>
        <v/>
      </c>
      <c r="AA71" s="41" t="str">
        <f t="shared" si="51"/>
        <v/>
      </c>
      <c r="AB71" s="41" t="str">
        <f t="shared" si="37"/>
        <v/>
      </c>
      <c r="AC71" s="41" t="str">
        <f t="shared" si="38"/>
        <v/>
      </c>
      <c r="AD71" s="54"/>
      <c r="AE71" s="41" t="str">
        <f t="shared" si="39"/>
        <v/>
      </c>
      <c r="AF71" s="41"/>
      <c r="AG71" s="41" t="str">
        <f t="shared" si="40"/>
        <v/>
      </c>
      <c r="AH71" s="41" t="str">
        <f t="shared" si="52"/>
        <v/>
      </c>
      <c r="AI71" s="41" t="str">
        <f t="shared" si="53"/>
        <v/>
      </c>
      <c r="AJ71" s="41">
        <f t="shared" si="41"/>
        <v>0</v>
      </c>
      <c r="AK71" s="41" t="str">
        <f t="shared" si="42"/>
        <v/>
      </c>
      <c r="AL71" s="41">
        <f t="shared" si="54"/>
        <v>0</v>
      </c>
      <c r="AM71" s="41">
        <f t="shared" si="43"/>
        <v>0</v>
      </c>
      <c r="AN71" s="41" t="str">
        <f t="shared" si="44"/>
        <v/>
      </c>
      <c r="AO71" s="41">
        <f t="shared" si="45"/>
        <v>0</v>
      </c>
      <c r="AP71" s="45"/>
      <c r="AQ71" s="45"/>
      <c r="AR71" s="48"/>
      <c r="AS71" s="48"/>
      <c r="AT71" s="51">
        <f t="shared" si="55"/>
        <v>67</v>
      </c>
      <c r="AU71" s="49" t="str">
        <f t="shared" si="56"/>
        <v/>
      </c>
      <c r="AV71" s="49" t="str">
        <f t="shared" si="57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1.7230158331753599E-3</v>
      </c>
      <c r="C72">
        <f t="shared" si="31"/>
        <v>1.6196348831848382E-3</v>
      </c>
      <c r="D72" s="60"/>
      <c r="E72" s="5"/>
      <c r="F72" s="5"/>
      <c r="I72" s="51"/>
      <c r="J72" s="41"/>
      <c r="K72" s="41" t="str">
        <f t="shared" si="58"/>
        <v/>
      </c>
      <c r="L72" s="42" t="str">
        <f t="shared" si="59"/>
        <v/>
      </c>
      <c r="M72" s="41" t="str">
        <f t="shared" si="60"/>
        <v/>
      </c>
      <c r="N72" s="43">
        <f>AX72</f>
        <v>0</v>
      </c>
      <c r="O72" s="44">
        <f t="shared" si="33"/>
        <v>0</v>
      </c>
      <c r="P72" s="41" t="str">
        <f t="shared" si="34"/>
        <v/>
      </c>
      <c r="Q72" s="41" t="str">
        <f t="shared" si="35"/>
        <v/>
      </c>
      <c r="R72" s="44"/>
      <c r="S72" s="44" t="str">
        <f t="shared" si="46"/>
        <v/>
      </c>
      <c r="T72" s="52">
        <f t="shared" si="30"/>
        <v>0</v>
      </c>
      <c r="U72" s="53" t="str">
        <f t="shared" si="47"/>
        <v/>
      </c>
      <c r="V72" s="53" t="str">
        <f t="shared" si="48"/>
        <v/>
      </c>
      <c r="W72" s="53" t="str">
        <f t="shared" si="49"/>
        <v/>
      </c>
      <c r="X72" s="46" t="str">
        <f t="shared" si="36"/>
        <v/>
      </c>
      <c r="Y72" s="54"/>
      <c r="Z72" s="41" t="str">
        <f t="shared" si="50"/>
        <v/>
      </c>
      <c r="AA72" s="41" t="str">
        <f t="shared" si="51"/>
        <v/>
      </c>
      <c r="AB72" s="41" t="str">
        <f t="shared" si="37"/>
        <v/>
      </c>
      <c r="AC72" s="41" t="str">
        <f t="shared" si="38"/>
        <v/>
      </c>
      <c r="AD72" s="54"/>
      <c r="AE72" s="41" t="str">
        <f t="shared" si="39"/>
        <v/>
      </c>
      <c r="AF72" s="41"/>
      <c r="AG72" s="41" t="str">
        <f t="shared" si="40"/>
        <v/>
      </c>
      <c r="AH72" s="41" t="str">
        <f t="shared" si="52"/>
        <v/>
      </c>
      <c r="AI72" s="41" t="str">
        <f t="shared" si="53"/>
        <v/>
      </c>
      <c r="AJ72" s="41">
        <f t="shared" si="41"/>
        <v>0</v>
      </c>
      <c r="AK72" s="41" t="str">
        <f t="shared" si="42"/>
        <v/>
      </c>
      <c r="AL72" s="41">
        <f t="shared" si="54"/>
        <v>0</v>
      </c>
      <c r="AM72" s="41">
        <f t="shared" si="43"/>
        <v>0</v>
      </c>
      <c r="AN72" s="41" t="str">
        <f t="shared" si="44"/>
        <v/>
      </c>
      <c r="AO72" s="41">
        <f t="shared" si="45"/>
        <v>0</v>
      </c>
      <c r="AP72" s="45"/>
      <c r="AQ72" s="45"/>
      <c r="AR72" s="48"/>
      <c r="AS72" s="48"/>
      <c r="AT72" s="51">
        <f t="shared" si="55"/>
        <v>68</v>
      </c>
      <c r="AU72" s="49" t="str">
        <f t="shared" si="56"/>
        <v/>
      </c>
      <c r="AV72" s="49" t="str">
        <f t="shared" si="57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1.88914938085338E-3</v>
      </c>
      <c r="C73">
        <f t="shared" si="31"/>
        <v>1.775800418002177E-3</v>
      </c>
      <c r="D73" s="60"/>
      <c r="E73" s="5"/>
      <c r="F73" s="5"/>
      <c r="I73" s="51"/>
      <c r="J73" s="41"/>
      <c r="K73" s="41" t="str">
        <f t="shared" si="58"/>
        <v/>
      </c>
      <c r="L73" s="42" t="str">
        <f t="shared" si="59"/>
        <v/>
      </c>
      <c r="M73" s="41" t="str">
        <f t="shared" si="60"/>
        <v/>
      </c>
      <c r="N73" s="43">
        <f t="shared" si="32"/>
        <v>0</v>
      </c>
      <c r="O73" s="44">
        <f t="shared" si="33"/>
        <v>0</v>
      </c>
      <c r="P73" s="41" t="str">
        <f t="shared" si="34"/>
        <v/>
      </c>
      <c r="Q73" s="41" t="str">
        <f t="shared" si="35"/>
        <v/>
      </c>
      <c r="R73" s="44"/>
      <c r="S73" s="44" t="str">
        <f t="shared" si="46"/>
        <v/>
      </c>
      <c r="T73" s="52">
        <f t="shared" si="30"/>
        <v>0</v>
      </c>
      <c r="U73" s="53" t="str">
        <f t="shared" si="47"/>
        <v/>
      </c>
      <c r="V73" s="53" t="str">
        <f t="shared" si="48"/>
        <v/>
      </c>
      <c r="W73" s="53" t="str">
        <f t="shared" si="49"/>
        <v/>
      </c>
      <c r="X73" s="46" t="str">
        <f t="shared" si="36"/>
        <v/>
      </c>
      <c r="Y73" s="54"/>
      <c r="Z73" s="41" t="str">
        <f t="shared" si="50"/>
        <v/>
      </c>
      <c r="AA73" s="41" t="str">
        <f t="shared" si="51"/>
        <v/>
      </c>
      <c r="AB73" s="41" t="str">
        <f t="shared" si="37"/>
        <v/>
      </c>
      <c r="AC73" s="41" t="str">
        <f t="shared" si="38"/>
        <v/>
      </c>
      <c r="AD73" s="54"/>
      <c r="AE73" s="41" t="str">
        <f t="shared" si="39"/>
        <v/>
      </c>
      <c r="AF73" s="41"/>
      <c r="AG73" s="41" t="str">
        <f t="shared" si="40"/>
        <v/>
      </c>
      <c r="AH73" s="41" t="str">
        <f t="shared" si="52"/>
        <v/>
      </c>
      <c r="AI73" s="41" t="str">
        <f t="shared" si="53"/>
        <v/>
      </c>
      <c r="AJ73" s="41">
        <f t="shared" si="41"/>
        <v>0</v>
      </c>
      <c r="AK73" s="41" t="str">
        <f t="shared" si="42"/>
        <v/>
      </c>
      <c r="AL73" s="41">
        <f t="shared" si="54"/>
        <v>0</v>
      </c>
      <c r="AM73" s="41">
        <f t="shared" si="43"/>
        <v>0</v>
      </c>
      <c r="AN73" s="41" t="str">
        <f t="shared" si="44"/>
        <v/>
      </c>
      <c r="AO73" s="41">
        <f t="shared" si="45"/>
        <v>0</v>
      </c>
      <c r="AP73" s="45"/>
      <c r="AQ73" s="45"/>
      <c r="AR73" s="48"/>
      <c r="AS73" s="48"/>
      <c r="AT73" s="51">
        <f t="shared" si="55"/>
        <v>69</v>
      </c>
      <c r="AU73" s="49" t="str">
        <f t="shared" si="56"/>
        <v/>
      </c>
      <c r="AV73" s="49" t="str">
        <f t="shared" si="57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2.0652205634448298E-3</v>
      </c>
      <c r="C74">
        <f t="shared" si="31"/>
        <v>1.9413073296381399E-3</v>
      </c>
      <c r="D74" s="60"/>
      <c r="E74" s="5"/>
      <c r="F74" s="5"/>
      <c r="I74" s="51"/>
      <c r="J74" s="41"/>
      <c r="K74" s="41" t="str">
        <f t="shared" si="58"/>
        <v/>
      </c>
      <c r="L74" s="42" t="str">
        <f t="shared" si="59"/>
        <v/>
      </c>
      <c r="M74" s="41" t="str">
        <f t="shared" si="60"/>
        <v/>
      </c>
      <c r="N74" s="43">
        <f t="shared" si="32"/>
        <v>0</v>
      </c>
      <c r="O74" s="44">
        <f t="shared" si="33"/>
        <v>0</v>
      </c>
      <c r="P74" s="41" t="str">
        <f t="shared" si="34"/>
        <v/>
      </c>
      <c r="Q74" s="41" t="str">
        <f t="shared" si="35"/>
        <v/>
      </c>
      <c r="R74" s="44"/>
      <c r="S74" s="44" t="str">
        <f t="shared" si="46"/>
        <v/>
      </c>
      <c r="T74" s="52">
        <f t="shared" si="30"/>
        <v>0</v>
      </c>
      <c r="U74" s="53" t="str">
        <f t="shared" si="47"/>
        <v/>
      </c>
      <c r="V74" s="53" t="str">
        <f t="shared" si="48"/>
        <v/>
      </c>
      <c r="W74" s="53" t="str">
        <f t="shared" si="49"/>
        <v/>
      </c>
      <c r="X74" s="46" t="str">
        <f t="shared" si="36"/>
        <v/>
      </c>
      <c r="Y74" s="54"/>
      <c r="Z74" s="41" t="str">
        <f t="shared" si="50"/>
        <v/>
      </c>
      <c r="AA74" s="41" t="str">
        <f t="shared" si="51"/>
        <v/>
      </c>
      <c r="AB74" s="41" t="str">
        <f t="shared" si="37"/>
        <v/>
      </c>
      <c r="AC74" s="41" t="str">
        <f t="shared" si="38"/>
        <v/>
      </c>
      <c r="AD74" s="54"/>
      <c r="AE74" s="41" t="str">
        <f t="shared" si="39"/>
        <v/>
      </c>
      <c r="AF74" s="41"/>
      <c r="AG74" s="41" t="str">
        <f t="shared" si="40"/>
        <v/>
      </c>
      <c r="AH74" s="41" t="str">
        <f t="shared" si="52"/>
        <v/>
      </c>
      <c r="AI74" s="41" t="str">
        <f t="shared" si="53"/>
        <v/>
      </c>
      <c r="AJ74" s="41">
        <f t="shared" si="41"/>
        <v>0</v>
      </c>
      <c r="AK74" s="41" t="str">
        <f t="shared" si="42"/>
        <v/>
      </c>
      <c r="AL74" s="41">
        <f t="shared" si="54"/>
        <v>0</v>
      </c>
      <c r="AM74" s="41">
        <f t="shared" si="43"/>
        <v>0</v>
      </c>
      <c r="AN74" s="41" t="str">
        <f t="shared" si="44"/>
        <v/>
      </c>
      <c r="AO74" s="41">
        <f t="shared" si="45"/>
        <v>0</v>
      </c>
      <c r="AP74" s="45"/>
      <c r="AQ74" s="45"/>
      <c r="AR74" s="48"/>
      <c r="AS74" s="48"/>
      <c r="AT74" s="51">
        <f t="shared" si="55"/>
        <v>70</v>
      </c>
      <c r="AU74" s="49" t="str">
        <f t="shared" si="56"/>
        <v/>
      </c>
      <c r="AV74" s="49" t="str">
        <f t="shared" si="57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2.2581657130202899E-3</v>
      </c>
      <c r="C75">
        <f t="shared" si="31"/>
        <v>2.1226757702390723E-3</v>
      </c>
      <c r="D75" s="60"/>
      <c r="E75" s="5"/>
      <c r="F75" s="5"/>
      <c r="I75" s="51"/>
      <c r="J75" s="41"/>
      <c r="K75" s="41" t="str">
        <f t="shared" si="58"/>
        <v/>
      </c>
      <c r="L75" s="42" t="str">
        <f t="shared" si="59"/>
        <v/>
      </c>
      <c r="M75" s="41" t="str">
        <f t="shared" si="60"/>
        <v/>
      </c>
      <c r="N75" s="43">
        <f t="shared" si="32"/>
        <v>0</v>
      </c>
      <c r="O75" s="44">
        <f t="shared" si="33"/>
        <v>0</v>
      </c>
      <c r="P75" s="41" t="str">
        <f t="shared" si="34"/>
        <v/>
      </c>
      <c r="Q75" s="41" t="str">
        <f t="shared" si="35"/>
        <v/>
      </c>
      <c r="R75" s="44"/>
      <c r="S75" s="44" t="str">
        <f t="shared" si="46"/>
        <v/>
      </c>
      <c r="T75" s="52">
        <f t="shared" si="30"/>
        <v>0</v>
      </c>
      <c r="U75" s="53" t="str">
        <f t="shared" si="47"/>
        <v/>
      </c>
      <c r="V75" s="53" t="str">
        <f t="shared" si="48"/>
        <v/>
      </c>
      <c r="W75" s="53" t="str">
        <f t="shared" si="49"/>
        <v/>
      </c>
      <c r="X75" s="46" t="str">
        <f t="shared" si="36"/>
        <v/>
      </c>
      <c r="Y75" s="54"/>
      <c r="Z75" s="41" t="str">
        <f t="shared" si="50"/>
        <v/>
      </c>
      <c r="AA75" s="41" t="str">
        <f t="shared" si="51"/>
        <v/>
      </c>
      <c r="AB75" s="41" t="str">
        <f t="shared" si="37"/>
        <v/>
      </c>
      <c r="AC75" s="41" t="str">
        <f t="shared" si="38"/>
        <v/>
      </c>
      <c r="AD75" s="54"/>
      <c r="AE75" s="41" t="str">
        <f t="shared" si="39"/>
        <v/>
      </c>
      <c r="AF75" s="41"/>
      <c r="AG75" s="41" t="str">
        <f t="shared" si="40"/>
        <v/>
      </c>
      <c r="AH75" s="41" t="str">
        <f t="shared" si="52"/>
        <v/>
      </c>
      <c r="AI75" s="41" t="str">
        <f t="shared" si="53"/>
        <v/>
      </c>
      <c r="AJ75" s="41">
        <f t="shared" si="41"/>
        <v>0</v>
      </c>
      <c r="AK75" s="41" t="str">
        <f t="shared" si="42"/>
        <v/>
      </c>
      <c r="AL75" s="41">
        <f t="shared" si="54"/>
        <v>0</v>
      </c>
      <c r="AM75" s="41">
        <f t="shared" si="43"/>
        <v>0</v>
      </c>
      <c r="AN75" s="41" t="str">
        <f t="shared" si="44"/>
        <v/>
      </c>
      <c r="AO75" s="41">
        <f t="shared" si="45"/>
        <v>0</v>
      </c>
      <c r="AP75" s="45"/>
      <c r="AQ75" s="45"/>
      <c r="AR75" s="48"/>
      <c r="AS75" s="48"/>
      <c r="AT75" s="51">
        <f t="shared" si="55"/>
        <v>71</v>
      </c>
      <c r="AU75" s="49" t="str">
        <f t="shared" si="56"/>
        <v/>
      </c>
      <c r="AV75" s="49" t="str">
        <f t="shared" si="57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2.4649969906303001E-3</v>
      </c>
      <c r="C76">
        <f t="shared" si="31"/>
        <v>2.3170971711924818E-3</v>
      </c>
      <c r="D76" s="60"/>
      <c r="E76" s="5"/>
      <c r="F76" s="5"/>
      <c r="I76" s="51"/>
      <c r="J76" s="41"/>
      <c r="K76" s="41" t="str">
        <f t="shared" si="58"/>
        <v/>
      </c>
      <c r="L76" s="42" t="str">
        <f t="shared" si="59"/>
        <v/>
      </c>
      <c r="M76" s="41" t="str">
        <f t="shared" si="60"/>
        <v/>
      </c>
      <c r="N76" s="43">
        <f t="shared" si="32"/>
        <v>0</v>
      </c>
      <c r="O76" s="44">
        <f t="shared" si="33"/>
        <v>0</v>
      </c>
      <c r="P76" s="41" t="str">
        <f t="shared" si="34"/>
        <v/>
      </c>
      <c r="Q76" s="41" t="str">
        <f t="shared" si="35"/>
        <v/>
      </c>
      <c r="R76" s="44"/>
      <c r="S76" s="44" t="str">
        <f t="shared" si="46"/>
        <v/>
      </c>
      <c r="T76" s="52">
        <f t="shared" si="30"/>
        <v>0</v>
      </c>
      <c r="U76" s="53" t="str">
        <f t="shared" si="47"/>
        <v/>
      </c>
      <c r="V76" s="53" t="str">
        <f t="shared" si="48"/>
        <v/>
      </c>
      <c r="W76" s="53" t="str">
        <f t="shared" si="49"/>
        <v/>
      </c>
      <c r="X76" s="46" t="str">
        <f t="shared" si="36"/>
        <v/>
      </c>
      <c r="Y76" s="54"/>
      <c r="Z76" s="41" t="str">
        <f t="shared" si="50"/>
        <v/>
      </c>
      <c r="AA76" s="41" t="str">
        <f t="shared" si="51"/>
        <v/>
      </c>
      <c r="AB76" s="41" t="str">
        <f t="shared" si="37"/>
        <v/>
      </c>
      <c r="AC76" s="41" t="str">
        <f t="shared" si="38"/>
        <v/>
      </c>
      <c r="AD76" s="54"/>
      <c r="AE76" s="41" t="str">
        <f t="shared" si="39"/>
        <v/>
      </c>
      <c r="AF76" s="41"/>
      <c r="AG76" s="41" t="str">
        <f t="shared" si="40"/>
        <v/>
      </c>
      <c r="AH76" s="41" t="str">
        <f t="shared" si="52"/>
        <v/>
      </c>
      <c r="AI76" s="41" t="str">
        <f t="shared" si="53"/>
        <v/>
      </c>
      <c r="AJ76" s="41">
        <f t="shared" si="41"/>
        <v>0</v>
      </c>
      <c r="AK76" s="41" t="str">
        <f t="shared" si="42"/>
        <v/>
      </c>
      <c r="AL76" s="41">
        <f t="shared" si="54"/>
        <v>0</v>
      </c>
      <c r="AM76" s="41">
        <f t="shared" si="43"/>
        <v>0</v>
      </c>
      <c r="AN76" s="41" t="str">
        <f t="shared" si="44"/>
        <v/>
      </c>
      <c r="AO76" s="41">
        <f t="shared" si="45"/>
        <v>0</v>
      </c>
      <c r="AP76" s="45"/>
      <c r="AQ76" s="45"/>
      <c r="AR76" s="48"/>
      <c r="AS76" s="48"/>
      <c r="AT76" s="51">
        <f t="shared" si="55"/>
        <v>72</v>
      </c>
      <c r="AU76" s="49" t="str">
        <f t="shared" si="56"/>
        <v/>
      </c>
      <c r="AV76" s="49" t="str">
        <f t="shared" si="57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2.7031201476708198E-3</v>
      </c>
      <c r="C77">
        <f t="shared" si="31"/>
        <v>2.5409329388105706E-3</v>
      </c>
      <c r="D77" s="60"/>
      <c r="E77" s="5"/>
      <c r="F77" s="5"/>
      <c r="I77" s="51"/>
      <c r="J77" s="41"/>
      <c r="K77" s="41" t="str">
        <f t="shared" si="58"/>
        <v/>
      </c>
      <c r="L77" s="42" t="str">
        <f t="shared" si="59"/>
        <v/>
      </c>
      <c r="M77" s="41" t="str">
        <f t="shared" si="60"/>
        <v/>
      </c>
      <c r="N77" s="43">
        <f t="shared" si="32"/>
        <v>0</v>
      </c>
      <c r="O77" s="44">
        <f t="shared" si="33"/>
        <v>0</v>
      </c>
      <c r="P77" s="41" t="str">
        <f t="shared" si="34"/>
        <v/>
      </c>
      <c r="Q77" s="41" t="str">
        <f t="shared" si="35"/>
        <v/>
      </c>
      <c r="R77" s="44"/>
      <c r="S77" s="44" t="str">
        <f t="shared" si="46"/>
        <v/>
      </c>
      <c r="T77" s="52">
        <f t="shared" si="30"/>
        <v>0</v>
      </c>
      <c r="U77" s="53" t="str">
        <f t="shared" si="47"/>
        <v/>
      </c>
      <c r="V77" s="53" t="str">
        <f t="shared" si="48"/>
        <v/>
      </c>
      <c r="W77" s="53" t="str">
        <f t="shared" si="49"/>
        <v/>
      </c>
      <c r="X77" s="46" t="str">
        <f t="shared" si="36"/>
        <v/>
      </c>
      <c r="Y77" s="54"/>
      <c r="Z77" s="41" t="str">
        <f t="shared" si="50"/>
        <v/>
      </c>
      <c r="AA77" s="41" t="str">
        <f t="shared" si="51"/>
        <v/>
      </c>
      <c r="AB77" s="41" t="str">
        <f t="shared" si="37"/>
        <v/>
      </c>
      <c r="AC77" s="41" t="str">
        <f t="shared" si="38"/>
        <v/>
      </c>
      <c r="AD77" s="54"/>
      <c r="AE77" s="41" t="str">
        <f t="shared" si="39"/>
        <v/>
      </c>
      <c r="AF77" s="41"/>
      <c r="AG77" s="41" t="str">
        <f t="shared" si="40"/>
        <v/>
      </c>
      <c r="AH77" s="41" t="str">
        <f t="shared" si="52"/>
        <v/>
      </c>
      <c r="AI77" s="41" t="str">
        <f t="shared" si="53"/>
        <v/>
      </c>
      <c r="AJ77" s="41">
        <f t="shared" si="41"/>
        <v>0</v>
      </c>
      <c r="AK77" s="41" t="str">
        <f t="shared" si="42"/>
        <v/>
      </c>
      <c r="AL77" s="41">
        <f t="shared" si="54"/>
        <v>0</v>
      </c>
      <c r="AM77" s="41">
        <f t="shared" si="43"/>
        <v>0</v>
      </c>
      <c r="AN77" s="41" t="str">
        <f t="shared" si="44"/>
        <v/>
      </c>
      <c r="AO77" s="41">
        <f t="shared" si="45"/>
        <v>0</v>
      </c>
      <c r="AP77" s="45"/>
      <c r="AQ77" s="45"/>
      <c r="AR77" s="48"/>
      <c r="AS77" s="48"/>
      <c r="AT77" s="51">
        <f t="shared" si="55"/>
        <v>73</v>
      </c>
      <c r="AU77" s="49" t="str">
        <f t="shared" si="56"/>
        <v/>
      </c>
      <c r="AV77" s="49" t="str">
        <f t="shared" si="57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2.97495698813721E-3</v>
      </c>
      <c r="C78">
        <f t="shared" si="31"/>
        <v>2.7964595688489773E-3</v>
      </c>
      <c r="D78" s="60"/>
      <c r="E78" s="5"/>
      <c r="F78" s="5"/>
      <c r="I78" s="51"/>
      <c r="J78" s="41"/>
      <c r="K78" s="41" t="str">
        <f t="shared" si="58"/>
        <v/>
      </c>
      <c r="L78" s="42" t="str">
        <f t="shared" si="59"/>
        <v/>
      </c>
      <c r="M78" s="41" t="str">
        <f t="shared" si="60"/>
        <v/>
      </c>
      <c r="N78" s="43">
        <f>AX78</f>
        <v>0</v>
      </c>
      <c r="O78" s="44">
        <f t="shared" si="33"/>
        <v>0</v>
      </c>
      <c r="P78" s="41" t="str">
        <f t="shared" si="34"/>
        <v/>
      </c>
      <c r="Q78" s="41" t="str">
        <f t="shared" si="35"/>
        <v/>
      </c>
      <c r="R78" s="44"/>
      <c r="S78" s="44" t="str">
        <f t="shared" si="46"/>
        <v/>
      </c>
      <c r="T78" s="52">
        <f t="shared" si="30"/>
        <v>0</v>
      </c>
      <c r="U78" s="53" t="str">
        <f t="shared" si="47"/>
        <v/>
      </c>
      <c r="V78" s="53" t="str">
        <f t="shared" si="48"/>
        <v/>
      </c>
      <c r="W78" s="53" t="str">
        <f t="shared" si="49"/>
        <v/>
      </c>
      <c r="X78" s="46" t="str">
        <f t="shared" si="36"/>
        <v/>
      </c>
      <c r="Y78" s="54"/>
      <c r="Z78" s="41" t="str">
        <f t="shared" si="50"/>
        <v/>
      </c>
      <c r="AA78" s="41" t="str">
        <f t="shared" si="51"/>
        <v/>
      </c>
      <c r="AB78" s="41" t="str">
        <f t="shared" si="37"/>
        <v/>
      </c>
      <c r="AC78" s="41" t="str">
        <f t="shared" si="38"/>
        <v/>
      </c>
      <c r="AD78" s="54"/>
      <c r="AE78" s="41" t="str">
        <f t="shared" si="39"/>
        <v/>
      </c>
      <c r="AF78" s="41"/>
      <c r="AG78" s="41" t="str">
        <f t="shared" si="40"/>
        <v/>
      </c>
      <c r="AH78" s="41" t="str">
        <f t="shared" si="52"/>
        <v/>
      </c>
      <c r="AI78" s="41" t="str">
        <f t="shared" si="53"/>
        <v/>
      </c>
      <c r="AJ78" s="41">
        <f t="shared" si="41"/>
        <v>0</v>
      </c>
      <c r="AK78" s="41" t="str">
        <f t="shared" si="42"/>
        <v/>
      </c>
      <c r="AL78" s="41">
        <f t="shared" si="54"/>
        <v>0</v>
      </c>
      <c r="AM78" s="41">
        <f t="shared" si="43"/>
        <v>0</v>
      </c>
      <c r="AN78" s="41" t="str">
        <f t="shared" si="44"/>
        <v/>
      </c>
      <c r="AO78" s="41">
        <f t="shared" si="45"/>
        <v>0</v>
      </c>
      <c r="AP78" s="45"/>
      <c r="AQ78" s="45"/>
      <c r="AR78" s="48"/>
      <c r="AS78" s="48"/>
      <c r="AT78" s="51">
        <f t="shared" si="55"/>
        <v>74</v>
      </c>
      <c r="AU78" s="49" t="str">
        <f t="shared" si="56"/>
        <v/>
      </c>
      <c r="AV78" s="49" t="str">
        <f t="shared" si="57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3.2747586367367601E-3</v>
      </c>
      <c r="C79">
        <f t="shared" si="31"/>
        <v>3.0782731185325543E-3</v>
      </c>
      <c r="D79" s="60"/>
      <c r="E79" s="5"/>
      <c r="F79" s="5"/>
      <c r="I79" s="51"/>
      <c r="J79" s="41"/>
      <c r="K79" s="41" t="str">
        <f t="shared" si="58"/>
        <v/>
      </c>
      <c r="L79" s="42" t="str">
        <f t="shared" si="59"/>
        <v/>
      </c>
      <c r="M79" s="41" t="str">
        <f t="shared" si="60"/>
        <v/>
      </c>
      <c r="N79" s="43">
        <f t="shared" si="32"/>
        <v>0</v>
      </c>
      <c r="O79" s="44">
        <f t="shared" si="33"/>
        <v>0</v>
      </c>
      <c r="P79" s="41" t="str">
        <f t="shared" si="34"/>
        <v/>
      </c>
      <c r="Q79" s="41" t="str">
        <f t="shared" si="35"/>
        <v/>
      </c>
      <c r="R79" s="44"/>
      <c r="S79" s="44" t="str">
        <f t="shared" si="46"/>
        <v/>
      </c>
      <c r="T79" s="52">
        <f t="shared" si="30"/>
        <v>0</v>
      </c>
      <c r="U79" s="53" t="str">
        <f t="shared" si="47"/>
        <v/>
      </c>
      <c r="V79" s="53" t="str">
        <f t="shared" si="48"/>
        <v/>
      </c>
      <c r="W79" s="53" t="str">
        <f t="shared" si="49"/>
        <v/>
      </c>
      <c r="X79" s="46" t="str">
        <f t="shared" si="36"/>
        <v/>
      </c>
      <c r="Y79" s="54"/>
      <c r="Z79" s="41" t="str">
        <f t="shared" si="50"/>
        <v/>
      </c>
      <c r="AA79" s="41" t="str">
        <f t="shared" si="51"/>
        <v/>
      </c>
      <c r="AB79" s="41" t="str">
        <f t="shared" si="37"/>
        <v/>
      </c>
      <c r="AC79" s="41" t="str">
        <f t="shared" si="38"/>
        <v/>
      </c>
      <c r="AD79" s="54"/>
      <c r="AE79" s="41" t="str">
        <f t="shared" si="39"/>
        <v/>
      </c>
      <c r="AF79" s="41"/>
      <c r="AG79" s="41" t="str">
        <f t="shared" si="40"/>
        <v/>
      </c>
      <c r="AH79" s="41" t="str">
        <f t="shared" si="52"/>
        <v/>
      </c>
      <c r="AI79" s="41" t="str">
        <f t="shared" si="53"/>
        <v/>
      </c>
      <c r="AJ79" s="41">
        <f t="shared" si="41"/>
        <v>0</v>
      </c>
      <c r="AK79" s="41" t="str">
        <f t="shared" si="42"/>
        <v/>
      </c>
      <c r="AL79" s="41">
        <f t="shared" si="54"/>
        <v>0</v>
      </c>
      <c r="AM79" s="41">
        <f t="shared" si="43"/>
        <v>0</v>
      </c>
      <c r="AN79" s="41" t="str">
        <f t="shared" si="44"/>
        <v/>
      </c>
      <c r="AO79" s="41">
        <f>SUM(AM79:AN79)</f>
        <v>0</v>
      </c>
      <c r="AP79" s="45"/>
      <c r="AQ79" s="45"/>
      <c r="AR79" s="48"/>
      <c r="AS79" s="48"/>
      <c r="AT79" s="51">
        <f t="shared" si="55"/>
        <v>75</v>
      </c>
      <c r="AU79" s="49" t="str">
        <f t="shared" si="56"/>
        <v/>
      </c>
      <c r="AV79" s="49" t="str">
        <f t="shared" si="57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3.6162154780752199E-3</v>
      </c>
      <c r="C80">
        <f t="shared" si="31"/>
        <v>3.3992425493907063E-3</v>
      </c>
      <c r="D80" s="60"/>
      <c r="E80" s="5"/>
      <c r="F80" s="5"/>
      <c r="I80" s="51"/>
      <c r="J80" s="41"/>
      <c r="K80" s="41" t="str">
        <f t="shared" si="58"/>
        <v/>
      </c>
      <c r="L80" s="42" t="str">
        <f t="shared" si="59"/>
        <v/>
      </c>
      <c r="M80" s="41" t="str">
        <f t="shared" si="60"/>
        <v/>
      </c>
      <c r="N80" s="43">
        <f t="shared" si="32"/>
        <v>0</v>
      </c>
      <c r="O80" s="44">
        <f t="shared" si="33"/>
        <v>0</v>
      </c>
      <c r="P80" s="41" t="str">
        <f t="shared" si="34"/>
        <v/>
      </c>
      <c r="Q80" s="41" t="str">
        <f t="shared" si="35"/>
        <v/>
      </c>
      <c r="R80" s="45"/>
      <c r="S80" s="44" t="str">
        <f t="shared" si="46"/>
        <v/>
      </c>
      <c r="T80" s="52">
        <f t="shared" si="30"/>
        <v>0</v>
      </c>
      <c r="U80" s="53" t="str">
        <f t="shared" si="47"/>
        <v/>
      </c>
      <c r="V80" s="53" t="str">
        <f t="shared" si="48"/>
        <v/>
      </c>
      <c r="W80" s="53" t="str">
        <f t="shared" si="49"/>
        <v/>
      </c>
      <c r="X80" s="46" t="str">
        <f t="shared" si="36"/>
        <v/>
      </c>
      <c r="Y80" s="45"/>
      <c r="Z80" s="41" t="str">
        <f t="shared" si="50"/>
        <v/>
      </c>
      <c r="AA80" s="41" t="str">
        <f t="shared" si="51"/>
        <v/>
      </c>
      <c r="AB80" s="41" t="str">
        <f t="shared" si="37"/>
        <v/>
      </c>
      <c r="AC80" s="41" t="str">
        <f t="shared" si="38"/>
        <v/>
      </c>
      <c r="AD80" s="45"/>
      <c r="AE80" s="41" t="str">
        <f t="shared" si="39"/>
        <v/>
      </c>
      <c r="AF80" s="41"/>
      <c r="AG80" s="41" t="str">
        <f t="shared" si="40"/>
        <v/>
      </c>
      <c r="AH80" s="41" t="str">
        <f t="shared" si="52"/>
        <v/>
      </c>
      <c r="AI80" s="41" t="str">
        <f t="shared" si="53"/>
        <v/>
      </c>
      <c r="AJ80" s="41">
        <f t="shared" si="41"/>
        <v>0</v>
      </c>
      <c r="AK80" s="41" t="str">
        <f t="shared" si="42"/>
        <v/>
      </c>
      <c r="AL80" s="41">
        <f t="shared" si="54"/>
        <v>0</v>
      </c>
      <c r="AM80" s="41">
        <f t="shared" si="43"/>
        <v>0</v>
      </c>
      <c r="AN80" s="41" t="str">
        <f t="shared" si="44"/>
        <v/>
      </c>
      <c r="AO80" s="41">
        <f t="shared" ref="AO80:AO124" si="61">SUM(AM80:AN80)</f>
        <v>0</v>
      </c>
      <c r="AP80" s="45"/>
      <c r="AQ80" s="48"/>
      <c r="AR80" s="48"/>
      <c r="AS80" s="48"/>
      <c r="AT80" s="51">
        <f t="shared" si="55"/>
        <v>76</v>
      </c>
      <c r="AU80" s="49" t="str">
        <f t="shared" si="56"/>
        <v/>
      </c>
      <c r="AV80" s="49" t="str">
        <f t="shared" si="57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3.81500467564477E-3</v>
      </c>
      <c r="C81">
        <f t="shared" si="31"/>
        <v>3.5861043951060838E-3</v>
      </c>
      <c r="D81" s="60"/>
      <c r="E81" s="5"/>
      <c r="F81" s="5"/>
      <c r="I81" s="51"/>
      <c r="J81" s="41"/>
      <c r="K81" s="41" t="str">
        <f t="shared" si="58"/>
        <v/>
      </c>
      <c r="L81" s="42" t="str">
        <f t="shared" si="59"/>
        <v/>
      </c>
      <c r="M81" s="41" t="str">
        <f t="shared" si="60"/>
        <v/>
      </c>
      <c r="N81" s="43">
        <f t="shared" si="32"/>
        <v>0</v>
      </c>
      <c r="O81" s="44">
        <f t="shared" si="33"/>
        <v>0</v>
      </c>
      <c r="P81" s="41" t="str">
        <f t="shared" si="34"/>
        <v/>
      </c>
      <c r="Q81" s="41" t="str">
        <f t="shared" si="35"/>
        <v/>
      </c>
      <c r="R81" s="45"/>
      <c r="S81" s="44" t="str">
        <f t="shared" si="46"/>
        <v/>
      </c>
      <c r="T81" s="52">
        <f t="shared" ref="T81:T124" si="62">$C$13</f>
        <v>0</v>
      </c>
      <c r="U81" s="53" t="str">
        <f t="shared" si="47"/>
        <v/>
      </c>
      <c r="V81" s="53" t="str">
        <f t="shared" si="48"/>
        <v/>
      </c>
      <c r="W81" s="53" t="str">
        <f t="shared" si="49"/>
        <v/>
      </c>
      <c r="X81" s="46" t="str">
        <f t="shared" si="36"/>
        <v/>
      </c>
      <c r="Y81" s="45"/>
      <c r="Z81" s="41" t="str">
        <f t="shared" si="50"/>
        <v/>
      </c>
      <c r="AA81" s="41" t="str">
        <f t="shared" si="51"/>
        <v/>
      </c>
      <c r="AB81" s="41" t="str">
        <f t="shared" si="37"/>
        <v/>
      </c>
      <c r="AC81" s="41" t="str">
        <f t="shared" si="38"/>
        <v/>
      </c>
      <c r="AD81" s="48"/>
      <c r="AE81" s="41" t="str">
        <f t="shared" si="39"/>
        <v/>
      </c>
      <c r="AF81" s="41"/>
      <c r="AG81" s="41" t="str">
        <f t="shared" si="40"/>
        <v/>
      </c>
      <c r="AH81" s="41" t="str">
        <f t="shared" si="52"/>
        <v/>
      </c>
      <c r="AI81" s="41" t="str">
        <f t="shared" si="53"/>
        <v/>
      </c>
      <c r="AJ81" s="41">
        <f t="shared" si="41"/>
        <v>0</v>
      </c>
      <c r="AK81" s="41" t="str">
        <f t="shared" si="42"/>
        <v/>
      </c>
      <c r="AL81" s="41">
        <f t="shared" si="54"/>
        <v>0</v>
      </c>
      <c r="AM81" s="41">
        <f t="shared" si="43"/>
        <v>0</v>
      </c>
      <c r="AN81" s="41" t="str">
        <f t="shared" si="44"/>
        <v/>
      </c>
      <c r="AO81" s="41">
        <f t="shared" si="61"/>
        <v>0</v>
      </c>
      <c r="AP81" s="45"/>
      <c r="AQ81" s="48"/>
      <c r="AR81" s="48"/>
      <c r="AS81" s="48"/>
      <c r="AT81" s="51">
        <f t="shared" si="55"/>
        <v>77</v>
      </c>
      <c r="AU81" s="49" t="str">
        <f t="shared" si="56"/>
        <v/>
      </c>
      <c r="AV81" s="49" t="str">
        <f t="shared" si="57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4.1996374364784402E-3</v>
      </c>
      <c r="C82">
        <f t="shared" si="31"/>
        <v>3.9476591902897337E-3</v>
      </c>
      <c r="D82" s="60"/>
      <c r="E82" s="5"/>
      <c r="F82" s="5"/>
      <c r="I82" s="51"/>
      <c r="J82" s="41"/>
      <c r="K82" s="41" t="str">
        <f t="shared" si="58"/>
        <v/>
      </c>
      <c r="L82" s="42" t="str">
        <f t="shared" si="59"/>
        <v/>
      </c>
      <c r="M82" s="41" t="str">
        <f t="shared" si="60"/>
        <v/>
      </c>
      <c r="N82" s="43">
        <f t="shared" si="32"/>
        <v>0</v>
      </c>
      <c r="O82" s="44">
        <f t="shared" si="33"/>
        <v>0</v>
      </c>
      <c r="P82" s="41" t="str">
        <f t="shared" si="34"/>
        <v/>
      </c>
      <c r="Q82" s="41" t="str">
        <f t="shared" si="35"/>
        <v/>
      </c>
      <c r="R82" s="45"/>
      <c r="S82" s="44" t="str">
        <f t="shared" si="46"/>
        <v/>
      </c>
      <c r="T82" s="52">
        <f t="shared" si="62"/>
        <v>0</v>
      </c>
      <c r="U82" s="53" t="str">
        <f t="shared" si="47"/>
        <v/>
      </c>
      <c r="V82" s="53" t="str">
        <f t="shared" si="48"/>
        <v/>
      </c>
      <c r="W82" s="53" t="str">
        <f t="shared" si="49"/>
        <v/>
      </c>
      <c r="X82" s="46" t="str">
        <f t="shared" si="36"/>
        <v/>
      </c>
      <c r="Y82" s="45"/>
      <c r="Z82" s="41" t="str">
        <f t="shared" si="50"/>
        <v/>
      </c>
      <c r="AA82" s="41" t="str">
        <f t="shared" si="51"/>
        <v/>
      </c>
      <c r="AB82" s="41" t="str">
        <f t="shared" si="37"/>
        <v/>
      </c>
      <c r="AC82" s="41" t="str">
        <f t="shared" si="38"/>
        <v/>
      </c>
      <c r="AD82" s="48"/>
      <c r="AE82" s="41" t="str">
        <f t="shared" si="39"/>
        <v/>
      </c>
      <c r="AF82" s="41"/>
      <c r="AG82" s="41" t="str">
        <f t="shared" si="40"/>
        <v/>
      </c>
      <c r="AH82" s="41" t="str">
        <f t="shared" si="52"/>
        <v/>
      </c>
      <c r="AI82" s="41" t="str">
        <f t="shared" si="53"/>
        <v/>
      </c>
      <c r="AJ82" s="41">
        <f t="shared" si="41"/>
        <v>0</v>
      </c>
      <c r="AK82" s="41" t="str">
        <f t="shared" si="42"/>
        <v/>
      </c>
      <c r="AL82" s="41">
        <f t="shared" si="54"/>
        <v>0</v>
      </c>
      <c r="AM82" s="41">
        <f t="shared" si="43"/>
        <v>0</v>
      </c>
      <c r="AN82" s="41" t="str">
        <f t="shared" si="44"/>
        <v/>
      </c>
      <c r="AO82" s="41">
        <f t="shared" si="61"/>
        <v>0</v>
      </c>
      <c r="AP82" s="45"/>
      <c r="AQ82" s="48"/>
      <c r="AR82" s="48"/>
      <c r="AS82" s="48"/>
      <c r="AT82" s="51">
        <f t="shared" si="55"/>
        <v>78</v>
      </c>
      <c r="AU82" s="49" t="str">
        <f t="shared" si="56"/>
        <v/>
      </c>
      <c r="AV82" s="49" t="str">
        <f t="shared" si="57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4.6111826410046904E-3</v>
      </c>
      <c r="C83">
        <f t="shared" si="31"/>
        <v>4.3345116825444091E-3</v>
      </c>
      <c r="D83" s="60"/>
      <c r="E83" s="5"/>
      <c r="F83" s="5"/>
      <c r="I83" s="51"/>
      <c r="J83" s="41"/>
      <c r="K83" s="41" t="str">
        <f t="shared" si="58"/>
        <v/>
      </c>
      <c r="L83" s="42" t="str">
        <f t="shared" si="59"/>
        <v/>
      </c>
      <c r="M83" s="41" t="str">
        <f t="shared" si="60"/>
        <v/>
      </c>
      <c r="N83" s="43">
        <f t="shared" si="32"/>
        <v>0</v>
      </c>
      <c r="O83" s="44">
        <f t="shared" si="33"/>
        <v>0</v>
      </c>
      <c r="P83" s="41" t="str">
        <f t="shared" si="34"/>
        <v/>
      </c>
      <c r="Q83" s="41" t="str">
        <f t="shared" si="35"/>
        <v/>
      </c>
      <c r="R83" s="45"/>
      <c r="S83" s="44" t="str">
        <f t="shared" si="46"/>
        <v/>
      </c>
      <c r="T83" s="52">
        <f t="shared" si="62"/>
        <v>0</v>
      </c>
      <c r="U83" s="53" t="str">
        <f t="shared" si="47"/>
        <v/>
      </c>
      <c r="V83" s="53" t="str">
        <f t="shared" si="48"/>
        <v/>
      </c>
      <c r="W83" s="53" t="str">
        <f t="shared" si="49"/>
        <v/>
      </c>
      <c r="X83" s="46" t="str">
        <f t="shared" si="36"/>
        <v/>
      </c>
      <c r="Y83" s="45"/>
      <c r="Z83" s="41" t="str">
        <f t="shared" si="50"/>
        <v/>
      </c>
      <c r="AA83" s="41" t="str">
        <f t="shared" si="51"/>
        <v/>
      </c>
      <c r="AB83" s="41" t="str">
        <f t="shared" si="37"/>
        <v/>
      </c>
      <c r="AC83" s="41" t="str">
        <f t="shared" si="38"/>
        <v/>
      </c>
      <c r="AD83" s="48"/>
      <c r="AE83" s="41" t="str">
        <f t="shared" si="39"/>
        <v/>
      </c>
      <c r="AF83" s="41"/>
      <c r="AG83" s="41" t="str">
        <f t="shared" si="40"/>
        <v/>
      </c>
      <c r="AH83" s="41" t="str">
        <f t="shared" si="52"/>
        <v/>
      </c>
      <c r="AI83" s="41" t="str">
        <f t="shared" si="53"/>
        <v/>
      </c>
      <c r="AJ83" s="41">
        <f t="shared" si="41"/>
        <v>0</v>
      </c>
      <c r="AK83" s="41" t="str">
        <f t="shared" si="42"/>
        <v/>
      </c>
      <c r="AL83" s="41">
        <f t="shared" si="54"/>
        <v>0</v>
      </c>
      <c r="AM83" s="41">
        <f t="shared" si="43"/>
        <v>0</v>
      </c>
      <c r="AN83" s="41" t="str">
        <f t="shared" si="44"/>
        <v/>
      </c>
      <c r="AO83" s="41">
        <f t="shared" si="61"/>
        <v>0</v>
      </c>
      <c r="AP83" s="45"/>
      <c r="AQ83" s="48"/>
      <c r="AR83" s="48"/>
      <c r="AS83" s="48"/>
      <c r="AT83" s="51">
        <f t="shared" si="55"/>
        <v>79</v>
      </c>
      <c r="AU83" s="49" t="str">
        <f t="shared" si="56"/>
        <v/>
      </c>
      <c r="AV83" s="49" t="str">
        <f t="shared" si="57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5.0640250805401603E-3</v>
      </c>
      <c r="C84">
        <f t="shared" si="31"/>
        <v>4.76018357570775E-3</v>
      </c>
      <c r="D84" s="60"/>
      <c r="E84" s="5"/>
      <c r="F84" s="5"/>
      <c r="I84" s="51"/>
      <c r="J84" s="41"/>
      <c r="K84" s="41" t="str">
        <f t="shared" si="58"/>
        <v/>
      </c>
      <c r="L84" s="42" t="str">
        <f t="shared" si="59"/>
        <v/>
      </c>
      <c r="M84" s="41" t="str">
        <f t="shared" si="60"/>
        <v/>
      </c>
      <c r="N84" s="43">
        <f t="shared" si="32"/>
        <v>0</v>
      </c>
      <c r="O84" s="44">
        <f t="shared" si="33"/>
        <v>0</v>
      </c>
      <c r="P84" s="41" t="str">
        <f t="shared" si="34"/>
        <v/>
      </c>
      <c r="Q84" s="41" t="str">
        <f t="shared" si="35"/>
        <v/>
      </c>
      <c r="R84" s="45"/>
      <c r="S84" s="44" t="str">
        <f t="shared" si="46"/>
        <v/>
      </c>
      <c r="T84" s="52">
        <f t="shared" si="62"/>
        <v>0</v>
      </c>
      <c r="U84" s="53" t="str">
        <f t="shared" si="47"/>
        <v/>
      </c>
      <c r="V84" s="53" t="str">
        <f t="shared" si="48"/>
        <v/>
      </c>
      <c r="W84" s="53" t="str">
        <f t="shared" si="49"/>
        <v/>
      </c>
      <c r="X84" s="46" t="str">
        <f t="shared" si="36"/>
        <v/>
      </c>
      <c r="Y84" s="45"/>
      <c r="Z84" s="41" t="str">
        <f t="shared" si="50"/>
        <v/>
      </c>
      <c r="AA84" s="41" t="str">
        <f t="shared" si="51"/>
        <v/>
      </c>
      <c r="AB84" s="41" t="str">
        <f t="shared" si="37"/>
        <v/>
      </c>
      <c r="AC84" s="41" t="str">
        <f t="shared" si="38"/>
        <v/>
      </c>
      <c r="AD84" s="48"/>
      <c r="AE84" s="41" t="str">
        <f t="shared" si="39"/>
        <v/>
      </c>
      <c r="AF84" s="41"/>
      <c r="AG84" s="41" t="str">
        <f t="shared" si="40"/>
        <v/>
      </c>
      <c r="AH84" s="41" t="str">
        <f t="shared" si="52"/>
        <v/>
      </c>
      <c r="AI84" s="41" t="str">
        <f t="shared" si="53"/>
        <v/>
      </c>
      <c r="AJ84" s="41">
        <f t="shared" si="41"/>
        <v>0</v>
      </c>
      <c r="AK84" s="41" t="str">
        <f t="shared" si="42"/>
        <v/>
      </c>
      <c r="AL84" s="41">
        <f t="shared" si="54"/>
        <v>0</v>
      </c>
      <c r="AM84" s="41">
        <f t="shared" si="43"/>
        <v>0</v>
      </c>
      <c r="AN84" s="41" t="str">
        <f t="shared" si="44"/>
        <v/>
      </c>
      <c r="AO84" s="41">
        <f t="shared" si="61"/>
        <v>0</v>
      </c>
      <c r="AP84" s="45"/>
      <c r="AQ84" s="48"/>
      <c r="AR84" s="48"/>
      <c r="AS84" s="48"/>
      <c r="AT84" s="51">
        <f t="shared" si="55"/>
        <v>80</v>
      </c>
      <c r="AU84" s="49" t="str">
        <f t="shared" si="56"/>
        <v/>
      </c>
      <c r="AV84" s="49" t="str">
        <f t="shared" si="57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5.6066013796265404E-3</v>
      </c>
      <c r="C85">
        <f t="shared" si="31"/>
        <v>5.2702052968489474E-3</v>
      </c>
      <c r="D85" s="60"/>
      <c r="E85" s="5"/>
      <c r="F85" s="5"/>
      <c r="I85" s="51"/>
      <c r="J85" s="41"/>
      <c r="K85" s="41" t="str">
        <f t="shared" si="58"/>
        <v/>
      </c>
      <c r="L85" s="42" t="str">
        <f t="shared" si="59"/>
        <v/>
      </c>
      <c r="M85" s="41" t="str">
        <f t="shared" si="60"/>
        <v/>
      </c>
      <c r="N85" s="43">
        <f t="shared" si="32"/>
        <v>0</v>
      </c>
      <c r="O85" s="44">
        <f t="shared" si="33"/>
        <v>0</v>
      </c>
      <c r="P85" s="41" t="str">
        <f t="shared" si="34"/>
        <v/>
      </c>
      <c r="Q85" s="41" t="str">
        <f t="shared" si="35"/>
        <v/>
      </c>
      <c r="R85" s="45"/>
      <c r="S85" s="44" t="str">
        <f t="shared" si="46"/>
        <v/>
      </c>
      <c r="T85" s="52">
        <f t="shared" si="62"/>
        <v>0</v>
      </c>
      <c r="U85" s="53" t="str">
        <f t="shared" si="47"/>
        <v/>
      </c>
      <c r="V85" s="53" t="str">
        <f t="shared" si="48"/>
        <v/>
      </c>
      <c r="W85" s="53" t="str">
        <f t="shared" si="49"/>
        <v/>
      </c>
      <c r="X85" s="46" t="str">
        <f t="shared" si="36"/>
        <v/>
      </c>
      <c r="Y85" s="45"/>
      <c r="Z85" s="41" t="str">
        <f t="shared" si="50"/>
        <v/>
      </c>
      <c r="AA85" s="41" t="str">
        <f t="shared" si="51"/>
        <v/>
      </c>
      <c r="AB85" s="41" t="str">
        <f t="shared" si="37"/>
        <v/>
      </c>
      <c r="AC85" s="41" t="str">
        <f t="shared" si="38"/>
        <v/>
      </c>
      <c r="AD85" s="48"/>
      <c r="AE85" s="41" t="str">
        <f t="shared" si="39"/>
        <v/>
      </c>
      <c r="AF85" s="41"/>
      <c r="AG85" s="41" t="str">
        <f t="shared" si="40"/>
        <v/>
      </c>
      <c r="AH85" s="41" t="str">
        <f t="shared" si="52"/>
        <v/>
      </c>
      <c r="AI85" s="41" t="str">
        <f t="shared" si="53"/>
        <v/>
      </c>
      <c r="AJ85" s="41">
        <f t="shared" si="41"/>
        <v>0</v>
      </c>
      <c r="AK85" s="41" t="str">
        <f t="shared" si="42"/>
        <v/>
      </c>
      <c r="AL85" s="41">
        <f t="shared" si="54"/>
        <v>0</v>
      </c>
      <c r="AM85" s="41">
        <f t="shared" si="43"/>
        <v>0</v>
      </c>
      <c r="AN85" s="41" t="str">
        <f t="shared" si="44"/>
        <v/>
      </c>
      <c r="AO85" s="41">
        <f t="shared" si="61"/>
        <v>0</v>
      </c>
      <c r="AP85" s="45"/>
      <c r="AQ85" s="48"/>
      <c r="AR85" s="48"/>
      <c r="AS85" s="48"/>
      <c r="AT85" s="51">
        <f t="shared" si="55"/>
        <v>81</v>
      </c>
      <c r="AU85" s="49" t="str">
        <f t="shared" si="56"/>
        <v/>
      </c>
      <c r="AV85" s="49" t="str">
        <f t="shared" si="57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6.1851828668624299E-3</v>
      </c>
      <c r="C86">
        <f t="shared" si="31"/>
        <v>5.8140718948506837E-3</v>
      </c>
      <c r="D86" s="60"/>
      <c r="E86" s="5"/>
      <c r="F86" s="5"/>
      <c r="I86" s="51"/>
      <c r="J86" s="41"/>
      <c r="K86" s="41" t="str">
        <f t="shared" si="58"/>
        <v/>
      </c>
      <c r="L86" s="42" t="str">
        <f t="shared" si="59"/>
        <v/>
      </c>
      <c r="M86" s="41" t="str">
        <f t="shared" si="60"/>
        <v/>
      </c>
      <c r="N86" s="43">
        <f t="shared" si="32"/>
        <v>0</v>
      </c>
      <c r="O86" s="44">
        <f t="shared" si="33"/>
        <v>0</v>
      </c>
      <c r="P86" s="41" t="str">
        <f t="shared" si="34"/>
        <v/>
      </c>
      <c r="Q86" s="41" t="str">
        <f t="shared" si="35"/>
        <v/>
      </c>
      <c r="R86" s="45"/>
      <c r="S86" s="44" t="str">
        <f t="shared" si="46"/>
        <v/>
      </c>
      <c r="T86" s="52">
        <f t="shared" si="62"/>
        <v>0</v>
      </c>
      <c r="U86" s="53" t="str">
        <f t="shared" si="47"/>
        <v/>
      </c>
      <c r="V86" s="53" t="str">
        <f t="shared" si="48"/>
        <v/>
      </c>
      <c r="W86" s="53" t="str">
        <f t="shared" si="49"/>
        <v/>
      </c>
      <c r="X86" s="46" t="str">
        <f t="shared" si="36"/>
        <v/>
      </c>
      <c r="Y86" s="45"/>
      <c r="Z86" s="41" t="str">
        <f t="shared" si="50"/>
        <v/>
      </c>
      <c r="AA86" s="41" t="str">
        <f t="shared" si="51"/>
        <v/>
      </c>
      <c r="AB86" s="41" t="str">
        <f t="shared" si="37"/>
        <v/>
      </c>
      <c r="AC86" s="41" t="str">
        <f t="shared" si="38"/>
        <v/>
      </c>
      <c r="AD86" s="45"/>
      <c r="AE86" s="41" t="str">
        <f t="shared" si="39"/>
        <v/>
      </c>
      <c r="AF86" s="41"/>
      <c r="AG86" s="41" t="str">
        <f t="shared" si="40"/>
        <v/>
      </c>
      <c r="AH86" s="41" t="str">
        <f t="shared" si="52"/>
        <v/>
      </c>
      <c r="AI86" s="41" t="str">
        <f t="shared" si="53"/>
        <v/>
      </c>
      <c r="AJ86" s="41">
        <f t="shared" si="41"/>
        <v>0</v>
      </c>
      <c r="AK86" s="41" t="str">
        <f t="shared" si="42"/>
        <v/>
      </c>
      <c r="AL86" s="41">
        <f t="shared" si="54"/>
        <v>0</v>
      </c>
      <c r="AM86" s="41">
        <f t="shared" si="43"/>
        <v>0</v>
      </c>
      <c r="AN86" s="41" t="str">
        <f t="shared" si="44"/>
        <v/>
      </c>
      <c r="AO86" s="41">
        <f t="shared" si="61"/>
        <v>0</v>
      </c>
      <c r="AP86" s="45"/>
      <c r="AQ86" s="48"/>
      <c r="AR86" s="48"/>
      <c r="AS86" s="48"/>
      <c r="AT86" s="51">
        <f t="shared" si="55"/>
        <v>82</v>
      </c>
      <c r="AU86" s="49" t="str">
        <f t="shared" si="56"/>
        <v/>
      </c>
      <c r="AV86" s="49" t="str">
        <f t="shared" si="57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6.76087552434368E-3</v>
      </c>
      <c r="C87">
        <f t="shared" si="31"/>
        <v>6.3552229928830585E-3</v>
      </c>
      <c r="D87" s="60"/>
      <c r="E87" s="5"/>
      <c r="F87" s="5"/>
      <c r="I87" s="51"/>
      <c r="J87" s="41"/>
      <c r="K87" s="41" t="str">
        <f t="shared" si="58"/>
        <v/>
      </c>
      <c r="L87" s="42" t="str">
        <f t="shared" si="59"/>
        <v/>
      </c>
      <c r="M87" s="41" t="str">
        <f t="shared" si="60"/>
        <v/>
      </c>
      <c r="N87" s="43">
        <f t="shared" si="32"/>
        <v>0</v>
      </c>
      <c r="O87" s="44">
        <f t="shared" si="33"/>
        <v>0</v>
      </c>
      <c r="P87" s="41" t="str">
        <f t="shared" si="34"/>
        <v/>
      </c>
      <c r="Q87" s="41" t="str">
        <f t="shared" si="35"/>
        <v/>
      </c>
      <c r="R87" s="45"/>
      <c r="S87" s="44" t="str">
        <f t="shared" si="46"/>
        <v/>
      </c>
      <c r="T87" s="52">
        <f t="shared" si="62"/>
        <v>0</v>
      </c>
      <c r="U87" s="53" t="str">
        <f t="shared" si="47"/>
        <v/>
      </c>
      <c r="V87" s="53" t="str">
        <f t="shared" si="48"/>
        <v/>
      </c>
      <c r="W87" s="53" t="str">
        <f t="shared" si="49"/>
        <v/>
      </c>
      <c r="X87" s="46" t="str">
        <f t="shared" si="36"/>
        <v/>
      </c>
      <c r="Y87" s="45"/>
      <c r="Z87" s="41" t="str">
        <f t="shared" si="50"/>
        <v/>
      </c>
      <c r="AA87" s="41" t="str">
        <f t="shared" si="51"/>
        <v/>
      </c>
      <c r="AB87" s="41" t="str">
        <f t="shared" si="37"/>
        <v/>
      </c>
      <c r="AC87" s="41" t="str">
        <f t="shared" si="38"/>
        <v/>
      </c>
      <c r="AD87" s="45"/>
      <c r="AE87" s="41" t="str">
        <f t="shared" si="39"/>
        <v/>
      </c>
      <c r="AF87" s="41"/>
      <c r="AG87" s="41" t="str">
        <f t="shared" si="40"/>
        <v/>
      </c>
      <c r="AH87" s="41" t="str">
        <f t="shared" si="52"/>
        <v/>
      </c>
      <c r="AI87" s="41" t="str">
        <f t="shared" si="53"/>
        <v/>
      </c>
      <c r="AJ87" s="41">
        <f t="shared" si="41"/>
        <v>0</v>
      </c>
      <c r="AK87" s="41" t="str">
        <f t="shared" si="42"/>
        <v/>
      </c>
      <c r="AL87" s="41">
        <f t="shared" si="54"/>
        <v>0</v>
      </c>
      <c r="AM87" s="41">
        <f t="shared" si="43"/>
        <v>0</v>
      </c>
      <c r="AN87" s="41" t="str">
        <f t="shared" si="44"/>
        <v/>
      </c>
      <c r="AO87" s="41">
        <f t="shared" si="61"/>
        <v>0</v>
      </c>
      <c r="AP87" s="45"/>
      <c r="AQ87" s="48"/>
      <c r="AR87" s="48"/>
      <c r="AS87" s="48"/>
      <c r="AT87" s="51">
        <f t="shared" si="55"/>
        <v>83</v>
      </c>
      <c r="AU87" s="49" t="str">
        <f t="shared" si="56"/>
        <v/>
      </c>
      <c r="AV87" s="49" t="str">
        <f t="shared" si="57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7.3949416018176404E-3</v>
      </c>
      <c r="C88">
        <f t="shared" si="31"/>
        <v>6.9512451057085816E-3</v>
      </c>
      <c r="D88" s="60"/>
      <c r="E88" s="5"/>
      <c r="F88" s="5"/>
      <c r="I88" s="51"/>
      <c r="J88" s="41"/>
      <c r="K88" s="41" t="str">
        <f t="shared" si="58"/>
        <v/>
      </c>
      <c r="L88" s="42" t="str">
        <f t="shared" si="59"/>
        <v/>
      </c>
      <c r="M88" s="41" t="str">
        <f t="shared" si="60"/>
        <v/>
      </c>
      <c r="N88" s="43">
        <f t="shared" si="32"/>
        <v>0</v>
      </c>
      <c r="O88" s="44">
        <f t="shared" si="33"/>
        <v>0</v>
      </c>
      <c r="P88" s="41" t="str">
        <f t="shared" si="34"/>
        <v/>
      </c>
      <c r="Q88" s="41" t="str">
        <f t="shared" si="35"/>
        <v/>
      </c>
      <c r="R88" s="45"/>
      <c r="S88" s="44" t="str">
        <f t="shared" si="46"/>
        <v/>
      </c>
      <c r="T88" s="52">
        <f t="shared" si="62"/>
        <v>0</v>
      </c>
      <c r="U88" s="53" t="str">
        <f t="shared" si="47"/>
        <v/>
      </c>
      <c r="V88" s="53" t="str">
        <f t="shared" si="48"/>
        <v/>
      </c>
      <c r="W88" s="53" t="str">
        <f t="shared" si="49"/>
        <v/>
      </c>
      <c r="X88" s="46" t="str">
        <f t="shared" si="36"/>
        <v/>
      </c>
      <c r="Y88" s="45"/>
      <c r="Z88" s="41" t="str">
        <f t="shared" si="50"/>
        <v/>
      </c>
      <c r="AA88" s="41" t="str">
        <f t="shared" si="51"/>
        <v/>
      </c>
      <c r="AB88" s="41" t="str">
        <f t="shared" si="37"/>
        <v/>
      </c>
      <c r="AC88" s="41" t="str">
        <f t="shared" si="38"/>
        <v/>
      </c>
      <c r="AD88" s="45"/>
      <c r="AE88" s="41" t="str">
        <f t="shared" si="39"/>
        <v/>
      </c>
      <c r="AF88" s="41"/>
      <c r="AG88" s="41" t="str">
        <f t="shared" si="40"/>
        <v/>
      </c>
      <c r="AH88" s="41" t="str">
        <f t="shared" si="52"/>
        <v/>
      </c>
      <c r="AI88" s="41" t="str">
        <f t="shared" si="53"/>
        <v/>
      </c>
      <c r="AJ88" s="41">
        <f t="shared" si="41"/>
        <v>0</v>
      </c>
      <c r="AK88" s="41" t="str">
        <f t="shared" si="42"/>
        <v/>
      </c>
      <c r="AL88" s="41">
        <f t="shared" si="54"/>
        <v>0</v>
      </c>
      <c r="AM88" s="41">
        <f t="shared" si="43"/>
        <v>0</v>
      </c>
      <c r="AN88" s="41" t="str">
        <f t="shared" si="44"/>
        <v/>
      </c>
      <c r="AO88" s="41">
        <f t="shared" si="61"/>
        <v>0</v>
      </c>
      <c r="AP88" s="45"/>
      <c r="AQ88" s="48"/>
      <c r="AR88" s="48"/>
      <c r="AS88" s="48"/>
      <c r="AT88" s="51">
        <f t="shared" si="55"/>
        <v>84</v>
      </c>
      <c r="AU88" s="49" t="str">
        <f t="shared" si="56"/>
        <v/>
      </c>
      <c r="AV88" s="49" t="str">
        <f t="shared" si="57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8.0696894943389497E-3</v>
      </c>
      <c r="C89">
        <f t="shared" si="31"/>
        <v>7.5855081246786124E-3</v>
      </c>
      <c r="D89" s="60"/>
      <c r="E89" s="5"/>
      <c r="F89" s="5"/>
      <c r="I89" s="51"/>
      <c r="J89" s="41"/>
      <c r="K89" s="41" t="str">
        <f t="shared" si="58"/>
        <v/>
      </c>
      <c r="L89" s="42" t="str">
        <f t="shared" si="59"/>
        <v/>
      </c>
      <c r="M89" s="41" t="str">
        <f t="shared" si="60"/>
        <v/>
      </c>
      <c r="N89" s="43">
        <f t="shared" si="32"/>
        <v>0</v>
      </c>
      <c r="O89" s="44">
        <f t="shared" si="33"/>
        <v>0</v>
      </c>
      <c r="P89" s="41" t="str">
        <f t="shared" si="34"/>
        <v/>
      </c>
      <c r="Q89" s="41" t="str">
        <f t="shared" si="35"/>
        <v/>
      </c>
      <c r="R89" s="45"/>
      <c r="S89" s="44" t="str">
        <f t="shared" si="46"/>
        <v/>
      </c>
      <c r="T89" s="52">
        <f t="shared" si="62"/>
        <v>0</v>
      </c>
      <c r="U89" s="53" t="str">
        <f t="shared" si="47"/>
        <v/>
      </c>
      <c r="V89" s="53" t="str">
        <f t="shared" si="48"/>
        <v/>
      </c>
      <c r="W89" s="53" t="str">
        <f t="shared" si="49"/>
        <v/>
      </c>
      <c r="X89" s="46" t="str">
        <f t="shared" si="36"/>
        <v/>
      </c>
      <c r="Y89" s="45"/>
      <c r="Z89" s="41" t="str">
        <f t="shared" si="50"/>
        <v/>
      </c>
      <c r="AA89" s="41" t="str">
        <f t="shared" si="51"/>
        <v/>
      </c>
      <c r="AB89" s="41" t="str">
        <f t="shared" si="37"/>
        <v/>
      </c>
      <c r="AC89" s="41" t="str">
        <f t="shared" si="38"/>
        <v/>
      </c>
      <c r="AD89" s="45"/>
      <c r="AE89" s="41" t="str">
        <f t="shared" si="39"/>
        <v/>
      </c>
      <c r="AF89" s="41"/>
      <c r="AG89" s="41" t="str">
        <f t="shared" si="40"/>
        <v/>
      </c>
      <c r="AH89" s="41" t="str">
        <f t="shared" si="52"/>
        <v/>
      </c>
      <c r="AI89" s="41" t="str">
        <f t="shared" si="53"/>
        <v/>
      </c>
      <c r="AJ89" s="41">
        <f t="shared" si="41"/>
        <v>0</v>
      </c>
      <c r="AK89" s="41" t="str">
        <f t="shared" si="42"/>
        <v/>
      </c>
      <c r="AL89" s="41">
        <f t="shared" si="54"/>
        <v>0</v>
      </c>
      <c r="AM89" s="41">
        <f t="shared" si="43"/>
        <v>0</v>
      </c>
      <c r="AN89" s="41" t="str">
        <f t="shared" si="44"/>
        <v/>
      </c>
      <c r="AO89" s="41">
        <f t="shared" si="61"/>
        <v>0</v>
      </c>
      <c r="AP89" s="45"/>
      <c r="AQ89" s="48"/>
      <c r="AR89" s="48"/>
      <c r="AS89" s="48"/>
      <c r="AT89" s="51">
        <f t="shared" si="55"/>
        <v>85</v>
      </c>
      <c r="AU89" s="49" t="str">
        <f t="shared" si="56"/>
        <v/>
      </c>
      <c r="AV89" s="49" t="str">
        <f t="shared" si="57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9.1815528447021198E-3</v>
      </c>
      <c r="C90">
        <f t="shared" si="31"/>
        <v>8.6306596740199915E-3</v>
      </c>
      <c r="D90" s="60"/>
      <c r="E90" s="5"/>
      <c r="F90" s="5"/>
      <c r="I90" s="51"/>
      <c r="J90" s="41"/>
      <c r="K90" s="41" t="str">
        <f t="shared" si="58"/>
        <v/>
      </c>
      <c r="L90" s="42" t="str">
        <f t="shared" si="59"/>
        <v/>
      </c>
      <c r="M90" s="41" t="str">
        <f t="shared" si="60"/>
        <v/>
      </c>
      <c r="N90" s="43">
        <f t="shared" si="32"/>
        <v>0</v>
      </c>
      <c r="O90" s="44">
        <f t="shared" si="33"/>
        <v>0</v>
      </c>
      <c r="P90" s="41" t="str">
        <f t="shared" si="34"/>
        <v/>
      </c>
      <c r="Q90" s="41" t="str">
        <f t="shared" si="35"/>
        <v/>
      </c>
      <c r="R90" s="45"/>
      <c r="S90" s="44" t="str">
        <f t="shared" si="46"/>
        <v/>
      </c>
      <c r="T90" s="52">
        <f t="shared" si="62"/>
        <v>0</v>
      </c>
      <c r="U90" s="53" t="str">
        <f t="shared" si="47"/>
        <v/>
      </c>
      <c r="V90" s="53" t="str">
        <f t="shared" si="48"/>
        <v/>
      </c>
      <c r="W90" s="53" t="str">
        <f t="shared" si="49"/>
        <v/>
      </c>
      <c r="X90" s="46" t="str">
        <f t="shared" si="36"/>
        <v/>
      </c>
      <c r="Y90" s="45"/>
      <c r="Z90" s="41" t="str">
        <f t="shared" si="50"/>
        <v/>
      </c>
      <c r="AA90" s="41" t="str">
        <f t="shared" si="51"/>
        <v/>
      </c>
      <c r="AB90" s="41" t="str">
        <f t="shared" si="37"/>
        <v/>
      </c>
      <c r="AC90" s="41" t="str">
        <f t="shared" si="38"/>
        <v/>
      </c>
      <c r="AD90" s="45"/>
      <c r="AE90" s="41" t="str">
        <f t="shared" si="39"/>
        <v/>
      </c>
      <c r="AF90" s="41"/>
      <c r="AG90" s="41" t="str">
        <f t="shared" si="40"/>
        <v/>
      </c>
      <c r="AH90" s="41" t="str">
        <f t="shared" si="52"/>
        <v/>
      </c>
      <c r="AI90" s="41" t="str">
        <f t="shared" si="53"/>
        <v/>
      </c>
      <c r="AJ90" s="41">
        <f t="shared" si="41"/>
        <v>0</v>
      </c>
      <c r="AK90" s="41" t="str">
        <f t="shared" si="42"/>
        <v/>
      </c>
      <c r="AL90" s="41">
        <f t="shared" si="54"/>
        <v>0</v>
      </c>
      <c r="AM90" s="41">
        <f t="shared" si="43"/>
        <v>0</v>
      </c>
      <c r="AN90" s="41" t="str">
        <f t="shared" si="44"/>
        <v/>
      </c>
      <c r="AO90" s="41">
        <f t="shared" si="61"/>
        <v>0</v>
      </c>
      <c r="AP90" s="45"/>
      <c r="AQ90" s="48"/>
      <c r="AR90" s="48"/>
      <c r="AS90" s="48"/>
      <c r="AT90" s="51">
        <f t="shared" si="55"/>
        <v>86</v>
      </c>
      <c r="AU90" s="49" t="str">
        <f t="shared" si="56"/>
        <v/>
      </c>
      <c r="AV90" s="49" t="str">
        <f t="shared" si="57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1.1644701667791701E-2</v>
      </c>
      <c r="C91">
        <f t="shared" ref="C91:C144" si="63">B91*(1-$F$16)</f>
        <v>1.0946019567724199E-2</v>
      </c>
      <c r="D91" s="60"/>
      <c r="E91" s="5"/>
      <c r="F91" s="5"/>
      <c r="I91" s="51"/>
      <c r="J91" s="41"/>
      <c r="K91" s="41" t="str">
        <f t="shared" si="58"/>
        <v/>
      </c>
      <c r="L91" s="42" t="str">
        <f t="shared" si="59"/>
        <v/>
      </c>
      <c r="M91" s="41" t="str">
        <f t="shared" si="60"/>
        <v/>
      </c>
      <c r="N91" s="43">
        <f t="shared" si="32"/>
        <v>0</v>
      </c>
      <c r="O91" s="44">
        <f t="shared" si="33"/>
        <v>0</v>
      </c>
      <c r="P91" s="41" t="str">
        <f t="shared" si="34"/>
        <v/>
      </c>
      <c r="Q91" s="41" t="str">
        <f t="shared" si="35"/>
        <v/>
      </c>
      <c r="R91" s="45"/>
      <c r="S91" s="44" t="str">
        <f t="shared" si="46"/>
        <v/>
      </c>
      <c r="T91" s="52">
        <f t="shared" si="62"/>
        <v>0</v>
      </c>
      <c r="U91" s="53" t="str">
        <f t="shared" si="47"/>
        <v/>
      </c>
      <c r="V91" s="53" t="str">
        <f t="shared" si="48"/>
        <v/>
      </c>
      <c r="W91" s="53" t="str">
        <f t="shared" si="49"/>
        <v/>
      </c>
      <c r="X91" s="46" t="str">
        <f t="shared" si="36"/>
        <v/>
      </c>
      <c r="Y91" s="45"/>
      <c r="Z91" s="41" t="str">
        <f t="shared" si="50"/>
        <v/>
      </c>
      <c r="AA91" s="41" t="str">
        <f t="shared" si="51"/>
        <v/>
      </c>
      <c r="AB91" s="41" t="str">
        <f t="shared" si="37"/>
        <v/>
      </c>
      <c r="AC91" s="41" t="str">
        <f t="shared" si="38"/>
        <v/>
      </c>
      <c r="AD91" s="45"/>
      <c r="AE91" s="41" t="str">
        <f t="shared" si="39"/>
        <v/>
      </c>
      <c r="AF91" s="41"/>
      <c r="AG91" s="41" t="str">
        <f t="shared" si="40"/>
        <v/>
      </c>
      <c r="AH91" s="41" t="str">
        <f t="shared" si="52"/>
        <v/>
      </c>
      <c r="AI91" s="41" t="str">
        <f t="shared" si="53"/>
        <v/>
      </c>
      <c r="AJ91" s="41">
        <f t="shared" si="41"/>
        <v>0</v>
      </c>
      <c r="AK91" s="41" t="str">
        <f t="shared" si="42"/>
        <v/>
      </c>
      <c r="AL91" s="41">
        <f t="shared" si="54"/>
        <v>0</v>
      </c>
      <c r="AM91" s="41">
        <f t="shared" si="43"/>
        <v>0</v>
      </c>
      <c r="AN91" s="41" t="str">
        <f t="shared" si="44"/>
        <v/>
      </c>
      <c r="AO91" s="41">
        <f t="shared" si="61"/>
        <v>0</v>
      </c>
      <c r="AP91" s="45"/>
      <c r="AQ91" s="48"/>
      <c r="AR91" s="48"/>
      <c r="AS91" s="48"/>
      <c r="AT91" s="51">
        <f t="shared" si="55"/>
        <v>87</v>
      </c>
      <c r="AU91" s="49" t="str">
        <f t="shared" si="56"/>
        <v/>
      </c>
      <c r="AV91" s="49" t="str">
        <f t="shared" si="57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1.27568609079478E-2</v>
      </c>
      <c r="C92">
        <f t="shared" si="63"/>
        <v>1.1991449253470931E-2</v>
      </c>
      <c r="D92" s="60"/>
      <c r="E92" s="5"/>
      <c r="F92" s="5"/>
      <c r="I92" s="51"/>
      <c r="J92" s="41"/>
      <c r="K92" s="41" t="str">
        <f t="shared" si="58"/>
        <v/>
      </c>
      <c r="L92" s="42" t="str">
        <f t="shared" si="59"/>
        <v/>
      </c>
      <c r="M92" s="41" t="str">
        <f t="shared" si="60"/>
        <v/>
      </c>
      <c r="N92" s="43">
        <f t="shared" si="32"/>
        <v>0</v>
      </c>
      <c r="O92" s="44">
        <f t="shared" si="33"/>
        <v>0</v>
      </c>
      <c r="P92" s="41" t="str">
        <f t="shared" si="34"/>
        <v/>
      </c>
      <c r="Q92" s="41" t="str">
        <f t="shared" si="35"/>
        <v/>
      </c>
      <c r="R92" s="45"/>
      <c r="S92" s="44" t="str">
        <f t="shared" si="46"/>
        <v/>
      </c>
      <c r="T92" s="52">
        <f t="shared" si="62"/>
        <v>0</v>
      </c>
      <c r="U92" s="53" t="str">
        <f t="shared" si="47"/>
        <v/>
      </c>
      <c r="V92" s="53" t="str">
        <f t="shared" si="48"/>
        <v/>
      </c>
      <c r="W92" s="53" t="str">
        <f t="shared" si="49"/>
        <v/>
      </c>
      <c r="X92" s="46" t="str">
        <f t="shared" si="36"/>
        <v/>
      </c>
      <c r="Y92" s="45"/>
      <c r="Z92" s="41" t="str">
        <f t="shared" si="50"/>
        <v/>
      </c>
      <c r="AA92" s="41" t="str">
        <f t="shared" si="51"/>
        <v/>
      </c>
      <c r="AB92" s="41" t="str">
        <f t="shared" si="37"/>
        <v/>
      </c>
      <c r="AC92" s="41" t="str">
        <f t="shared" si="38"/>
        <v/>
      </c>
      <c r="AD92" s="45"/>
      <c r="AE92" s="41" t="str">
        <f t="shared" si="39"/>
        <v/>
      </c>
      <c r="AF92" s="41"/>
      <c r="AG92" s="41" t="str">
        <f t="shared" si="40"/>
        <v/>
      </c>
      <c r="AH92" s="41" t="str">
        <f t="shared" si="52"/>
        <v/>
      </c>
      <c r="AI92" s="41" t="str">
        <f t="shared" si="53"/>
        <v/>
      </c>
      <c r="AJ92" s="41">
        <f t="shared" si="41"/>
        <v>0</v>
      </c>
      <c r="AK92" s="41" t="str">
        <f t="shared" si="42"/>
        <v/>
      </c>
      <c r="AL92" s="41">
        <f t="shared" si="54"/>
        <v>0</v>
      </c>
      <c r="AM92" s="41">
        <f t="shared" si="43"/>
        <v>0</v>
      </c>
      <c r="AN92" s="41" t="str">
        <f t="shared" si="44"/>
        <v/>
      </c>
      <c r="AO92" s="41">
        <f t="shared" si="61"/>
        <v>0</v>
      </c>
      <c r="AP92" s="45"/>
      <c r="AQ92" s="48"/>
      <c r="AR92" s="48"/>
      <c r="AS92" s="48"/>
      <c r="AT92" s="51">
        <f t="shared" si="55"/>
        <v>88</v>
      </c>
      <c r="AU92" s="49" t="str">
        <f t="shared" si="56"/>
        <v/>
      </c>
      <c r="AV92" s="49" t="str">
        <f t="shared" si="57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1.39399922860715E-2</v>
      </c>
      <c r="C93">
        <f t="shared" si="63"/>
        <v>1.310359274890721E-2</v>
      </c>
      <c r="D93" s="60"/>
      <c r="E93" s="5"/>
      <c r="F93" s="5"/>
      <c r="I93" s="51"/>
      <c r="J93" s="41"/>
      <c r="K93" s="41" t="str">
        <f t="shared" si="58"/>
        <v/>
      </c>
      <c r="L93" s="42" t="str">
        <f t="shared" si="59"/>
        <v/>
      </c>
      <c r="M93" s="41" t="str">
        <f t="shared" si="60"/>
        <v/>
      </c>
      <c r="N93" s="43">
        <f t="shared" si="32"/>
        <v>0</v>
      </c>
      <c r="O93" s="44">
        <f t="shared" si="33"/>
        <v>0</v>
      </c>
      <c r="P93" s="41" t="str">
        <f t="shared" si="34"/>
        <v/>
      </c>
      <c r="Q93" s="41" t="str">
        <f t="shared" si="35"/>
        <v/>
      </c>
      <c r="R93" s="45"/>
      <c r="S93" s="44" t="str">
        <f t="shared" si="46"/>
        <v/>
      </c>
      <c r="T93" s="52">
        <f t="shared" si="62"/>
        <v>0</v>
      </c>
      <c r="U93" s="53" t="str">
        <f t="shared" si="47"/>
        <v/>
      </c>
      <c r="V93" s="53" t="str">
        <f t="shared" si="48"/>
        <v/>
      </c>
      <c r="W93" s="53" t="str">
        <f t="shared" si="49"/>
        <v/>
      </c>
      <c r="X93" s="46" t="str">
        <f t="shared" si="36"/>
        <v/>
      </c>
      <c r="Y93" s="45"/>
      <c r="Z93" s="41" t="str">
        <f t="shared" si="50"/>
        <v/>
      </c>
      <c r="AA93" s="41" t="str">
        <f t="shared" si="51"/>
        <v/>
      </c>
      <c r="AB93" s="41" t="str">
        <f t="shared" si="37"/>
        <v/>
      </c>
      <c r="AC93" s="41" t="str">
        <f t="shared" si="38"/>
        <v/>
      </c>
      <c r="AD93" s="45"/>
      <c r="AE93" s="41" t="str">
        <f t="shared" si="39"/>
        <v/>
      </c>
      <c r="AF93" s="41"/>
      <c r="AG93" s="41" t="str">
        <f t="shared" si="40"/>
        <v/>
      </c>
      <c r="AH93" s="41" t="str">
        <f t="shared" si="52"/>
        <v/>
      </c>
      <c r="AI93" s="41" t="str">
        <f t="shared" si="53"/>
        <v/>
      </c>
      <c r="AJ93" s="41">
        <f t="shared" si="41"/>
        <v>0</v>
      </c>
      <c r="AK93" s="41" t="str">
        <f t="shared" si="42"/>
        <v/>
      </c>
      <c r="AL93" s="41">
        <f t="shared" si="54"/>
        <v>0</v>
      </c>
      <c r="AM93" s="41">
        <f t="shared" si="43"/>
        <v>0</v>
      </c>
      <c r="AN93" s="41" t="str">
        <f t="shared" si="44"/>
        <v/>
      </c>
      <c r="AO93" s="41">
        <f t="shared" si="61"/>
        <v>0</v>
      </c>
      <c r="AP93" s="45"/>
      <c r="AQ93" s="48"/>
      <c r="AR93" s="48"/>
      <c r="AS93" s="48"/>
      <c r="AT93" s="51">
        <f t="shared" si="55"/>
        <v>89</v>
      </c>
      <c r="AU93" s="49" t="str">
        <f t="shared" si="56"/>
        <v/>
      </c>
      <c r="AV93" s="49" t="str">
        <f t="shared" si="57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1.52718300964033E-2</v>
      </c>
      <c r="C94">
        <f t="shared" si="63"/>
        <v>1.4355520290619102E-2</v>
      </c>
      <c r="D94" s="60"/>
      <c r="E94" s="5"/>
      <c r="F94" s="5"/>
      <c r="I94" s="40"/>
      <c r="J94" s="41"/>
      <c r="K94" s="41" t="str">
        <f t="shared" si="58"/>
        <v/>
      </c>
      <c r="L94" s="42" t="str">
        <f t="shared" si="59"/>
        <v/>
      </c>
      <c r="M94" s="41" t="str">
        <f t="shared" si="60"/>
        <v/>
      </c>
      <c r="N94" s="43">
        <f t="shared" si="32"/>
        <v>0</v>
      </c>
      <c r="O94" s="44">
        <f>AW94</f>
        <v>0</v>
      </c>
      <c r="P94" s="41" t="str">
        <f t="shared" si="34"/>
        <v/>
      </c>
      <c r="Q94" s="41" t="str">
        <f t="shared" si="35"/>
        <v/>
      </c>
      <c r="R94" s="48"/>
      <c r="S94" s="44" t="str">
        <f t="shared" si="46"/>
        <v/>
      </c>
      <c r="T94" s="52">
        <f t="shared" si="62"/>
        <v>0</v>
      </c>
      <c r="U94" s="53" t="str">
        <f t="shared" si="47"/>
        <v/>
      </c>
      <c r="V94" s="53" t="str">
        <f t="shared" si="48"/>
        <v/>
      </c>
      <c r="W94" s="53" t="str">
        <f t="shared" si="49"/>
        <v/>
      </c>
      <c r="X94" s="46" t="str">
        <f t="shared" si="36"/>
        <v/>
      </c>
      <c r="Y94" s="48"/>
      <c r="Z94" s="41" t="str">
        <f t="shared" si="50"/>
        <v/>
      </c>
      <c r="AA94" s="41" t="str">
        <f t="shared" si="51"/>
        <v/>
      </c>
      <c r="AB94" s="41" t="str">
        <f t="shared" si="37"/>
        <v/>
      </c>
      <c r="AC94" s="41" t="str">
        <f t="shared" si="38"/>
        <v/>
      </c>
      <c r="AD94" s="48"/>
      <c r="AE94" s="41" t="str">
        <f t="shared" si="39"/>
        <v/>
      </c>
      <c r="AF94" s="41"/>
      <c r="AG94" s="41" t="str">
        <f t="shared" si="40"/>
        <v/>
      </c>
      <c r="AH94" s="41" t="str">
        <f t="shared" si="52"/>
        <v/>
      </c>
      <c r="AI94" s="41" t="str">
        <f t="shared" si="53"/>
        <v/>
      </c>
      <c r="AJ94" s="41">
        <f t="shared" si="41"/>
        <v>0</v>
      </c>
      <c r="AK94" s="41" t="str">
        <f t="shared" si="42"/>
        <v/>
      </c>
      <c r="AL94" s="41">
        <f t="shared" si="54"/>
        <v>0</v>
      </c>
      <c r="AM94" s="41">
        <f t="shared" si="43"/>
        <v>0</v>
      </c>
      <c r="AN94" s="41" t="str">
        <f t="shared" si="44"/>
        <v/>
      </c>
      <c r="AO94" s="41">
        <f t="shared" si="61"/>
        <v>0</v>
      </c>
      <c r="AP94" s="48"/>
      <c r="AQ94" s="48"/>
      <c r="AR94" s="48"/>
      <c r="AS94" s="48"/>
      <c r="AT94" s="51">
        <f t="shared" si="55"/>
        <v>90</v>
      </c>
      <c r="AU94" s="49" t="str">
        <f t="shared" si="56"/>
        <v/>
      </c>
      <c r="AV94" s="49" t="str">
        <f t="shared" si="57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1.6773476255652502E-2</v>
      </c>
      <c r="C95">
        <f t="shared" si="63"/>
        <v>1.576706768031335E-2</v>
      </c>
      <c r="D95" s="60"/>
      <c r="E95" s="5"/>
      <c r="F95" s="5"/>
      <c r="I95" s="40"/>
      <c r="J95" s="41"/>
      <c r="K95" s="41" t="str">
        <f t="shared" si="58"/>
        <v/>
      </c>
      <c r="L95" s="42" t="str">
        <f t="shared" si="59"/>
        <v/>
      </c>
      <c r="M95" s="41" t="str">
        <f t="shared" si="60"/>
        <v/>
      </c>
      <c r="N95" s="43">
        <f t="shared" si="32"/>
        <v>0</v>
      </c>
      <c r="O95" s="44">
        <f t="shared" si="33"/>
        <v>0</v>
      </c>
      <c r="P95" s="41" t="str">
        <f t="shared" si="34"/>
        <v/>
      </c>
      <c r="Q95" s="41" t="str">
        <f t="shared" si="35"/>
        <v/>
      </c>
      <c r="R95" s="48"/>
      <c r="S95" s="44" t="str">
        <f t="shared" si="46"/>
        <v/>
      </c>
      <c r="T95" s="52">
        <f t="shared" si="62"/>
        <v>0</v>
      </c>
      <c r="U95" s="53" t="str">
        <f t="shared" si="47"/>
        <v/>
      </c>
      <c r="V95" s="53" t="str">
        <f t="shared" si="48"/>
        <v/>
      </c>
      <c r="W95" s="53" t="str">
        <f t="shared" si="49"/>
        <v/>
      </c>
      <c r="X95" s="46" t="str">
        <f t="shared" si="36"/>
        <v/>
      </c>
      <c r="Y95" s="48"/>
      <c r="Z95" s="41" t="str">
        <f t="shared" si="50"/>
        <v/>
      </c>
      <c r="AA95" s="41" t="str">
        <f t="shared" si="51"/>
        <v/>
      </c>
      <c r="AB95" s="41" t="str">
        <f t="shared" si="37"/>
        <v/>
      </c>
      <c r="AC95" s="41" t="str">
        <f t="shared" si="38"/>
        <v/>
      </c>
      <c r="AD95" s="48"/>
      <c r="AE95" s="41" t="str">
        <f t="shared" si="39"/>
        <v/>
      </c>
      <c r="AF95" s="41"/>
      <c r="AG95" s="41" t="str">
        <f t="shared" si="40"/>
        <v/>
      </c>
      <c r="AH95" s="41" t="str">
        <f t="shared" si="52"/>
        <v/>
      </c>
      <c r="AI95" s="41" t="str">
        <f t="shared" si="53"/>
        <v/>
      </c>
      <c r="AJ95" s="41">
        <f t="shared" si="41"/>
        <v>0</v>
      </c>
      <c r="AK95" s="41" t="str">
        <f t="shared" si="42"/>
        <v/>
      </c>
      <c r="AL95" s="41">
        <f t="shared" si="54"/>
        <v>0</v>
      </c>
      <c r="AM95" s="41">
        <f t="shared" si="43"/>
        <v>0</v>
      </c>
      <c r="AN95" s="41" t="str">
        <f t="shared" si="44"/>
        <v/>
      </c>
      <c r="AO95" s="41">
        <f t="shared" si="61"/>
        <v>0</v>
      </c>
      <c r="AP95" s="48"/>
      <c r="AQ95" s="48"/>
      <c r="AR95" s="48"/>
      <c r="AS95" s="48"/>
      <c r="AT95" s="51">
        <f t="shared" si="55"/>
        <v>91</v>
      </c>
      <c r="AU95" s="49" t="str">
        <f t="shared" si="56"/>
        <v/>
      </c>
      <c r="AV95" s="49" t="str">
        <f t="shared" si="57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1.84936014394733E-2</v>
      </c>
      <c r="C96">
        <f t="shared" si="63"/>
        <v>1.7383985353104901E-2</v>
      </c>
      <c r="D96" s="60"/>
      <c r="E96" s="5"/>
      <c r="F96" s="5"/>
      <c r="I96" s="40"/>
      <c r="J96" s="41"/>
      <c r="K96" s="41" t="str">
        <f t="shared" si="58"/>
        <v/>
      </c>
      <c r="L96" s="42" t="str">
        <f t="shared" si="59"/>
        <v/>
      </c>
      <c r="M96" s="41" t="str">
        <f t="shared" si="60"/>
        <v/>
      </c>
      <c r="N96" s="43">
        <f t="shared" si="32"/>
        <v>0</v>
      </c>
      <c r="O96" s="44">
        <f t="shared" si="33"/>
        <v>0</v>
      </c>
      <c r="P96" s="41" t="str">
        <f t="shared" si="34"/>
        <v/>
      </c>
      <c r="Q96" s="41" t="str">
        <f t="shared" si="35"/>
        <v/>
      </c>
      <c r="R96" s="48"/>
      <c r="S96" s="44" t="str">
        <f t="shared" si="46"/>
        <v/>
      </c>
      <c r="T96" s="52">
        <f t="shared" si="62"/>
        <v>0</v>
      </c>
      <c r="U96" s="53" t="str">
        <f t="shared" si="47"/>
        <v/>
      </c>
      <c r="V96" s="53" t="str">
        <f t="shared" si="48"/>
        <v/>
      </c>
      <c r="W96" s="53" t="str">
        <f t="shared" si="49"/>
        <v/>
      </c>
      <c r="X96" s="46" t="str">
        <f t="shared" si="36"/>
        <v/>
      </c>
      <c r="Y96" s="48"/>
      <c r="Z96" s="41" t="str">
        <f t="shared" si="50"/>
        <v/>
      </c>
      <c r="AA96" s="41" t="str">
        <f t="shared" si="51"/>
        <v/>
      </c>
      <c r="AB96" s="41" t="str">
        <f t="shared" si="37"/>
        <v/>
      </c>
      <c r="AC96" s="41" t="str">
        <f t="shared" si="38"/>
        <v/>
      </c>
      <c r="AD96" s="48"/>
      <c r="AE96" s="41" t="str">
        <f t="shared" si="39"/>
        <v/>
      </c>
      <c r="AF96" s="41"/>
      <c r="AG96" s="41" t="str">
        <f t="shared" si="40"/>
        <v/>
      </c>
      <c r="AH96" s="41" t="str">
        <f t="shared" si="52"/>
        <v/>
      </c>
      <c r="AI96" s="41" t="str">
        <f t="shared" si="53"/>
        <v/>
      </c>
      <c r="AJ96" s="41">
        <f>SUM(AE96:AI96)</f>
        <v>0</v>
      </c>
      <c r="AK96" s="41" t="str">
        <f t="shared" si="42"/>
        <v/>
      </c>
      <c r="AL96" s="41">
        <f t="shared" si="54"/>
        <v>0</v>
      </c>
      <c r="AM96" s="41">
        <f t="shared" si="43"/>
        <v>0</v>
      </c>
      <c r="AN96" s="41" t="str">
        <f t="shared" si="44"/>
        <v/>
      </c>
      <c r="AO96" s="41">
        <f t="shared" si="61"/>
        <v>0</v>
      </c>
      <c r="AP96" s="48"/>
      <c r="AQ96" s="48"/>
      <c r="AR96" s="48"/>
      <c r="AS96" s="48"/>
      <c r="AT96" s="51">
        <f t="shared" si="55"/>
        <v>92</v>
      </c>
      <c r="AU96" s="49" t="str">
        <f t="shared" si="56"/>
        <v/>
      </c>
      <c r="AV96" s="49" t="str">
        <f t="shared" si="57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2.0477517472598999E-2</v>
      </c>
      <c r="C97">
        <f t="shared" si="63"/>
        <v>1.9248866424243057E-2</v>
      </c>
      <c r="D97" s="60"/>
      <c r="E97" s="5"/>
      <c r="F97" s="5"/>
      <c r="I97" s="40"/>
      <c r="J97" s="41"/>
      <c r="K97" s="41" t="str">
        <f t="shared" si="58"/>
        <v/>
      </c>
      <c r="L97" s="42" t="str">
        <f t="shared" si="59"/>
        <v/>
      </c>
      <c r="M97" s="41" t="str">
        <f t="shared" si="60"/>
        <v/>
      </c>
      <c r="N97" s="43">
        <f t="shared" si="32"/>
        <v>0</v>
      </c>
      <c r="O97" s="44">
        <f t="shared" si="33"/>
        <v>0</v>
      </c>
      <c r="P97" s="41" t="str">
        <f t="shared" si="34"/>
        <v/>
      </c>
      <c r="Q97" s="41" t="str">
        <f t="shared" si="35"/>
        <v/>
      </c>
      <c r="R97" s="48"/>
      <c r="S97" s="44" t="str">
        <f t="shared" si="46"/>
        <v/>
      </c>
      <c r="T97" s="52">
        <f t="shared" si="62"/>
        <v>0</v>
      </c>
      <c r="U97" s="53" t="str">
        <f t="shared" si="47"/>
        <v/>
      </c>
      <c r="V97" s="53" t="str">
        <f t="shared" si="48"/>
        <v/>
      </c>
      <c r="W97" s="53" t="str">
        <f t="shared" si="49"/>
        <v/>
      </c>
      <c r="X97" s="46" t="str">
        <f t="shared" si="36"/>
        <v/>
      </c>
      <c r="Y97" s="48"/>
      <c r="Z97" s="41" t="str">
        <f t="shared" si="50"/>
        <v/>
      </c>
      <c r="AA97" s="41" t="str">
        <f t="shared" si="51"/>
        <v/>
      </c>
      <c r="AB97" s="41" t="str">
        <f t="shared" si="37"/>
        <v/>
      </c>
      <c r="AC97" s="41" t="str">
        <f t="shared" si="38"/>
        <v/>
      </c>
      <c r="AD97" s="48"/>
      <c r="AE97" s="41" t="str">
        <f t="shared" si="39"/>
        <v/>
      </c>
      <c r="AF97" s="41"/>
      <c r="AG97" s="41" t="str">
        <f t="shared" si="40"/>
        <v/>
      </c>
      <c r="AH97" s="41" t="str">
        <f t="shared" si="52"/>
        <v/>
      </c>
      <c r="AI97" s="41" t="str">
        <f t="shared" si="53"/>
        <v/>
      </c>
      <c r="AJ97" s="41">
        <f t="shared" si="41"/>
        <v>0</v>
      </c>
      <c r="AK97" s="41" t="str">
        <f t="shared" si="42"/>
        <v/>
      </c>
      <c r="AL97" s="41">
        <f t="shared" si="54"/>
        <v>0</v>
      </c>
      <c r="AM97" s="41">
        <f t="shared" si="43"/>
        <v>0</v>
      </c>
      <c r="AN97" s="41" t="str">
        <f t="shared" si="44"/>
        <v/>
      </c>
      <c r="AO97" s="41">
        <f t="shared" si="61"/>
        <v>0</v>
      </c>
      <c r="AP97" s="48"/>
      <c r="AQ97" s="48"/>
      <c r="AR97" s="48"/>
      <c r="AS97" s="48"/>
      <c r="AT97" s="51">
        <f t="shared" si="55"/>
        <v>93</v>
      </c>
      <c r="AU97" s="49" t="str">
        <f t="shared" si="56"/>
        <v/>
      </c>
      <c r="AV97" s="49" t="str">
        <f t="shared" si="57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2.2766625658052399E-2</v>
      </c>
      <c r="C98">
        <f t="shared" si="63"/>
        <v>2.1400628118569253E-2</v>
      </c>
      <c r="D98" s="60"/>
      <c r="E98" s="5"/>
      <c r="F98" s="5"/>
      <c r="I98" s="40"/>
      <c r="J98" s="41"/>
      <c r="K98" s="41" t="str">
        <f t="shared" si="58"/>
        <v/>
      </c>
      <c r="L98" s="42" t="str">
        <f t="shared" si="59"/>
        <v/>
      </c>
      <c r="M98" s="41" t="str">
        <f t="shared" si="60"/>
        <v/>
      </c>
      <c r="N98" s="43">
        <f t="shared" si="32"/>
        <v>0</v>
      </c>
      <c r="O98" s="44">
        <f t="shared" si="33"/>
        <v>0</v>
      </c>
      <c r="P98" s="41" t="str">
        <f t="shared" si="34"/>
        <v/>
      </c>
      <c r="Q98" s="41" t="str">
        <f t="shared" si="35"/>
        <v/>
      </c>
      <c r="R98" s="48"/>
      <c r="S98" s="44" t="str">
        <f t="shared" si="46"/>
        <v/>
      </c>
      <c r="T98" s="52">
        <f t="shared" si="62"/>
        <v>0</v>
      </c>
      <c r="U98" s="53" t="str">
        <f t="shared" si="47"/>
        <v/>
      </c>
      <c r="V98" s="53" t="str">
        <f t="shared" si="48"/>
        <v/>
      </c>
      <c r="W98" s="53" t="str">
        <f t="shared" si="49"/>
        <v/>
      </c>
      <c r="X98" s="46" t="str">
        <f t="shared" si="36"/>
        <v/>
      </c>
      <c r="Y98" s="48"/>
      <c r="Z98" s="41" t="str">
        <f t="shared" si="50"/>
        <v/>
      </c>
      <c r="AA98" s="41" t="str">
        <f t="shared" si="51"/>
        <v/>
      </c>
      <c r="AB98" s="41" t="str">
        <f t="shared" si="37"/>
        <v/>
      </c>
      <c r="AC98" s="41" t="str">
        <f t="shared" si="38"/>
        <v/>
      </c>
      <c r="AD98" s="48"/>
      <c r="AE98" s="41" t="str">
        <f t="shared" si="39"/>
        <v/>
      </c>
      <c r="AF98" s="41"/>
      <c r="AG98" s="41" t="str">
        <f t="shared" si="40"/>
        <v/>
      </c>
      <c r="AH98" s="41" t="str">
        <f t="shared" si="52"/>
        <v/>
      </c>
      <c r="AI98" s="41" t="str">
        <f t="shared" si="53"/>
        <v/>
      </c>
      <c r="AJ98" s="41">
        <f t="shared" si="41"/>
        <v>0</v>
      </c>
      <c r="AK98" s="41" t="str">
        <f t="shared" si="42"/>
        <v/>
      </c>
      <c r="AL98" s="41">
        <f t="shared" si="54"/>
        <v>0</v>
      </c>
      <c r="AM98" s="41">
        <f t="shared" si="43"/>
        <v>0</v>
      </c>
      <c r="AN98" s="41" t="str">
        <f t="shared" si="44"/>
        <v/>
      </c>
      <c r="AO98" s="41">
        <f t="shared" si="61"/>
        <v>0</v>
      </c>
      <c r="AP98" s="48"/>
      <c r="AQ98" s="48"/>
      <c r="AR98" s="48"/>
      <c r="AS98" s="48"/>
      <c r="AT98" s="51">
        <f t="shared" si="55"/>
        <v>94</v>
      </c>
      <c r="AU98" s="49" t="str">
        <f t="shared" si="56"/>
        <v/>
      </c>
      <c r="AV98" s="49" t="str">
        <f t="shared" si="57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2.54936301166078E-2</v>
      </c>
      <c r="C99">
        <f t="shared" si="63"/>
        <v>2.3964012309611329E-2</v>
      </c>
      <c r="D99" s="60"/>
      <c r="E99" s="5"/>
      <c r="F99" s="5"/>
      <c r="I99" s="40"/>
      <c r="J99" s="41"/>
      <c r="K99" s="41" t="str">
        <f t="shared" si="58"/>
        <v/>
      </c>
      <c r="L99" s="42" t="str">
        <f t="shared" si="59"/>
        <v/>
      </c>
      <c r="M99" s="41" t="str">
        <f t="shared" si="60"/>
        <v/>
      </c>
      <c r="N99" s="43">
        <f t="shared" si="32"/>
        <v>0</v>
      </c>
      <c r="O99" s="44">
        <f t="shared" si="33"/>
        <v>0</v>
      </c>
      <c r="P99" s="41" t="str">
        <f t="shared" si="34"/>
        <v/>
      </c>
      <c r="Q99" s="41" t="str">
        <f t="shared" si="35"/>
        <v/>
      </c>
      <c r="R99" s="48"/>
      <c r="S99" s="44" t="str">
        <f t="shared" si="46"/>
        <v/>
      </c>
      <c r="T99" s="52">
        <f t="shared" si="62"/>
        <v>0</v>
      </c>
      <c r="U99" s="53" t="str">
        <f t="shared" si="47"/>
        <v/>
      </c>
      <c r="V99" s="53" t="str">
        <f t="shared" si="48"/>
        <v/>
      </c>
      <c r="W99" s="53" t="str">
        <f t="shared" si="49"/>
        <v/>
      </c>
      <c r="X99" s="46" t="str">
        <f t="shared" si="36"/>
        <v/>
      </c>
      <c r="Y99" s="48"/>
      <c r="Z99" s="41" t="str">
        <f t="shared" si="50"/>
        <v/>
      </c>
      <c r="AA99" s="41" t="str">
        <f t="shared" si="51"/>
        <v/>
      </c>
      <c r="AB99" s="41" t="str">
        <f t="shared" si="37"/>
        <v/>
      </c>
      <c r="AC99" s="41" t="str">
        <f t="shared" si="38"/>
        <v/>
      </c>
      <c r="AD99" s="48"/>
      <c r="AE99" s="41" t="str">
        <f t="shared" si="39"/>
        <v/>
      </c>
      <c r="AF99" s="41"/>
      <c r="AG99" s="41" t="str">
        <f t="shared" si="40"/>
        <v/>
      </c>
      <c r="AH99" s="41" t="str">
        <f t="shared" si="52"/>
        <v/>
      </c>
      <c r="AI99" s="41" t="str">
        <f t="shared" si="53"/>
        <v/>
      </c>
      <c r="AJ99" s="41">
        <f t="shared" si="41"/>
        <v>0</v>
      </c>
      <c r="AK99" s="41" t="str">
        <f t="shared" si="42"/>
        <v/>
      </c>
      <c r="AL99" s="41">
        <f t="shared" si="54"/>
        <v>0</v>
      </c>
      <c r="AM99" s="41">
        <f t="shared" si="43"/>
        <v>0</v>
      </c>
      <c r="AN99" s="41" t="str">
        <f t="shared" si="44"/>
        <v/>
      </c>
      <c r="AO99" s="41">
        <f t="shared" si="61"/>
        <v>0</v>
      </c>
      <c r="AP99" s="48"/>
      <c r="AQ99" s="48"/>
      <c r="AR99" s="48"/>
      <c r="AS99" s="48"/>
      <c r="AT99" s="51">
        <f t="shared" si="55"/>
        <v>95</v>
      </c>
      <c r="AU99" s="49" t="str">
        <f t="shared" si="56"/>
        <v/>
      </c>
      <c r="AV99" s="49" t="str">
        <f t="shared" si="57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2.8639468023114501E-2</v>
      </c>
      <c r="C100">
        <f t="shared" si="63"/>
        <v>2.692109994172763E-2</v>
      </c>
      <c r="D100" s="60"/>
      <c r="E100" s="5"/>
      <c r="F100" s="5"/>
      <c r="I100" s="40"/>
      <c r="J100" s="41"/>
      <c r="K100" s="41" t="str">
        <f t="shared" si="58"/>
        <v/>
      </c>
      <c r="L100" s="42" t="str">
        <f t="shared" si="59"/>
        <v/>
      </c>
      <c r="M100" s="41" t="str">
        <f t="shared" si="60"/>
        <v/>
      </c>
      <c r="N100" s="43">
        <f t="shared" si="32"/>
        <v>0</v>
      </c>
      <c r="O100" s="44">
        <f t="shared" si="33"/>
        <v>0</v>
      </c>
      <c r="P100" s="41" t="str">
        <f t="shared" si="34"/>
        <v/>
      </c>
      <c r="Q100" s="41" t="str">
        <f t="shared" si="35"/>
        <v/>
      </c>
      <c r="R100" s="48"/>
      <c r="S100" s="44" t="str">
        <f t="shared" si="46"/>
        <v/>
      </c>
      <c r="T100" s="52">
        <f t="shared" si="62"/>
        <v>0</v>
      </c>
      <c r="U100" s="53" t="str">
        <f t="shared" si="47"/>
        <v/>
      </c>
      <c r="V100" s="53" t="str">
        <f t="shared" si="48"/>
        <v/>
      </c>
      <c r="W100" s="53" t="str">
        <f t="shared" si="49"/>
        <v/>
      </c>
      <c r="X100" s="46" t="str">
        <f t="shared" si="36"/>
        <v/>
      </c>
      <c r="Y100" s="48"/>
      <c r="Z100" s="41" t="str">
        <f t="shared" si="50"/>
        <v/>
      </c>
      <c r="AA100" s="41" t="str">
        <f t="shared" si="51"/>
        <v/>
      </c>
      <c r="AB100" s="41" t="str">
        <f t="shared" si="37"/>
        <v/>
      </c>
      <c r="AC100" s="41" t="str">
        <f t="shared" si="38"/>
        <v/>
      </c>
      <c r="AD100" s="48"/>
      <c r="AE100" s="41" t="str">
        <f t="shared" si="39"/>
        <v/>
      </c>
      <c r="AF100" s="41"/>
      <c r="AG100" s="41" t="str">
        <f t="shared" si="40"/>
        <v/>
      </c>
      <c r="AH100" s="41" t="str">
        <f t="shared" si="52"/>
        <v/>
      </c>
      <c r="AI100" s="41" t="str">
        <f t="shared" si="53"/>
        <v/>
      </c>
      <c r="AJ100" s="41">
        <f t="shared" si="41"/>
        <v>0</v>
      </c>
      <c r="AK100" s="41" t="str">
        <f t="shared" si="42"/>
        <v/>
      </c>
      <c r="AL100" s="41">
        <f t="shared" si="54"/>
        <v>0</v>
      </c>
      <c r="AM100" s="41">
        <f t="shared" si="43"/>
        <v>0</v>
      </c>
      <c r="AN100" s="41" t="str">
        <f t="shared" si="44"/>
        <v/>
      </c>
      <c r="AO100" s="41">
        <f t="shared" si="61"/>
        <v>0</v>
      </c>
      <c r="AP100" s="48"/>
      <c r="AQ100" s="48"/>
      <c r="AR100" s="48"/>
      <c r="AS100" s="48"/>
      <c r="AT100" s="51">
        <f t="shared" si="55"/>
        <v>96</v>
      </c>
      <c r="AU100" s="49" t="str">
        <f t="shared" si="56"/>
        <v/>
      </c>
      <c r="AV100" s="49" t="str">
        <f t="shared" si="57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3.6972147468375502E-2</v>
      </c>
      <c r="C101">
        <f t="shared" si="63"/>
        <v>3.4753818620272971E-2</v>
      </c>
      <c r="D101" s="60"/>
      <c r="E101" s="5"/>
      <c r="F101" s="5"/>
      <c r="I101" s="40"/>
      <c r="J101" s="41"/>
      <c r="K101" s="41" t="str">
        <f t="shared" si="58"/>
        <v/>
      </c>
      <c r="L101" s="42" t="str">
        <f t="shared" si="59"/>
        <v/>
      </c>
      <c r="M101" s="41" t="str">
        <f t="shared" si="60"/>
        <v/>
      </c>
      <c r="N101" s="43">
        <f t="shared" si="32"/>
        <v>0</v>
      </c>
      <c r="O101" s="44">
        <f t="shared" si="33"/>
        <v>0</v>
      </c>
      <c r="P101" s="41" t="str">
        <f t="shared" si="34"/>
        <v/>
      </c>
      <c r="Q101" s="41" t="str">
        <f t="shared" si="35"/>
        <v/>
      </c>
      <c r="R101" s="48"/>
      <c r="S101" s="44" t="str">
        <f t="shared" si="46"/>
        <v/>
      </c>
      <c r="T101" s="52">
        <f t="shared" si="62"/>
        <v>0</v>
      </c>
      <c r="U101" s="53" t="str">
        <f t="shared" si="47"/>
        <v/>
      </c>
      <c r="V101" s="53" t="str">
        <f t="shared" si="48"/>
        <v/>
      </c>
      <c r="W101" s="53" t="str">
        <f t="shared" si="49"/>
        <v/>
      </c>
      <c r="X101" s="46" t="str">
        <f t="shared" si="36"/>
        <v/>
      </c>
      <c r="Y101" s="48"/>
      <c r="Z101" s="41" t="str">
        <f t="shared" si="50"/>
        <v/>
      </c>
      <c r="AA101" s="41" t="str">
        <f t="shared" si="51"/>
        <v/>
      </c>
      <c r="AB101" s="41" t="str">
        <f t="shared" si="37"/>
        <v/>
      </c>
      <c r="AC101" s="41" t="str">
        <f t="shared" si="38"/>
        <v/>
      </c>
      <c r="AD101" s="48"/>
      <c r="AE101" s="41" t="str">
        <f t="shared" si="39"/>
        <v/>
      </c>
      <c r="AF101" s="41"/>
      <c r="AG101" s="41" t="str">
        <f t="shared" si="40"/>
        <v/>
      </c>
      <c r="AH101" s="41" t="str">
        <f t="shared" si="52"/>
        <v/>
      </c>
      <c r="AI101" s="41" t="str">
        <f t="shared" si="53"/>
        <v/>
      </c>
      <c r="AJ101" s="41">
        <f t="shared" si="41"/>
        <v>0</v>
      </c>
      <c r="AK101" s="41" t="str">
        <f t="shared" si="42"/>
        <v/>
      </c>
      <c r="AL101" s="41">
        <f t="shared" si="54"/>
        <v>0</v>
      </c>
      <c r="AM101" s="41">
        <f t="shared" si="43"/>
        <v>0</v>
      </c>
      <c r="AN101" s="41" t="str">
        <f t="shared" si="44"/>
        <v/>
      </c>
      <c r="AO101" s="41">
        <f t="shared" si="61"/>
        <v>0</v>
      </c>
      <c r="AP101" s="48"/>
      <c r="AQ101" s="48"/>
      <c r="AR101" s="48"/>
      <c r="AS101" s="48"/>
      <c r="AT101" s="51">
        <f t="shared" si="55"/>
        <v>97</v>
      </c>
      <c r="AU101" s="49" t="str">
        <f t="shared" si="56"/>
        <v/>
      </c>
      <c r="AV101" s="49" t="str">
        <f t="shared" si="57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4.17471217729148E-2</v>
      </c>
      <c r="C102">
        <f t="shared" si="63"/>
        <v>3.9242294466539908E-2</v>
      </c>
      <c r="D102" s="60"/>
      <c r="E102" s="5"/>
      <c r="F102" s="5"/>
      <c r="I102" s="40"/>
      <c r="J102" s="41"/>
      <c r="K102" s="41" t="str">
        <f t="shared" si="58"/>
        <v/>
      </c>
      <c r="L102" s="42" t="str">
        <f t="shared" si="59"/>
        <v/>
      </c>
      <c r="M102" s="41" t="str">
        <f t="shared" si="60"/>
        <v/>
      </c>
      <c r="N102" s="43">
        <f t="shared" si="32"/>
        <v>0</v>
      </c>
      <c r="O102" s="44">
        <f t="shared" si="33"/>
        <v>0</v>
      </c>
      <c r="P102" s="41" t="str">
        <f t="shared" si="34"/>
        <v/>
      </c>
      <c r="Q102" s="41" t="str">
        <f t="shared" si="35"/>
        <v/>
      </c>
      <c r="R102" s="48"/>
      <c r="S102" s="44" t="str">
        <f t="shared" si="46"/>
        <v/>
      </c>
      <c r="T102" s="52">
        <f t="shared" si="62"/>
        <v>0</v>
      </c>
      <c r="U102" s="53" t="str">
        <f t="shared" si="47"/>
        <v/>
      </c>
      <c r="V102" s="53" t="str">
        <f t="shared" si="48"/>
        <v/>
      </c>
      <c r="W102" s="53" t="str">
        <f t="shared" si="49"/>
        <v/>
      </c>
      <c r="X102" s="46" t="str">
        <f t="shared" si="36"/>
        <v/>
      </c>
      <c r="Y102" s="48"/>
      <c r="Z102" s="41" t="str">
        <f t="shared" si="50"/>
        <v/>
      </c>
      <c r="AA102" s="41" t="str">
        <f t="shared" si="51"/>
        <v/>
      </c>
      <c r="AB102" s="41" t="str">
        <f t="shared" si="37"/>
        <v/>
      </c>
      <c r="AC102" s="41" t="str">
        <f t="shared" si="38"/>
        <v/>
      </c>
      <c r="AD102" s="48"/>
      <c r="AE102" s="41" t="str">
        <f t="shared" si="39"/>
        <v/>
      </c>
      <c r="AF102" s="41"/>
      <c r="AG102" s="41" t="str">
        <f t="shared" si="40"/>
        <v/>
      </c>
      <c r="AH102" s="41" t="str">
        <f t="shared" si="52"/>
        <v/>
      </c>
      <c r="AI102" s="41" t="str">
        <f t="shared" si="53"/>
        <v/>
      </c>
      <c r="AJ102" s="41">
        <f t="shared" si="41"/>
        <v>0</v>
      </c>
      <c r="AK102" s="41" t="str">
        <f t="shared" si="42"/>
        <v/>
      </c>
      <c r="AL102" s="41">
        <f t="shared" si="54"/>
        <v>0</v>
      </c>
      <c r="AM102" s="41">
        <f t="shared" si="43"/>
        <v>0</v>
      </c>
      <c r="AN102" s="41" t="str">
        <f t="shared" si="44"/>
        <v/>
      </c>
      <c r="AO102" s="41">
        <f t="shared" si="61"/>
        <v>0</v>
      </c>
      <c r="AP102" s="48"/>
      <c r="AQ102" s="48"/>
      <c r="AR102" s="48"/>
      <c r="AS102" s="48"/>
      <c r="AT102" s="51">
        <f t="shared" si="55"/>
        <v>98</v>
      </c>
      <c r="AU102" s="49" t="str">
        <f t="shared" si="56"/>
        <v/>
      </c>
      <c r="AV102" s="49" t="str">
        <f t="shared" si="57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4.7085483572676202E-2</v>
      </c>
      <c r="C103">
        <f t="shared" si="63"/>
        <v>4.4260354558315625E-2</v>
      </c>
      <c r="D103" s="60"/>
      <c r="E103" s="5"/>
      <c r="F103" s="5"/>
      <c r="I103" s="40"/>
      <c r="J103" s="41"/>
      <c r="K103" s="41" t="str">
        <f t="shared" si="58"/>
        <v/>
      </c>
      <c r="L103" s="42" t="str">
        <f t="shared" si="59"/>
        <v/>
      </c>
      <c r="M103" s="41" t="str">
        <f t="shared" si="60"/>
        <v/>
      </c>
      <c r="N103" s="43">
        <f t="shared" si="32"/>
        <v>0</v>
      </c>
      <c r="O103" s="44">
        <f t="shared" si="33"/>
        <v>0</v>
      </c>
      <c r="P103" s="41" t="str">
        <f t="shared" si="34"/>
        <v/>
      </c>
      <c r="Q103" s="41" t="str">
        <f t="shared" si="35"/>
        <v/>
      </c>
      <c r="R103" s="48"/>
      <c r="S103" s="44" t="str">
        <f t="shared" si="46"/>
        <v/>
      </c>
      <c r="T103" s="52">
        <f t="shared" si="62"/>
        <v>0</v>
      </c>
      <c r="U103" s="53" t="str">
        <f t="shared" si="47"/>
        <v/>
      </c>
      <c r="V103" s="53" t="str">
        <f t="shared" si="48"/>
        <v/>
      </c>
      <c r="W103" s="53" t="str">
        <f t="shared" si="49"/>
        <v/>
      </c>
      <c r="X103" s="46" t="str">
        <f t="shared" si="36"/>
        <v/>
      </c>
      <c r="Y103" s="48"/>
      <c r="Z103" s="41" t="str">
        <f t="shared" si="50"/>
        <v/>
      </c>
      <c r="AA103" s="41" t="str">
        <f t="shared" si="51"/>
        <v/>
      </c>
      <c r="AB103" s="41" t="str">
        <f t="shared" si="37"/>
        <v/>
      </c>
      <c r="AC103" s="41" t="str">
        <f t="shared" si="38"/>
        <v/>
      </c>
      <c r="AD103" s="48"/>
      <c r="AE103" s="41" t="str">
        <f t="shared" si="39"/>
        <v/>
      </c>
      <c r="AF103" s="41"/>
      <c r="AG103" s="41" t="str">
        <f t="shared" si="40"/>
        <v/>
      </c>
      <c r="AH103" s="41" t="str">
        <f t="shared" si="52"/>
        <v/>
      </c>
      <c r="AI103" s="41" t="str">
        <f t="shared" si="53"/>
        <v/>
      </c>
      <c r="AJ103" s="41">
        <f t="shared" si="41"/>
        <v>0</v>
      </c>
      <c r="AK103" s="41" t="str">
        <f t="shared" si="42"/>
        <v/>
      </c>
      <c r="AL103" s="41">
        <f t="shared" si="54"/>
        <v>0</v>
      </c>
      <c r="AM103" s="41">
        <f t="shared" si="43"/>
        <v>0</v>
      </c>
      <c r="AN103" s="41" t="str">
        <f t="shared" si="44"/>
        <v/>
      </c>
      <c r="AO103" s="41">
        <f t="shared" si="61"/>
        <v>0</v>
      </c>
      <c r="AP103" s="48"/>
      <c r="AQ103" s="48"/>
      <c r="AR103" s="48"/>
      <c r="AS103" s="48"/>
      <c r="AT103" s="51">
        <f t="shared" si="55"/>
        <v>99</v>
      </c>
      <c r="AU103" s="49" t="str">
        <f t="shared" si="56"/>
        <v/>
      </c>
      <c r="AV103" s="49" t="str">
        <f t="shared" si="57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5.3025010084243998E-2</v>
      </c>
      <c r="C104">
        <f t="shared" si="63"/>
        <v>4.9843509479189356E-2</v>
      </c>
      <c r="D104" s="60"/>
      <c r="E104" s="5"/>
      <c r="F104" s="5"/>
      <c r="I104" s="40"/>
      <c r="J104" s="41"/>
      <c r="K104" s="41" t="str">
        <f t="shared" si="58"/>
        <v/>
      </c>
      <c r="L104" s="42" t="str">
        <f t="shared" si="59"/>
        <v/>
      </c>
      <c r="M104" s="41" t="str">
        <f t="shared" si="60"/>
        <v/>
      </c>
      <c r="N104" s="43">
        <f t="shared" si="32"/>
        <v>0</v>
      </c>
      <c r="O104" s="44">
        <f t="shared" si="33"/>
        <v>0</v>
      </c>
      <c r="P104" s="41" t="str">
        <f t="shared" si="34"/>
        <v/>
      </c>
      <c r="Q104" s="41" t="str">
        <f t="shared" si="35"/>
        <v/>
      </c>
      <c r="R104" s="48"/>
      <c r="S104" s="44" t="str">
        <f t="shared" si="46"/>
        <v/>
      </c>
      <c r="T104" s="52">
        <f t="shared" si="62"/>
        <v>0</v>
      </c>
      <c r="U104" s="53" t="str">
        <f t="shared" si="47"/>
        <v/>
      </c>
      <c r="V104" s="53" t="str">
        <f t="shared" si="48"/>
        <v/>
      </c>
      <c r="W104" s="53" t="str">
        <f t="shared" si="49"/>
        <v/>
      </c>
      <c r="X104" s="46" t="str">
        <f t="shared" si="36"/>
        <v/>
      </c>
      <c r="Y104" s="48"/>
      <c r="Z104" s="41" t="str">
        <f t="shared" si="50"/>
        <v/>
      </c>
      <c r="AA104" s="41" t="str">
        <f t="shared" si="51"/>
        <v/>
      </c>
      <c r="AB104" s="41" t="str">
        <f t="shared" si="37"/>
        <v/>
      </c>
      <c r="AC104" s="41" t="str">
        <f t="shared" si="38"/>
        <v/>
      </c>
      <c r="AD104" s="48"/>
      <c r="AE104" s="41" t="str">
        <f t="shared" si="39"/>
        <v/>
      </c>
      <c r="AF104" s="41"/>
      <c r="AG104" s="41" t="str">
        <f t="shared" si="40"/>
        <v/>
      </c>
      <c r="AH104" s="41" t="str">
        <f t="shared" si="52"/>
        <v/>
      </c>
      <c r="AI104" s="41" t="str">
        <f t="shared" si="53"/>
        <v/>
      </c>
      <c r="AJ104" s="41">
        <f t="shared" si="41"/>
        <v>0</v>
      </c>
      <c r="AK104" s="41" t="str">
        <f t="shared" si="42"/>
        <v/>
      </c>
      <c r="AL104" s="41">
        <f t="shared" si="54"/>
        <v>0</v>
      </c>
      <c r="AM104" s="41">
        <f t="shared" si="43"/>
        <v>0</v>
      </c>
      <c r="AN104" s="41" t="str">
        <f t="shared" si="44"/>
        <v/>
      </c>
      <c r="AO104" s="41">
        <f t="shared" si="61"/>
        <v>0</v>
      </c>
      <c r="AP104" s="48"/>
      <c r="AQ104" s="48"/>
      <c r="AR104" s="48"/>
      <c r="AS104" s="48"/>
      <c r="AT104" s="51">
        <f t="shared" si="55"/>
        <v>100</v>
      </c>
      <c r="AU104" s="49" t="str">
        <f t="shared" si="56"/>
        <v/>
      </c>
      <c r="AV104" s="49" t="str">
        <f t="shared" si="57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5.9506610754154497E-2</v>
      </c>
      <c r="C105">
        <f t="shared" si="63"/>
        <v>5.5936214108905223E-2</v>
      </c>
      <c r="D105" s="60"/>
      <c r="E105" s="5"/>
      <c r="F105" s="5"/>
      <c r="I105" s="40"/>
      <c r="J105" s="41"/>
      <c r="K105" s="41" t="str">
        <f t="shared" si="58"/>
        <v/>
      </c>
      <c r="L105" s="42" t="str">
        <f t="shared" si="59"/>
        <v/>
      </c>
      <c r="M105" s="41" t="str">
        <f t="shared" si="60"/>
        <v/>
      </c>
      <c r="N105" s="43">
        <f t="shared" si="32"/>
        <v>0</v>
      </c>
      <c r="O105" s="44">
        <f t="shared" si="33"/>
        <v>0</v>
      </c>
      <c r="P105" s="41" t="str">
        <f t="shared" si="34"/>
        <v/>
      </c>
      <c r="Q105" s="41" t="str">
        <f t="shared" si="35"/>
        <v/>
      </c>
      <c r="R105" s="48"/>
      <c r="S105" s="44" t="str">
        <f t="shared" si="46"/>
        <v/>
      </c>
      <c r="T105" s="52">
        <f t="shared" si="62"/>
        <v>0</v>
      </c>
      <c r="U105" s="53" t="str">
        <f t="shared" si="47"/>
        <v/>
      </c>
      <c r="V105" s="53" t="str">
        <f t="shared" si="48"/>
        <v/>
      </c>
      <c r="W105" s="53" t="str">
        <f t="shared" si="49"/>
        <v/>
      </c>
      <c r="X105" s="46" t="str">
        <f t="shared" si="36"/>
        <v/>
      </c>
      <c r="Y105" s="48"/>
      <c r="Z105" s="41" t="str">
        <f t="shared" si="50"/>
        <v/>
      </c>
      <c r="AA105" s="41" t="str">
        <f t="shared" si="51"/>
        <v/>
      </c>
      <c r="AB105" s="41" t="str">
        <f t="shared" si="37"/>
        <v/>
      </c>
      <c r="AC105" s="41" t="str">
        <f t="shared" si="38"/>
        <v/>
      </c>
      <c r="AD105" s="48"/>
      <c r="AE105" s="41" t="str">
        <f t="shared" si="39"/>
        <v/>
      </c>
      <c r="AF105" s="41"/>
      <c r="AG105" s="41" t="str">
        <f t="shared" si="40"/>
        <v/>
      </c>
      <c r="AH105" s="41" t="str">
        <f t="shared" si="52"/>
        <v/>
      </c>
      <c r="AI105" s="41" t="str">
        <f t="shared" si="53"/>
        <v/>
      </c>
      <c r="AJ105" s="41">
        <f t="shared" si="41"/>
        <v>0</v>
      </c>
      <c r="AK105" s="41" t="str">
        <f t="shared" si="42"/>
        <v/>
      </c>
      <c r="AL105" s="41">
        <f t="shared" si="54"/>
        <v>0</v>
      </c>
      <c r="AM105" s="41">
        <f t="shared" si="43"/>
        <v>0</v>
      </c>
      <c r="AN105" s="41" t="str">
        <f t="shared" si="44"/>
        <v/>
      </c>
      <c r="AO105" s="41">
        <f t="shared" si="61"/>
        <v>0</v>
      </c>
      <c r="AP105" s="48"/>
      <c r="AQ105" s="48"/>
      <c r="AR105" s="48"/>
      <c r="AS105" s="48"/>
      <c r="AT105" s="51">
        <f t="shared" si="55"/>
        <v>101</v>
      </c>
      <c r="AU105" s="49" t="str">
        <f t="shared" si="56"/>
        <v/>
      </c>
      <c r="AV105" s="49" t="str">
        <f t="shared" si="57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6.6629843904551594E-2</v>
      </c>
      <c r="C106">
        <f t="shared" si="63"/>
        <v>6.2632053270278501E-2</v>
      </c>
      <c r="D106" s="60"/>
      <c r="E106" s="5"/>
      <c r="F106" s="5"/>
      <c r="I106" s="40"/>
      <c r="J106" s="41"/>
      <c r="K106" s="41" t="str">
        <f t="shared" si="58"/>
        <v/>
      </c>
      <c r="L106" s="42" t="str">
        <f t="shared" si="59"/>
        <v/>
      </c>
      <c r="M106" s="41" t="str">
        <f t="shared" si="60"/>
        <v/>
      </c>
      <c r="N106" s="43">
        <f t="shared" si="32"/>
        <v>0</v>
      </c>
      <c r="O106" s="44">
        <f t="shared" si="33"/>
        <v>0</v>
      </c>
      <c r="P106" s="41" t="str">
        <f t="shared" si="34"/>
        <v/>
      </c>
      <c r="Q106" s="41" t="str">
        <f t="shared" si="35"/>
        <v/>
      </c>
      <c r="R106" s="48"/>
      <c r="S106" s="44" t="str">
        <f t="shared" si="46"/>
        <v/>
      </c>
      <c r="T106" s="52">
        <f t="shared" si="62"/>
        <v>0</v>
      </c>
      <c r="U106" s="53" t="str">
        <f t="shared" si="47"/>
        <v/>
      </c>
      <c r="V106" s="53" t="str">
        <f t="shared" si="48"/>
        <v/>
      </c>
      <c r="W106" s="53" t="str">
        <f t="shared" si="49"/>
        <v/>
      </c>
      <c r="X106" s="46" t="str">
        <f t="shared" si="36"/>
        <v/>
      </c>
      <c r="Y106" s="48"/>
      <c r="Z106" s="41" t="str">
        <f t="shared" si="50"/>
        <v/>
      </c>
      <c r="AA106" s="41" t="str">
        <f t="shared" si="51"/>
        <v/>
      </c>
      <c r="AB106" s="41" t="str">
        <f t="shared" si="37"/>
        <v/>
      </c>
      <c r="AC106" s="41" t="str">
        <f t="shared" si="38"/>
        <v/>
      </c>
      <c r="AD106" s="48"/>
      <c r="AE106" s="41" t="str">
        <f t="shared" si="39"/>
        <v/>
      </c>
      <c r="AF106" s="41"/>
      <c r="AG106" s="41" t="str">
        <f t="shared" si="40"/>
        <v/>
      </c>
      <c r="AH106" s="41" t="str">
        <f t="shared" si="52"/>
        <v/>
      </c>
      <c r="AI106" s="41" t="str">
        <f t="shared" si="53"/>
        <v/>
      </c>
      <c r="AJ106" s="41">
        <f t="shared" si="41"/>
        <v>0</v>
      </c>
      <c r="AK106" s="41" t="str">
        <f t="shared" si="42"/>
        <v/>
      </c>
      <c r="AL106" s="41">
        <f t="shared" si="54"/>
        <v>0</v>
      </c>
      <c r="AM106" s="41">
        <f t="shared" si="43"/>
        <v>0</v>
      </c>
      <c r="AN106" s="41" t="str">
        <f t="shared" si="44"/>
        <v/>
      </c>
      <c r="AO106" s="41">
        <f t="shared" si="61"/>
        <v>0</v>
      </c>
      <c r="AP106" s="48"/>
      <c r="AQ106" s="48"/>
      <c r="AR106" s="48"/>
      <c r="AS106" s="48"/>
      <c r="AT106" s="51">
        <f t="shared" si="55"/>
        <v>102</v>
      </c>
      <c r="AU106" s="49" t="str">
        <f t="shared" si="56"/>
        <v/>
      </c>
      <c r="AV106" s="49" t="str">
        <f t="shared" si="57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7.46418422641935E-2</v>
      </c>
      <c r="C107">
        <f t="shared" si="63"/>
        <v>7.0163331728341882E-2</v>
      </c>
      <c r="D107" s="60"/>
      <c r="E107" s="5"/>
      <c r="F107" s="5"/>
      <c r="I107" s="40"/>
      <c r="J107" s="41"/>
      <c r="K107" s="41" t="str">
        <f t="shared" si="58"/>
        <v/>
      </c>
      <c r="L107" s="42" t="str">
        <f t="shared" si="59"/>
        <v/>
      </c>
      <c r="M107" s="41" t="str">
        <f t="shared" si="60"/>
        <v/>
      </c>
      <c r="N107" s="43">
        <f t="shared" si="32"/>
        <v>0</v>
      </c>
      <c r="O107" s="44">
        <f t="shared" si="33"/>
        <v>0</v>
      </c>
      <c r="P107" s="41" t="str">
        <f t="shared" si="34"/>
        <v/>
      </c>
      <c r="Q107" s="41" t="str">
        <f t="shared" si="35"/>
        <v/>
      </c>
      <c r="R107" s="48"/>
      <c r="S107" s="44" t="str">
        <f t="shared" si="46"/>
        <v/>
      </c>
      <c r="T107" s="52">
        <f t="shared" si="62"/>
        <v>0</v>
      </c>
      <c r="U107" s="53" t="str">
        <f t="shared" si="47"/>
        <v/>
      </c>
      <c r="V107" s="53" t="str">
        <f t="shared" si="48"/>
        <v/>
      </c>
      <c r="W107" s="53" t="str">
        <f t="shared" si="49"/>
        <v/>
      </c>
      <c r="X107" s="46" t="str">
        <f t="shared" si="36"/>
        <v/>
      </c>
      <c r="Y107" s="48"/>
      <c r="Z107" s="41" t="str">
        <f t="shared" si="50"/>
        <v/>
      </c>
      <c r="AA107" s="41" t="str">
        <f t="shared" si="51"/>
        <v/>
      </c>
      <c r="AB107" s="41" t="str">
        <f t="shared" si="37"/>
        <v/>
      </c>
      <c r="AC107" s="41" t="str">
        <f t="shared" si="38"/>
        <v/>
      </c>
      <c r="AD107" s="48"/>
      <c r="AE107" s="41" t="str">
        <f t="shared" si="39"/>
        <v/>
      </c>
      <c r="AF107" s="41"/>
      <c r="AG107" s="41" t="str">
        <f t="shared" si="40"/>
        <v/>
      </c>
      <c r="AH107" s="41" t="str">
        <f t="shared" si="52"/>
        <v/>
      </c>
      <c r="AI107" s="41" t="str">
        <f t="shared" si="53"/>
        <v/>
      </c>
      <c r="AJ107" s="41">
        <f t="shared" si="41"/>
        <v>0</v>
      </c>
      <c r="AK107" s="41" t="str">
        <f t="shared" si="42"/>
        <v/>
      </c>
      <c r="AL107" s="41">
        <f t="shared" si="54"/>
        <v>0</v>
      </c>
      <c r="AM107" s="41">
        <f t="shared" si="43"/>
        <v>0</v>
      </c>
      <c r="AN107" s="41" t="str">
        <f t="shared" si="44"/>
        <v/>
      </c>
      <c r="AO107" s="41">
        <f t="shared" si="61"/>
        <v>0</v>
      </c>
      <c r="AP107" s="48"/>
      <c r="AQ107" s="48"/>
      <c r="AR107" s="48"/>
      <c r="AS107" s="48"/>
      <c r="AT107" s="51">
        <f t="shared" si="55"/>
        <v>103</v>
      </c>
      <c r="AU107" s="49" t="str">
        <f t="shared" si="56"/>
        <v/>
      </c>
      <c r="AV107" s="49" t="str">
        <f t="shared" si="57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8.3642060863608994E-2</v>
      </c>
      <c r="C108">
        <f t="shared" si="63"/>
        <v>7.8623537211792452E-2</v>
      </c>
      <c r="D108" s="60"/>
      <c r="E108" s="5"/>
      <c r="F108" s="5"/>
      <c r="I108" s="40"/>
      <c r="J108" s="41"/>
      <c r="K108" s="41" t="str">
        <f t="shared" si="58"/>
        <v/>
      </c>
      <c r="L108" s="42" t="str">
        <f t="shared" si="59"/>
        <v/>
      </c>
      <c r="M108" s="41" t="str">
        <f t="shared" si="60"/>
        <v/>
      </c>
      <c r="N108" s="43">
        <f t="shared" si="32"/>
        <v>0</v>
      </c>
      <c r="O108" s="44">
        <f t="shared" si="33"/>
        <v>0</v>
      </c>
      <c r="P108" s="41" t="str">
        <f t="shared" si="34"/>
        <v/>
      </c>
      <c r="Q108" s="41" t="str">
        <f t="shared" si="35"/>
        <v/>
      </c>
      <c r="R108" s="48"/>
      <c r="S108" s="44" t="str">
        <f t="shared" si="46"/>
        <v/>
      </c>
      <c r="T108" s="52">
        <f t="shared" si="62"/>
        <v>0</v>
      </c>
      <c r="U108" s="53" t="str">
        <f t="shared" si="47"/>
        <v/>
      </c>
      <c r="V108" s="53" t="str">
        <f t="shared" si="48"/>
        <v/>
      </c>
      <c r="W108" s="53" t="str">
        <f t="shared" si="49"/>
        <v/>
      </c>
      <c r="X108" s="46" t="str">
        <f t="shared" si="36"/>
        <v/>
      </c>
      <c r="Y108" s="48"/>
      <c r="Z108" s="41" t="str">
        <f t="shared" si="50"/>
        <v/>
      </c>
      <c r="AA108" s="41" t="str">
        <f t="shared" si="51"/>
        <v/>
      </c>
      <c r="AB108" s="41" t="str">
        <f t="shared" si="37"/>
        <v/>
      </c>
      <c r="AC108" s="41" t="str">
        <f t="shared" si="38"/>
        <v/>
      </c>
      <c r="AD108" s="48"/>
      <c r="AE108" s="41" t="str">
        <f t="shared" si="39"/>
        <v/>
      </c>
      <c r="AF108" s="41"/>
      <c r="AG108" s="41" t="str">
        <f t="shared" si="40"/>
        <v/>
      </c>
      <c r="AH108" s="41" t="str">
        <f t="shared" si="52"/>
        <v/>
      </c>
      <c r="AI108" s="41" t="str">
        <f t="shared" si="53"/>
        <v/>
      </c>
      <c r="AJ108" s="41">
        <f t="shared" si="41"/>
        <v>0</v>
      </c>
      <c r="AK108" s="41" t="str">
        <f t="shared" si="42"/>
        <v/>
      </c>
      <c r="AL108" s="41">
        <f t="shared" si="54"/>
        <v>0</v>
      </c>
      <c r="AM108" s="41">
        <f t="shared" si="43"/>
        <v>0</v>
      </c>
      <c r="AN108" s="41" t="str">
        <f t="shared" si="44"/>
        <v/>
      </c>
      <c r="AO108" s="41">
        <f t="shared" si="61"/>
        <v>0</v>
      </c>
      <c r="AP108" s="48"/>
      <c r="AQ108" s="48"/>
      <c r="AR108" s="48"/>
      <c r="AS108" s="48"/>
      <c r="AT108" s="51">
        <f t="shared" si="55"/>
        <v>104</v>
      </c>
      <c r="AU108" s="49" t="str">
        <f t="shared" si="56"/>
        <v/>
      </c>
      <c r="AV108" s="49" t="str">
        <f t="shared" si="57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9.3789185454894702E-2</v>
      </c>
      <c r="C109">
        <f t="shared" si="63"/>
        <v>8.816183432760101E-2</v>
      </c>
      <c r="D109" s="60"/>
      <c r="E109" s="5"/>
      <c r="F109" s="5"/>
      <c r="I109" s="40"/>
      <c r="J109" s="41"/>
      <c r="K109" s="41" t="str">
        <f t="shared" si="58"/>
        <v/>
      </c>
      <c r="L109" s="42" t="str">
        <f t="shared" si="59"/>
        <v/>
      </c>
      <c r="M109" s="41" t="str">
        <f t="shared" si="60"/>
        <v/>
      </c>
      <c r="N109" s="43">
        <f t="shared" si="32"/>
        <v>0</v>
      </c>
      <c r="O109" s="44">
        <f t="shared" si="33"/>
        <v>0</v>
      </c>
      <c r="P109" s="41" t="str">
        <f t="shared" si="34"/>
        <v/>
      </c>
      <c r="Q109" s="41" t="str">
        <f t="shared" si="35"/>
        <v/>
      </c>
      <c r="R109" s="48"/>
      <c r="S109" s="44" t="str">
        <f t="shared" si="46"/>
        <v/>
      </c>
      <c r="T109" s="52">
        <f t="shared" si="62"/>
        <v>0</v>
      </c>
      <c r="U109" s="53" t="str">
        <f t="shared" si="47"/>
        <v/>
      </c>
      <c r="V109" s="53" t="str">
        <f t="shared" si="48"/>
        <v/>
      </c>
      <c r="W109" s="53" t="str">
        <f t="shared" si="49"/>
        <v/>
      </c>
      <c r="X109" s="46" t="str">
        <f t="shared" si="36"/>
        <v/>
      </c>
      <c r="Y109" s="48"/>
      <c r="Z109" s="41" t="str">
        <f t="shared" si="50"/>
        <v/>
      </c>
      <c r="AA109" s="41" t="str">
        <f t="shared" si="51"/>
        <v/>
      </c>
      <c r="AB109" s="41" t="str">
        <f t="shared" si="37"/>
        <v/>
      </c>
      <c r="AC109" s="41" t="str">
        <f t="shared" si="38"/>
        <v/>
      </c>
      <c r="AD109" s="48"/>
      <c r="AE109" s="41" t="str">
        <f t="shared" si="39"/>
        <v/>
      </c>
      <c r="AF109" s="41"/>
      <c r="AG109" s="41" t="str">
        <f t="shared" si="40"/>
        <v/>
      </c>
      <c r="AH109" s="41" t="str">
        <f t="shared" si="52"/>
        <v/>
      </c>
      <c r="AI109" s="41" t="str">
        <f t="shared" si="53"/>
        <v/>
      </c>
      <c r="AJ109" s="41">
        <f t="shared" si="41"/>
        <v>0</v>
      </c>
      <c r="AK109" s="41" t="str">
        <f t="shared" si="42"/>
        <v/>
      </c>
      <c r="AL109" s="41">
        <f t="shared" si="54"/>
        <v>0</v>
      </c>
      <c r="AM109" s="41">
        <f t="shared" si="43"/>
        <v>0</v>
      </c>
      <c r="AN109" s="41" t="str">
        <f t="shared" si="44"/>
        <v/>
      </c>
      <c r="AO109" s="41">
        <f t="shared" si="61"/>
        <v>0</v>
      </c>
      <c r="AP109" s="48"/>
      <c r="AQ109" s="48"/>
      <c r="AR109" s="48"/>
      <c r="AS109" s="48"/>
      <c r="AT109" s="51">
        <f t="shared" si="55"/>
        <v>105</v>
      </c>
      <c r="AU109" s="49" t="str">
        <f t="shared" si="56"/>
        <v/>
      </c>
      <c r="AV109" s="49" t="str">
        <f t="shared" si="57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0.1047470622921</v>
      </c>
      <c r="C110">
        <f t="shared" si="63"/>
        <v>9.8462238554573991E-2</v>
      </c>
      <c r="D110" s="60"/>
      <c r="E110" s="5"/>
      <c r="F110" s="5"/>
      <c r="I110" s="40"/>
      <c r="J110" s="41"/>
      <c r="K110" s="41" t="str">
        <f t="shared" si="58"/>
        <v/>
      </c>
      <c r="L110" s="42" t="str">
        <f t="shared" si="59"/>
        <v/>
      </c>
      <c r="M110" s="41" t="str">
        <f t="shared" si="60"/>
        <v/>
      </c>
      <c r="N110" s="43">
        <f t="shared" si="32"/>
        <v>0</v>
      </c>
      <c r="O110" s="44">
        <f t="shared" si="33"/>
        <v>0</v>
      </c>
      <c r="P110" s="41" t="str">
        <f t="shared" si="34"/>
        <v/>
      </c>
      <c r="Q110" s="41" t="str">
        <f t="shared" si="35"/>
        <v/>
      </c>
      <c r="R110" s="48"/>
      <c r="S110" s="44" t="str">
        <f t="shared" si="46"/>
        <v/>
      </c>
      <c r="T110" s="52">
        <f t="shared" si="62"/>
        <v>0</v>
      </c>
      <c r="U110" s="53" t="str">
        <f t="shared" si="47"/>
        <v/>
      </c>
      <c r="V110" s="53" t="str">
        <f t="shared" si="48"/>
        <v/>
      </c>
      <c r="W110" s="53" t="str">
        <f t="shared" si="49"/>
        <v/>
      </c>
      <c r="X110" s="46" t="str">
        <f t="shared" si="36"/>
        <v/>
      </c>
      <c r="Y110" s="48"/>
      <c r="Z110" s="41" t="str">
        <f t="shared" si="50"/>
        <v/>
      </c>
      <c r="AA110" s="41" t="str">
        <f t="shared" si="51"/>
        <v/>
      </c>
      <c r="AB110" s="41" t="str">
        <f t="shared" si="37"/>
        <v/>
      </c>
      <c r="AC110" s="41" t="str">
        <f t="shared" si="38"/>
        <v/>
      </c>
      <c r="AD110" s="48"/>
      <c r="AE110" s="41" t="str">
        <f t="shared" si="39"/>
        <v/>
      </c>
      <c r="AF110" s="41"/>
      <c r="AG110" s="41" t="str">
        <f t="shared" si="40"/>
        <v/>
      </c>
      <c r="AH110" s="41" t="str">
        <f t="shared" si="52"/>
        <v/>
      </c>
      <c r="AI110" s="41" t="str">
        <f t="shared" si="53"/>
        <v/>
      </c>
      <c r="AJ110" s="41">
        <f t="shared" si="41"/>
        <v>0</v>
      </c>
      <c r="AK110" s="41" t="str">
        <f t="shared" si="42"/>
        <v/>
      </c>
      <c r="AL110" s="41">
        <f t="shared" si="54"/>
        <v>0</v>
      </c>
      <c r="AM110" s="41">
        <f t="shared" si="43"/>
        <v>0</v>
      </c>
      <c r="AN110" s="41" t="str">
        <f t="shared" si="44"/>
        <v/>
      </c>
      <c r="AO110" s="41">
        <f t="shared" si="61"/>
        <v>0</v>
      </c>
      <c r="AP110" s="48"/>
      <c r="AQ110" s="48"/>
      <c r="AR110" s="48"/>
      <c r="AS110" s="48"/>
      <c r="AT110" s="51">
        <f t="shared" si="55"/>
        <v>106</v>
      </c>
      <c r="AU110" s="49" t="str">
        <f t="shared" si="56"/>
        <v/>
      </c>
      <c r="AV110" s="49" t="str">
        <f t="shared" si="57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0.116192942970816</v>
      </c>
      <c r="C111">
        <f t="shared" si="63"/>
        <v>0.10922136639256703</v>
      </c>
      <c r="D111" s="60"/>
      <c r="E111" s="5"/>
      <c r="F111" s="5"/>
      <c r="I111" s="40"/>
      <c r="J111" s="41"/>
      <c r="K111" s="41" t="str">
        <f t="shared" si="58"/>
        <v/>
      </c>
      <c r="L111" s="42" t="str">
        <f t="shared" si="59"/>
        <v/>
      </c>
      <c r="M111" s="41" t="str">
        <f t="shared" si="60"/>
        <v/>
      </c>
      <c r="N111" s="43">
        <f t="shared" si="32"/>
        <v>0</v>
      </c>
      <c r="O111" s="44">
        <f t="shared" si="33"/>
        <v>0</v>
      </c>
      <c r="P111" s="41" t="str">
        <f t="shared" si="34"/>
        <v/>
      </c>
      <c r="Q111" s="41" t="str">
        <f t="shared" si="35"/>
        <v/>
      </c>
      <c r="R111" s="48"/>
      <c r="S111" s="44" t="str">
        <f t="shared" si="46"/>
        <v/>
      </c>
      <c r="T111" s="52">
        <f t="shared" si="62"/>
        <v>0</v>
      </c>
      <c r="U111" s="53" t="str">
        <f t="shared" si="47"/>
        <v/>
      </c>
      <c r="V111" s="53" t="str">
        <f t="shared" si="48"/>
        <v/>
      </c>
      <c r="W111" s="53" t="str">
        <f t="shared" si="49"/>
        <v/>
      </c>
      <c r="X111" s="46" t="str">
        <f t="shared" si="36"/>
        <v/>
      </c>
      <c r="Y111" s="48"/>
      <c r="Z111" s="41" t="str">
        <f t="shared" si="50"/>
        <v/>
      </c>
      <c r="AA111" s="41" t="str">
        <f t="shared" si="51"/>
        <v/>
      </c>
      <c r="AB111" s="41" t="str">
        <f t="shared" si="37"/>
        <v/>
      </c>
      <c r="AC111" s="41" t="str">
        <f t="shared" si="38"/>
        <v/>
      </c>
      <c r="AD111" s="48"/>
      <c r="AE111" s="41" t="str">
        <f t="shared" si="39"/>
        <v/>
      </c>
      <c r="AF111" s="41"/>
      <c r="AG111" s="41" t="str">
        <f t="shared" si="40"/>
        <v/>
      </c>
      <c r="AH111" s="41" t="str">
        <f t="shared" si="52"/>
        <v/>
      </c>
      <c r="AI111" s="41" t="str">
        <f t="shared" si="53"/>
        <v/>
      </c>
      <c r="AJ111" s="41">
        <f t="shared" si="41"/>
        <v>0</v>
      </c>
      <c r="AK111" s="41" t="str">
        <f t="shared" si="42"/>
        <v/>
      </c>
      <c r="AL111" s="41">
        <f t="shared" si="54"/>
        <v>0</v>
      </c>
      <c r="AM111" s="41">
        <f t="shared" si="43"/>
        <v>0</v>
      </c>
      <c r="AN111" s="41" t="str">
        <f t="shared" si="44"/>
        <v/>
      </c>
      <c r="AO111" s="41">
        <f t="shared" si="61"/>
        <v>0</v>
      </c>
      <c r="AP111" s="48"/>
      <c r="AQ111" s="48"/>
      <c r="AR111" s="48"/>
      <c r="AS111" s="48"/>
      <c r="AT111" s="51">
        <f t="shared" si="55"/>
        <v>107</v>
      </c>
      <c r="AU111" s="49" t="str">
        <f t="shared" si="56"/>
        <v/>
      </c>
      <c r="AV111" s="49" t="str">
        <f t="shared" si="57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0.12868109548958601</v>
      </c>
      <c r="C112">
        <f t="shared" si="63"/>
        <v>0.12096022976021084</v>
      </c>
      <c r="D112" s="60"/>
      <c r="E112" s="5"/>
      <c r="F112" s="5"/>
      <c r="I112" s="40"/>
      <c r="J112" s="41"/>
      <c r="K112" s="41" t="str">
        <f t="shared" si="58"/>
        <v/>
      </c>
      <c r="L112" s="42" t="str">
        <f t="shared" si="59"/>
        <v/>
      </c>
      <c r="M112" s="41" t="str">
        <f t="shared" si="60"/>
        <v/>
      </c>
      <c r="N112" s="43">
        <f t="shared" si="32"/>
        <v>0</v>
      </c>
      <c r="O112" s="44">
        <f t="shared" si="33"/>
        <v>0</v>
      </c>
      <c r="P112" s="41" t="str">
        <f t="shared" si="34"/>
        <v/>
      </c>
      <c r="Q112" s="41" t="str">
        <f t="shared" si="35"/>
        <v/>
      </c>
      <c r="R112" s="48"/>
      <c r="S112" s="44" t="str">
        <f t="shared" si="46"/>
        <v/>
      </c>
      <c r="T112" s="52">
        <f t="shared" si="62"/>
        <v>0</v>
      </c>
      <c r="U112" s="53" t="str">
        <f t="shared" si="47"/>
        <v/>
      </c>
      <c r="V112" s="53" t="str">
        <f t="shared" si="48"/>
        <v/>
      </c>
      <c r="W112" s="53" t="str">
        <f t="shared" si="49"/>
        <v/>
      </c>
      <c r="X112" s="46" t="str">
        <f t="shared" si="36"/>
        <v/>
      </c>
      <c r="Y112" s="48"/>
      <c r="Z112" s="41" t="str">
        <f t="shared" si="50"/>
        <v/>
      </c>
      <c r="AA112" s="41" t="str">
        <f t="shared" si="51"/>
        <v/>
      </c>
      <c r="AB112" s="41" t="str">
        <f t="shared" si="37"/>
        <v/>
      </c>
      <c r="AC112" s="41" t="str">
        <f t="shared" si="38"/>
        <v/>
      </c>
      <c r="AD112" s="48"/>
      <c r="AE112" s="41" t="str">
        <f t="shared" si="39"/>
        <v/>
      </c>
      <c r="AF112" s="41"/>
      <c r="AG112" s="41" t="str">
        <f t="shared" si="40"/>
        <v/>
      </c>
      <c r="AH112" s="41" t="str">
        <f t="shared" si="52"/>
        <v/>
      </c>
      <c r="AI112" s="41" t="str">
        <f t="shared" si="53"/>
        <v/>
      </c>
      <c r="AJ112" s="41">
        <f t="shared" si="41"/>
        <v>0</v>
      </c>
      <c r="AK112" s="41" t="str">
        <f t="shared" si="42"/>
        <v/>
      </c>
      <c r="AL112" s="41">
        <f t="shared" si="54"/>
        <v>0</v>
      </c>
      <c r="AM112" s="41">
        <f t="shared" si="43"/>
        <v>0</v>
      </c>
      <c r="AN112" s="41" t="str">
        <f t="shared" si="44"/>
        <v/>
      </c>
      <c r="AO112" s="41">
        <f t="shared" si="61"/>
        <v>0</v>
      </c>
      <c r="AP112" s="48"/>
      <c r="AQ112" s="48"/>
      <c r="AR112" s="48"/>
      <c r="AS112" s="48"/>
      <c r="AT112" s="51">
        <f t="shared" si="55"/>
        <v>108</v>
      </c>
      <c r="AU112" s="49" t="str">
        <f t="shared" si="56"/>
        <v/>
      </c>
      <c r="AV112" s="49" t="str">
        <f t="shared" si="57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0.14216579369065799</v>
      </c>
      <c r="C113">
        <f t="shared" si="63"/>
        <v>0.13363584606921849</v>
      </c>
      <c r="D113" s="60"/>
      <c r="E113" s="5"/>
      <c r="F113" s="5"/>
      <c r="I113" s="40"/>
      <c r="J113" s="41"/>
      <c r="K113" s="41" t="str">
        <f t="shared" si="58"/>
        <v/>
      </c>
      <c r="L113" s="42" t="str">
        <f t="shared" si="59"/>
        <v/>
      </c>
      <c r="M113" s="41" t="str">
        <f t="shared" si="60"/>
        <v/>
      </c>
      <c r="N113" s="43">
        <f t="shared" si="32"/>
        <v>0</v>
      </c>
      <c r="O113" s="44">
        <f t="shared" si="33"/>
        <v>0</v>
      </c>
      <c r="P113" s="41" t="str">
        <f t="shared" si="34"/>
        <v/>
      </c>
      <c r="Q113" s="41" t="str">
        <f t="shared" si="35"/>
        <v/>
      </c>
      <c r="R113" s="48"/>
      <c r="S113" s="44" t="str">
        <f t="shared" si="46"/>
        <v/>
      </c>
      <c r="T113" s="52">
        <f t="shared" si="62"/>
        <v>0</v>
      </c>
      <c r="U113" s="53" t="str">
        <f t="shared" si="47"/>
        <v/>
      </c>
      <c r="V113" s="53" t="str">
        <f t="shared" si="48"/>
        <v/>
      </c>
      <c r="W113" s="53" t="str">
        <f t="shared" si="49"/>
        <v/>
      </c>
      <c r="X113" s="46" t="str">
        <f t="shared" si="36"/>
        <v/>
      </c>
      <c r="Y113" s="48"/>
      <c r="Z113" s="41" t="str">
        <f t="shared" si="50"/>
        <v/>
      </c>
      <c r="AA113" s="41" t="str">
        <f t="shared" si="51"/>
        <v/>
      </c>
      <c r="AB113" s="41" t="str">
        <f t="shared" si="37"/>
        <v/>
      </c>
      <c r="AC113" s="41" t="str">
        <f t="shared" si="38"/>
        <v/>
      </c>
      <c r="AD113" s="48"/>
      <c r="AE113" s="41" t="str">
        <f t="shared" si="39"/>
        <v/>
      </c>
      <c r="AF113" s="41"/>
      <c r="AG113" s="41" t="str">
        <f t="shared" si="40"/>
        <v/>
      </c>
      <c r="AH113" s="41" t="str">
        <f t="shared" si="52"/>
        <v/>
      </c>
      <c r="AI113" s="41" t="str">
        <f t="shared" si="53"/>
        <v/>
      </c>
      <c r="AJ113" s="41">
        <f t="shared" si="41"/>
        <v>0</v>
      </c>
      <c r="AK113" s="41" t="str">
        <f t="shared" si="42"/>
        <v/>
      </c>
      <c r="AL113" s="41">
        <f t="shared" si="54"/>
        <v>0</v>
      </c>
      <c r="AM113" s="41">
        <f t="shared" si="43"/>
        <v>0</v>
      </c>
      <c r="AN113" s="41" t="str">
        <f t="shared" si="44"/>
        <v/>
      </c>
      <c r="AO113" s="41">
        <f t="shared" si="61"/>
        <v>0</v>
      </c>
      <c r="AP113" s="48"/>
      <c r="AQ113" s="48"/>
      <c r="AR113" s="48"/>
      <c r="AS113" s="48"/>
      <c r="AT113" s="51">
        <f t="shared" si="55"/>
        <v>109</v>
      </c>
      <c r="AU113" s="49" t="str">
        <f t="shared" si="56"/>
        <v/>
      </c>
      <c r="AV113" s="49" t="str">
        <f t="shared" si="57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0.15701637341390101</v>
      </c>
      <c r="C114">
        <f t="shared" si="63"/>
        <v>0.14759539100906693</v>
      </c>
      <c r="D114" s="60"/>
      <c r="E114" s="5"/>
      <c r="F114" s="5"/>
      <c r="I114" s="40"/>
      <c r="J114" s="41"/>
      <c r="K114" s="41" t="str">
        <f t="shared" si="58"/>
        <v/>
      </c>
      <c r="L114" s="42" t="str">
        <f t="shared" si="59"/>
        <v/>
      </c>
      <c r="M114" s="41" t="str">
        <f t="shared" si="60"/>
        <v/>
      </c>
      <c r="N114" s="43">
        <f t="shared" si="32"/>
        <v>0</v>
      </c>
      <c r="O114" s="44">
        <f t="shared" si="33"/>
        <v>0</v>
      </c>
      <c r="P114" s="41" t="str">
        <f t="shared" si="34"/>
        <v/>
      </c>
      <c r="Q114" s="41" t="str">
        <f t="shared" si="35"/>
        <v/>
      </c>
      <c r="R114" s="48"/>
      <c r="S114" s="44" t="str">
        <f t="shared" si="46"/>
        <v/>
      </c>
      <c r="T114" s="52">
        <f t="shared" si="62"/>
        <v>0</v>
      </c>
      <c r="U114" s="53" t="str">
        <f t="shared" si="47"/>
        <v/>
      </c>
      <c r="V114" s="53" t="str">
        <f t="shared" si="48"/>
        <v/>
      </c>
      <c r="W114" s="53" t="str">
        <f t="shared" si="49"/>
        <v/>
      </c>
      <c r="X114" s="46" t="str">
        <f t="shared" si="36"/>
        <v/>
      </c>
      <c r="Y114" s="48"/>
      <c r="Z114" s="41" t="str">
        <f t="shared" si="50"/>
        <v/>
      </c>
      <c r="AA114" s="41" t="str">
        <f t="shared" si="51"/>
        <v/>
      </c>
      <c r="AB114" s="41" t="str">
        <f t="shared" si="37"/>
        <v/>
      </c>
      <c r="AC114" s="41" t="str">
        <f t="shared" si="38"/>
        <v/>
      </c>
      <c r="AD114" s="48"/>
      <c r="AE114" s="41" t="str">
        <f t="shared" si="39"/>
        <v/>
      </c>
      <c r="AF114" s="41"/>
      <c r="AG114" s="41" t="str">
        <f t="shared" si="40"/>
        <v/>
      </c>
      <c r="AH114" s="41" t="str">
        <f t="shared" si="52"/>
        <v/>
      </c>
      <c r="AI114" s="41" t="str">
        <f t="shared" si="53"/>
        <v/>
      </c>
      <c r="AJ114" s="41">
        <f t="shared" si="41"/>
        <v>0</v>
      </c>
      <c r="AK114" s="41" t="str">
        <f t="shared" si="42"/>
        <v/>
      </c>
      <c r="AL114" s="41">
        <f t="shared" si="54"/>
        <v>0</v>
      </c>
      <c r="AM114" s="41">
        <f t="shared" si="43"/>
        <v>0</v>
      </c>
      <c r="AN114" s="41" t="str">
        <f t="shared" si="44"/>
        <v/>
      </c>
      <c r="AO114" s="41">
        <f t="shared" si="61"/>
        <v>0</v>
      </c>
      <c r="AP114" s="48"/>
      <c r="AQ114" s="48"/>
      <c r="AR114" s="48"/>
      <c r="AS114" s="48"/>
      <c r="AT114" s="51">
        <f t="shared" si="55"/>
        <v>110</v>
      </c>
      <c r="AU114" s="49" t="str">
        <f t="shared" si="56"/>
        <v/>
      </c>
      <c r="AV114" s="49" t="str">
        <f t="shared" si="57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0.17342897341473201</v>
      </c>
      <c r="C115">
        <f t="shared" si="63"/>
        <v>0.16302323500984808</v>
      </c>
      <c r="D115" s="60"/>
      <c r="E115" s="5"/>
      <c r="F115" s="5"/>
      <c r="I115" s="40"/>
      <c r="J115" s="41"/>
      <c r="K115" s="41" t="str">
        <f t="shared" si="58"/>
        <v/>
      </c>
      <c r="L115" s="42" t="str">
        <f t="shared" si="59"/>
        <v/>
      </c>
      <c r="M115" s="41" t="str">
        <f t="shared" si="60"/>
        <v/>
      </c>
      <c r="N115" s="43">
        <f t="shared" si="32"/>
        <v>0</v>
      </c>
      <c r="O115" s="44">
        <f t="shared" si="33"/>
        <v>0</v>
      </c>
      <c r="P115" s="41" t="str">
        <f t="shared" si="34"/>
        <v/>
      </c>
      <c r="Q115" s="41" t="str">
        <f t="shared" si="35"/>
        <v/>
      </c>
      <c r="R115" s="48"/>
      <c r="S115" s="44" t="str">
        <f t="shared" si="46"/>
        <v/>
      </c>
      <c r="T115" s="52">
        <f t="shared" si="62"/>
        <v>0</v>
      </c>
      <c r="U115" s="53" t="str">
        <f t="shared" si="47"/>
        <v/>
      </c>
      <c r="V115" s="53" t="str">
        <f t="shared" si="48"/>
        <v/>
      </c>
      <c r="W115" s="53" t="str">
        <f t="shared" si="49"/>
        <v/>
      </c>
      <c r="X115" s="46" t="str">
        <f t="shared" si="36"/>
        <v/>
      </c>
      <c r="Y115" s="48"/>
      <c r="Z115" s="41" t="str">
        <f t="shared" si="50"/>
        <v/>
      </c>
      <c r="AA115" s="41" t="str">
        <f t="shared" si="51"/>
        <v/>
      </c>
      <c r="AB115" s="41" t="str">
        <f t="shared" si="37"/>
        <v/>
      </c>
      <c r="AC115" s="41" t="str">
        <f t="shared" si="38"/>
        <v/>
      </c>
      <c r="AD115" s="48"/>
      <c r="AE115" s="41" t="str">
        <f t="shared" si="39"/>
        <v/>
      </c>
      <c r="AF115" s="41"/>
      <c r="AG115" s="41" t="str">
        <f t="shared" si="40"/>
        <v/>
      </c>
      <c r="AH115" s="41" t="str">
        <f t="shared" si="52"/>
        <v/>
      </c>
      <c r="AI115" s="41" t="str">
        <f t="shared" si="53"/>
        <v/>
      </c>
      <c r="AJ115" s="41">
        <f t="shared" si="41"/>
        <v>0</v>
      </c>
      <c r="AK115" s="41" t="str">
        <f t="shared" si="42"/>
        <v/>
      </c>
      <c r="AL115" s="41">
        <f t="shared" si="54"/>
        <v>0</v>
      </c>
      <c r="AM115" s="41">
        <f t="shared" si="43"/>
        <v>0</v>
      </c>
      <c r="AN115" s="41" t="str">
        <f t="shared" si="44"/>
        <v/>
      </c>
      <c r="AO115" s="41">
        <f t="shared" si="61"/>
        <v>0</v>
      </c>
      <c r="AP115" s="48"/>
      <c r="AQ115" s="48"/>
      <c r="AR115" s="48"/>
      <c r="AS115" s="48"/>
      <c r="AT115" s="51">
        <f t="shared" si="55"/>
        <v>111</v>
      </c>
      <c r="AU115" s="49" t="str">
        <f t="shared" si="56"/>
        <v/>
      </c>
      <c r="AV115" s="49" t="str">
        <f t="shared" si="57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0.18972037160358901</v>
      </c>
      <c r="C116">
        <f t="shared" si="63"/>
        <v>0.17833714930737365</v>
      </c>
      <c r="D116" s="60"/>
      <c r="E116" s="5"/>
      <c r="F116" s="5"/>
      <c r="I116" s="40"/>
      <c r="J116" s="41"/>
      <c r="K116" s="41" t="str">
        <f t="shared" si="58"/>
        <v/>
      </c>
      <c r="L116" s="42" t="str">
        <f t="shared" si="59"/>
        <v/>
      </c>
      <c r="M116" s="41" t="str">
        <f t="shared" si="60"/>
        <v/>
      </c>
      <c r="N116" s="43">
        <f t="shared" si="32"/>
        <v>0</v>
      </c>
      <c r="O116" s="44">
        <f t="shared" si="33"/>
        <v>0</v>
      </c>
      <c r="P116" s="41" t="str">
        <f t="shared" si="34"/>
        <v/>
      </c>
      <c r="Q116" s="41" t="str">
        <f t="shared" si="35"/>
        <v/>
      </c>
      <c r="R116" s="48"/>
      <c r="S116" s="44" t="str">
        <f t="shared" si="46"/>
        <v/>
      </c>
      <c r="T116" s="52">
        <f t="shared" si="62"/>
        <v>0</v>
      </c>
      <c r="U116" s="53" t="str">
        <f t="shared" si="47"/>
        <v/>
      </c>
      <c r="V116" s="53" t="str">
        <f t="shared" si="48"/>
        <v/>
      </c>
      <c r="W116" s="53" t="str">
        <f t="shared" si="49"/>
        <v/>
      </c>
      <c r="X116" s="46" t="str">
        <f t="shared" si="36"/>
        <v/>
      </c>
      <c r="Y116" s="48"/>
      <c r="Z116" s="41" t="str">
        <f t="shared" si="50"/>
        <v/>
      </c>
      <c r="AA116" s="41" t="str">
        <f t="shared" si="51"/>
        <v/>
      </c>
      <c r="AB116" s="41" t="str">
        <f t="shared" si="37"/>
        <v/>
      </c>
      <c r="AC116" s="41" t="str">
        <f t="shared" si="38"/>
        <v/>
      </c>
      <c r="AD116" s="48"/>
      <c r="AE116" s="41" t="str">
        <f t="shared" si="39"/>
        <v/>
      </c>
      <c r="AF116" s="41"/>
      <c r="AG116" s="41" t="str">
        <f t="shared" si="40"/>
        <v/>
      </c>
      <c r="AH116" s="41" t="str">
        <f t="shared" si="52"/>
        <v/>
      </c>
      <c r="AI116" s="41" t="str">
        <f t="shared" si="53"/>
        <v/>
      </c>
      <c r="AJ116" s="41">
        <f t="shared" si="41"/>
        <v>0</v>
      </c>
      <c r="AK116" s="41" t="str">
        <f t="shared" si="42"/>
        <v/>
      </c>
      <c r="AL116" s="41">
        <f t="shared" si="54"/>
        <v>0</v>
      </c>
      <c r="AM116" s="41">
        <f t="shared" si="43"/>
        <v>0</v>
      </c>
      <c r="AN116" s="41" t="str">
        <f t="shared" si="44"/>
        <v/>
      </c>
      <c r="AO116" s="41">
        <f t="shared" si="61"/>
        <v>0</v>
      </c>
      <c r="AP116" s="48"/>
      <c r="AQ116" s="48"/>
      <c r="AR116" s="48"/>
      <c r="AS116" s="48"/>
      <c r="AT116" s="51">
        <f t="shared" si="55"/>
        <v>112</v>
      </c>
      <c r="AU116" s="49" t="str">
        <f t="shared" si="56"/>
        <v/>
      </c>
      <c r="AV116" s="49" t="str">
        <f t="shared" si="57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0.20730295683049599</v>
      </c>
      <c r="C117">
        <f t="shared" si="63"/>
        <v>0.19486477942066621</v>
      </c>
      <c r="D117" s="60"/>
      <c r="E117" s="5"/>
      <c r="F117" s="5"/>
      <c r="I117" s="40"/>
      <c r="J117" s="41"/>
      <c r="K117" s="41" t="str">
        <f t="shared" si="58"/>
        <v/>
      </c>
      <c r="L117" s="42" t="str">
        <f t="shared" si="59"/>
        <v/>
      </c>
      <c r="M117" s="41" t="str">
        <f t="shared" si="60"/>
        <v/>
      </c>
      <c r="N117" s="43">
        <f t="shared" si="32"/>
        <v>0</v>
      </c>
      <c r="O117" s="44">
        <f t="shared" si="33"/>
        <v>0</v>
      </c>
      <c r="P117" s="41" t="str">
        <f t="shared" si="34"/>
        <v/>
      </c>
      <c r="Q117" s="41" t="str">
        <f t="shared" si="35"/>
        <v/>
      </c>
      <c r="R117" s="48"/>
      <c r="S117" s="44" t="str">
        <f t="shared" si="46"/>
        <v/>
      </c>
      <c r="T117" s="52">
        <f t="shared" si="62"/>
        <v>0</v>
      </c>
      <c r="U117" s="53" t="str">
        <f t="shared" si="47"/>
        <v/>
      </c>
      <c r="V117" s="53" t="str">
        <f t="shared" si="48"/>
        <v/>
      </c>
      <c r="W117" s="53" t="str">
        <f t="shared" si="49"/>
        <v/>
      </c>
      <c r="X117" s="46" t="str">
        <f t="shared" si="36"/>
        <v/>
      </c>
      <c r="Y117" s="48"/>
      <c r="Z117" s="41" t="str">
        <f t="shared" si="50"/>
        <v/>
      </c>
      <c r="AA117" s="41" t="str">
        <f t="shared" si="51"/>
        <v/>
      </c>
      <c r="AB117" s="41" t="str">
        <f t="shared" si="37"/>
        <v/>
      </c>
      <c r="AC117" s="41" t="str">
        <f t="shared" si="38"/>
        <v/>
      </c>
      <c r="AD117" s="48"/>
      <c r="AE117" s="41" t="str">
        <f t="shared" si="39"/>
        <v/>
      </c>
      <c r="AF117" s="41"/>
      <c r="AG117" s="41" t="str">
        <f t="shared" si="40"/>
        <v/>
      </c>
      <c r="AH117" s="41" t="str">
        <f t="shared" si="52"/>
        <v/>
      </c>
      <c r="AI117" s="41" t="str">
        <f t="shared" si="53"/>
        <v/>
      </c>
      <c r="AJ117" s="41">
        <f t="shared" si="41"/>
        <v>0</v>
      </c>
      <c r="AK117" s="41" t="str">
        <f t="shared" si="42"/>
        <v/>
      </c>
      <c r="AL117" s="41">
        <f t="shared" si="54"/>
        <v>0</v>
      </c>
      <c r="AM117" s="41">
        <f t="shared" si="43"/>
        <v>0</v>
      </c>
      <c r="AN117" s="41" t="str">
        <f t="shared" si="44"/>
        <v/>
      </c>
      <c r="AO117" s="41">
        <f t="shared" si="61"/>
        <v>0</v>
      </c>
      <c r="AP117" s="48"/>
      <c r="AQ117" s="48"/>
      <c r="AR117" s="48"/>
      <c r="AS117" s="48"/>
      <c r="AT117" s="51">
        <f t="shared" si="55"/>
        <v>113</v>
      </c>
      <c r="AU117" s="49" t="str">
        <f t="shared" si="56"/>
        <v/>
      </c>
      <c r="AV117" s="49" t="str">
        <f t="shared" si="57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0.22571377293009801</v>
      </c>
      <c r="C118">
        <f t="shared" si="63"/>
        <v>0.21217094655429211</v>
      </c>
      <c r="D118" s="60"/>
      <c r="E118" s="5"/>
      <c r="F118" s="5"/>
      <c r="I118" s="40"/>
      <c r="J118" s="41"/>
      <c r="K118" s="41" t="str">
        <f t="shared" si="58"/>
        <v/>
      </c>
      <c r="L118" s="42" t="str">
        <f t="shared" si="59"/>
        <v/>
      </c>
      <c r="M118" s="41" t="str">
        <f t="shared" si="60"/>
        <v/>
      </c>
      <c r="N118" s="43">
        <f t="shared" si="32"/>
        <v>0</v>
      </c>
      <c r="O118" s="44">
        <f t="shared" si="33"/>
        <v>0</v>
      </c>
      <c r="P118" s="41" t="str">
        <f t="shared" si="34"/>
        <v/>
      </c>
      <c r="Q118" s="41" t="str">
        <f t="shared" si="35"/>
        <v/>
      </c>
      <c r="R118" s="48"/>
      <c r="S118" s="44" t="str">
        <f t="shared" si="46"/>
        <v/>
      </c>
      <c r="T118" s="52">
        <f t="shared" si="62"/>
        <v>0</v>
      </c>
      <c r="U118" s="53" t="str">
        <f t="shared" si="47"/>
        <v/>
      </c>
      <c r="V118" s="53" t="str">
        <f t="shared" si="48"/>
        <v/>
      </c>
      <c r="W118" s="53" t="str">
        <f t="shared" si="49"/>
        <v/>
      </c>
      <c r="X118" s="46" t="str">
        <f t="shared" si="36"/>
        <v/>
      </c>
      <c r="Y118" s="48"/>
      <c r="Z118" s="41" t="str">
        <f t="shared" si="50"/>
        <v/>
      </c>
      <c r="AA118" s="41" t="str">
        <f t="shared" si="51"/>
        <v/>
      </c>
      <c r="AB118" s="41" t="str">
        <f t="shared" si="37"/>
        <v/>
      </c>
      <c r="AC118" s="41" t="str">
        <f t="shared" si="38"/>
        <v/>
      </c>
      <c r="AD118" s="48"/>
      <c r="AE118" s="41" t="str">
        <f t="shared" si="39"/>
        <v/>
      </c>
      <c r="AF118" s="41"/>
      <c r="AG118" s="41" t="str">
        <f t="shared" si="40"/>
        <v/>
      </c>
      <c r="AH118" s="41" t="str">
        <f t="shared" si="52"/>
        <v/>
      </c>
      <c r="AI118" s="41" t="str">
        <f t="shared" si="53"/>
        <v/>
      </c>
      <c r="AJ118" s="41">
        <f t="shared" si="41"/>
        <v>0</v>
      </c>
      <c r="AK118" s="41" t="str">
        <f t="shared" si="42"/>
        <v/>
      </c>
      <c r="AL118" s="41">
        <f t="shared" si="54"/>
        <v>0</v>
      </c>
      <c r="AM118" s="41">
        <f t="shared" si="43"/>
        <v>0</v>
      </c>
      <c r="AN118" s="41" t="str">
        <f t="shared" si="44"/>
        <v/>
      </c>
      <c r="AO118" s="41">
        <f t="shared" si="61"/>
        <v>0</v>
      </c>
      <c r="AP118" s="48"/>
      <c r="AQ118" s="48"/>
      <c r="AR118" s="48"/>
      <c r="AS118" s="48"/>
      <c r="AT118" s="51">
        <f t="shared" si="55"/>
        <v>114</v>
      </c>
      <c r="AU118" s="49" t="str">
        <f t="shared" si="56"/>
        <v/>
      </c>
      <c r="AV118" s="49" t="str">
        <f t="shared" si="57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0.24472147326673499</v>
      </c>
      <c r="C119">
        <f t="shared" si="63"/>
        <v>0.23003818487073088</v>
      </c>
      <c r="D119" s="60"/>
      <c r="E119" s="5"/>
      <c r="F119" s="5"/>
      <c r="I119" s="40"/>
      <c r="J119" s="41"/>
      <c r="K119" s="41" t="str">
        <f t="shared" si="58"/>
        <v/>
      </c>
      <c r="L119" s="42" t="str">
        <f t="shared" si="59"/>
        <v/>
      </c>
      <c r="M119" s="41" t="str">
        <f t="shared" si="60"/>
        <v/>
      </c>
      <c r="N119" s="43">
        <f t="shared" si="32"/>
        <v>0</v>
      </c>
      <c r="O119" s="44">
        <f t="shared" si="33"/>
        <v>0</v>
      </c>
      <c r="P119" s="41" t="str">
        <f t="shared" si="34"/>
        <v/>
      </c>
      <c r="Q119" s="41" t="str">
        <f t="shared" si="35"/>
        <v/>
      </c>
      <c r="R119" s="48"/>
      <c r="S119" s="44" t="str">
        <f t="shared" si="46"/>
        <v/>
      </c>
      <c r="T119" s="52">
        <f t="shared" si="62"/>
        <v>0</v>
      </c>
      <c r="U119" s="53" t="str">
        <f t="shared" si="47"/>
        <v/>
      </c>
      <c r="V119" s="53" t="str">
        <f t="shared" si="48"/>
        <v/>
      </c>
      <c r="W119" s="53" t="str">
        <f t="shared" si="49"/>
        <v/>
      </c>
      <c r="X119" s="46" t="str">
        <f t="shared" si="36"/>
        <v/>
      </c>
      <c r="Y119" s="48"/>
      <c r="Z119" s="41" t="str">
        <f t="shared" si="50"/>
        <v/>
      </c>
      <c r="AA119" s="41" t="str">
        <f t="shared" si="51"/>
        <v/>
      </c>
      <c r="AB119" s="41" t="str">
        <f t="shared" si="37"/>
        <v/>
      </c>
      <c r="AC119" s="41" t="str">
        <f t="shared" si="38"/>
        <v/>
      </c>
      <c r="AD119" s="48"/>
      <c r="AE119" s="41" t="str">
        <f t="shared" si="39"/>
        <v/>
      </c>
      <c r="AF119" s="41"/>
      <c r="AG119" s="41" t="str">
        <f t="shared" si="40"/>
        <v/>
      </c>
      <c r="AH119" s="41" t="str">
        <f t="shared" si="52"/>
        <v/>
      </c>
      <c r="AI119" s="41" t="str">
        <f t="shared" si="53"/>
        <v/>
      </c>
      <c r="AJ119" s="41">
        <f t="shared" si="41"/>
        <v>0</v>
      </c>
      <c r="AK119" s="41" t="str">
        <f t="shared" si="42"/>
        <v/>
      </c>
      <c r="AL119" s="41">
        <f t="shared" si="54"/>
        <v>0</v>
      </c>
      <c r="AM119" s="41">
        <f t="shared" si="43"/>
        <v>0</v>
      </c>
      <c r="AN119" s="41" t="str">
        <f t="shared" si="44"/>
        <v/>
      </c>
      <c r="AO119" s="41">
        <f t="shared" si="61"/>
        <v>0</v>
      </c>
      <c r="AP119" s="48"/>
      <c r="AQ119" s="48"/>
      <c r="AR119" s="48"/>
      <c r="AS119" s="48"/>
      <c r="AT119" s="51">
        <f t="shared" si="55"/>
        <v>115</v>
      </c>
      <c r="AU119" s="49" t="str">
        <f t="shared" si="56"/>
        <v/>
      </c>
      <c r="AV119" s="49" t="str">
        <f t="shared" si="57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0.26509857081599097</v>
      </c>
      <c r="C120">
        <f t="shared" si="63"/>
        <v>0.24919265656703149</v>
      </c>
      <c r="D120" s="60"/>
      <c r="E120" s="5"/>
      <c r="F120" s="5"/>
      <c r="I120" s="40"/>
      <c r="J120" s="41"/>
      <c r="K120" s="41" t="str">
        <f t="shared" si="58"/>
        <v/>
      </c>
      <c r="L120" s="42" t="str">
        <f t="shared" si="59"/>
        <v/>
      </c>
      <c r="M120" s="41" t="str">
        <f t="shared" si="60"/>
        <v/>
      </c>
      <c r="N120" s="43">
        <f t="shared" si="32"/>
        <v>0</v>
      </c>
      <c r="O120" s="44">
        <f t="shared" si="33"/>
        <v>0</v>
      </c>
      <c r="P120" s="41" t="str">
        <f t="shared" si="34"/>
        <v/>
      </c>
      <c r="Q120" s="41" t="str">
        <f t="shared" si="35"/>
        <v/>
      </c>
      <c r="R120" s="48"/>
      <c r="S120" s="44" t="str">
        <f t="shared" si="46"/>
        <v/>
      </c>
      <c r="T120" s="52">
        <f t="shared" si="62"/>
        <v>0</v>
      </c>
      <c r="U120" s="53" t="str">
        <f t="shared" si="47"/>
        <v/>
      </c>
      <c r="V120" s="53" t="str">
        <f t="shared" si="48"/>
        <v/>
      </c>
      <c r="W120" s="53" t="str">
        <f t="shared" si="49"/>
        <v/>
      </c>
      <c r="X120" s="46" t="str">
        <f t="shared" si="36"/>
        <v/>
      </c>
      <c r="Y120" s="48"/>
      <c r="Z120" s="41" t="str">
        <f t="shared" si="50"/>
        <v/>
      </c>
      <c r="AA120" s="41" t="str">
        <f t="shared" si="51"/>
        <v/>
      </c>
      <c r="AB120" s="41" t="str">
        <f t="shared" si="37"/>
        <v/>
      </c>
      <c r="AC120" s="41" t="str">
        <f t="shared" si="38"/>
        <v/>
      </c>
      <c r="AD120" s="48"/>
      <c r="AE120" s="41" t="str">
        <f t="shared" si="39"/>
        <v/>
      </c>
      <c r="AF120" s="41"/>
      <c r="AG120" s="41" t="str">
        <f t="shared" si="40"/>
        <v/>
      </c>
      <c r="AH120" s="41" t="str">
        <f t="shared" si="52"/>
        <v/>
      </c>
      <c r="AI120" s="41" t="str">
        <f t="shared" si="53"/>
        <v/>
      </c>
      <c r="AJ120" s="41">
        <f t="shared" si="41"/>
        <v>0</v>
      </c>
      <c r="AK120" s="41" t="str">
        <f t="shared" si="42"/>
        <v/>
      </c>
      <c r="AL120" s="41">
        <f t="shared" si="54"/>
        <v>0</v>
      </c>
      <c r="AM120" s="41">
        <f t="shared" si="43"/>
        <v>0</v>
      </c>
      <c r="AN120" s="41" t="str">
        <f t="shared" si="44"/>
        <v/>
      </c>
      <c r="AO120" s="41">
        <f t="shared" si="61"/>
        <v>0</v>
      </c>
      <c r="AP120" s="48"/>
      <c r="AQ120" s="48"/>
      <c r="AR120" s="48"/>
      <c r="AS120" s="48"/>
      <c r="AT120" s="51">
        <f t="shared" si="55"/>
        <v>116</v>
      </c>
      <c r="AU120" s="49" t="str">
        <f t="shared" si="56"/>
        <v/>
      </c>
      <c r="AV120" s="49" t="str">
        <f t="shared" si="57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0.28603793605129602</v>
      </c>
      <c r="C121">
        <f t="shared" si="63"/>
        <v>0.26887565988821827</v>
      </c>
      <c r="D121" s="60"/>
      <c r="E121" s="5"/>
      <c r="F121" s="5"/>
      <c r="I121" s="40"/>
      <c r="J121" s="41"/>
      <c r="K121" s="41" t="str">
        <f t="shared" si="58"/>
        <v/>
      </c>
      <c r="L121" s="42" t="str">
        <f t="shared" si="59"/>
        <v/>
      </c>
      <c r="M121" s="41" t="str">
        <f t="shared" si="60"/>
        <v/>
      </c>
      <c r="N121" s="43">
        <f t="shared" si="32"/>
        <v>0</v>
      </c>
      <c r="O121" s="44">
        <f t="shared" si="33"/>
        <v>0</v>
      </c>
      <c r="P121" s="41" t="str">
        <f t="shared" si="34"/>
        <v/>
      </c>
      <c r="Q121" s="41" t="str">
        <f t="shared" si="35"/>
        <v/>
      </c>
      <c r="R121" s="48"/>
      <c r="S121" s="44" t="str">
        <f t="shared" si="46"/>
        <v/>
      </c>
      <c r="T121" s="52">
        <f t="shared" si="62"/>
        <v>0</v>
      </c>
      <c r="U121" s="53" t="str">
        <f t="shared" si="47"/>
        <v/>
      </c>
      <c r="V121" s="53" t="str">
        <f t="shared" si="48"/>
        <v/>
      </c>
      <c r="W121" s="53" t="str">
        <f t="shared" si="49"/>
        <v/>
      </c>
      <c r="X121" s="46" t="str">
        <f t="shared" si="36"/>
        <v/>
      </c>
      <c r="Y121" s="48"/>
      <c r="Z121" s="41" t="str">
        <f t="shared" si="50"/>
        <v/>
      </c>
      <c r="AA121" s="41" t="str">
        <f t="shared" si="51"/>
        <v/>
      </c>
      <c r="AB121" s="41" t="str">
        <f t="shared" si="37"/>
        <v/>
      </c>
      <c r="AC121" s="41" t="str">
        <f t="shared" si="38"/>
        <v/>
      </c>
      <c r="AD121" s="48"/>
      <c r="AE121" s="41" t="str">
        <f t="shared" si="39"/>
        <v/>
      </c>
      <c r="AF121" s="41"/>
      <c r="AG121" s="41" t="str">
        <f t="shared" si="40"/>
        <v/>
      </c>
      <c r="AH121" s="41" t="str">
        <f t="shared" si="52"/>
        <v/>
      </c>
      <c r="AI121" s="41" t="str">
        <f t="shared" si="53"/>
        <v/>
      </c>
      <c r="AJ121" s="41">
        <f t="shared" si="41"/>
        <v>0</v>
      </c>
      <c r="AK121" s="41" t="str">
        <f t="shared" si="42"/>
        <v/>
      </c>
      <c r="AL121" s="41">
        <f t="shared" si="54"/>
        <v>0</v>
      </c>
      <c r="AM121" s="41">
        <f t="shared" si="43"/>
        <v>0</v>
      </c>
      <c r="AN121" s="41" t="str">
        <f t="shared" si="44"/>
        <v/>
      </c>
      <c r="AO121" s="41">
        <f t="shared" si="61"/>
        <v>0</v>
      </c>
      <c r="AP121" s="48"/>
      <c r="AQ121" s="48"/>
      <c r="AR121" s="48"/>
      <c r="AS121" s="48"/>
      <c r="AT121" s="51">
        <f t="shared" si="55"/>
        <v>117</v>
      </c>
      <c r="AU121" s="49" t="str">
        <f t="shared" si="56"/>
        <v/>
      </c>
      <c r="AV121" s="49" t="str">
        <f t="shared" si="57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0.30819372900110398</v>
      </c>
      <c r="C122">
        <f t="shared" si="63"/>
        <v>0.28970210526103773</v>
      </c>
      <c r="D122" s="60"/>
      <c r="E122" s="5"/>
      <c r="F122" s="5"/>
      <c r="I122" s="40"/>
      <c r="J122" s="41"/>
      <c r="K122" s="41" t="str">
        <f t="shared" si="58"/>
        <v/>
      </c>
      <c r="L122" s="42" t="str">
        <f t="shared" si="59"/>
        <v/>
      </c>
      <c r="M122" s="41" t="str">
        <f t="shared" si="60"/>
        <v/>
      </c>
      <c r="N122" s="43">
        <f t="shared" si="32"/>
        <v>0</v>
      </c>
      <c r="O122" s="44">
        <f t="shared" si="33"/>
        <v>0</v>
      </c>
      <c r="P122" s="41" t="str">
        <f t="shared" si="34"/>
        <v/>
      </c>
      <c r="Q122" s="41" t="str">
        <f t="shared" si="35"/>
        <v/>
      </c>
      <c r="R122" s="48"/>
      <c r="S122" s="44" t="str">
        <f t="shared" si="46"/>
        <v/>
      </c>
      <c r="T122" s="52">
        <f t="shared" si="62"/>
        <v>0</v>
      </c>
      <c r="U122" s="53" t="str">
        <f t="shared" si="47"/>
        <v/>
      </c>
      <c r="V122" s="53" t="str">
        <f t="shared" si="48"/>
        <v/>
      </c>
      <c r="W122" s="53" t="str">
        <f t="shared" si="49"/>
        <v/>
      </c>
      <c r="X122" s="46" t="str">
        <f t="shared" si="36"/>
        <v/>
      </c>
      <c r="Y122" s="48"/>
      <c r="Z122" s="41" t="str">
        <f t="shared" si="50"/>
        <v/>
      </c>
      <c r="AA122" s="41" t="str">
        <f t="shared" si="51"/>
        <v/>
      </c>
      <c r="AB122" s="41" t="str">
        <f t="shared" si="37"/>
        <v/>
      </c>
      <c r="AC122" s="41" t="str">
        <f t="shared" si="38"/>
        <v/>
      </c>
      <c r="AD122" s="48"/>
      <c r="AE122" s="41" t="str">
        <f t="shared" si="39"/>
        <v/>
      </c>
      <c r="AF122" s="41"/>
      <c r="AG122" s="41" t="str">
        <f t="shared" si="40"/>
        <v/>
      </c>
      <c r="AH122" s="41" t="str">
        <f t="shared" si="52"/>
        <v/>
      </c>
      <c r="AI122" s="41" t="str">
        <f t="shared" si="53"/>
        <v/>
      </c>
      <c r="AJ122" s="41">
        <f t="shared" si="41"/>
        <v>0</v>
      </c>
      <c r="AK122" s="41" t="str">
        <f t="shared" si="42"/>
        <v/>
      </c>
      <c r="AL122" s="41">
        <f t="shared" si="54"/>
        <v>0</v>
      </c>
      <c r="AM122" s="41">
        <f t="shared" si="43"/>
        <v>0</v>
      </c>
      <c r="AN122" s="41" t="str">
        <f t="shared" si="44"/>
        <v/>
      </c>
      <c r="AO122" s="41">
        <f t="shared" si="61"/>
        <v>0</v>
      </c>
      <c r="AP122" s="48"/>
      <c r="AQ122" s="48"/>
      <c r="AR122" s="48"/>
      <c r="AS122" s="48"/>
      <c r="AT122" s="51">
        <f t="shared" si="55"/>
        <v>118</v>
      </c>
      <c r="AU122" s="49" t="str">
        <f t="shared" si="56"/>
        <v/>
      </c>
      <c r="AV122" s="49" t="str">
        <f t="shared" si="57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0.33162400251922403</v>
      </c>
      <c r="C123">
        <f t="shared" si="63"/>
        <v>0.31172656236807056</v>
      </c>
      <c r="D123" s="60"/>
      <c r="E123" s="5"/>
      <c r="F123" s="5"/>
      <c r="I123" s="40"/>
      <c r="J123" s="41"/>
      <c r="K123" s="41" t="str">
        <f t="shared" si="58"/>
        <v/>
      </c>
      <c r="L123" s="42" t="str">
        <f t="shared" si="59"/>
        <v/>
      </c>
      <c r="M123" s="41" t="str">
        <f t="shared" si="60"/>
        <v/>
      </c>
      <c r="N123" s="43">
        <f t="shared" si="32"/>
        <v>0</v>
      </c>
      <c r="O123" s="44">
        <f t="shared" si="33"/>
        <v>0</v>
      </c>
      <c r="P123" s="41" t="str">
        <f t="shared" si="34"/>
        <v/>
      </c>
      <c r="Q123" s="41" t="str">
        <f t="shared" si="35"/>
        <v/>
      </c>
      <c r="R123" s="48"/>
      <c r="S123" s="44" t="str">
        <f t="shared" si="46"/>
        <v/>
      </c>
      <c r="T123" s="52">
        <f t="shared" si="62"/>
        <v>0</v>
      </c>
      <c r="U123" s="53" t="str">
        <f t="shared" si="47"/>
        <v/>
      </c>
      <c r="V123" s="53" t="str">
        <f t="shared" si="48"/>
        <v/>
      </c>
      <c r="W123" s="53" t="str">
        <f t="shared" si="49"/>
        <v/>
      </c>
      <c r="X123" s="46" t="str">
        <f t="shared" si="36"/>
        <v/>
      </c>
      <c r="Y123" s="48"/>
      <c r="Z123" s="41" t="str">
        <f t="shared" si="50"/>
        <v/>
      </c>
      <c r="AA123" s="41" t="str">
        <f t="shared" si="51"/>
        <v/>
      </c>
      <c r="AB123" s="41" t="str">
        <f t="shared" si="37"/>
        <v/>
      </c>
      <c r="AC123" s="41" t="str">
        <f t="shared" si="38"/>
        <v/>
      </c>
      <c r="AD123" s="48"/>
      <c r="AE123" s="41" t="str">
        <f t="shared" si="39"/>
        <v/>
      </c>
      <c r="AF123" s="41"/>
      <c r="AG123" s="41" t="str">
        <f t="shared" si="40"/>
        <v/>
      </c>
      <c r="AH123" s="41" t="str">
        <f t="shared" si="52"/>
        <v/>
      </c>
      <c r="AI123" s="41" t="str">
        <f t="shared" si="53"/>
        <v/>
      </c>
      <c r="AJ123" s="41">
        <f t="shared" si="41"/>
        <v>0</v>
      </c>
      <c r="AK123" s="41" t="str">
        <f t="shared" si="42"/>
        <v/>
      </c>
      <c r="AL123" s="41">
        <f t="shared" si="54"/>
        <v>0</v>
      </c>
      <c r="AM123" s="41">
        <f t="shared" si="43"/>
        <v>0</v>
      </c>
      <c r="AN123" s="41" t="str">
        <f t="shared" si="44"/>
        <v/>
      </c>
      <c r="AO123" s="41">
        <f t="shared" si="61"/>
        <v>0</v>
      </c>
      <c r="AP123" s="48"/>
      <c r="AQ123" s="48"/>
      <c r="AR123" s="48"/>
      <c r="AS123" s="48"/>
      <c r="AT123" s="51">
        <f t="shared" si="55"/>
        <v>119</v>
      </c>
      <c r="AU123" s="49" t="str">
        <f t="shared" si="56"/>
        <v/>
      </c>
      <c r="AV123" s="49" t="str">
        <f t="shared" si="57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0.35546079031989197</v>
      </c>
      <c r="C124">
        <f t="shared" si="63"/>
        <v>0.33413314290069845</v>
      </c>
      <c r="D124" s="60"/>
      <c r="E124" s="5"/>
      <c r="F124" s="5"/>
      <c r="I124" s="40"/>
      <c r="J124" s="41"/>
      <c r="K124" s="41" t="str">
        <f t="shared" si="58"/>
        <v/>
      </c>
      <c r="L124" s="42" t="str">
        <f t="shared" si="59"/>
        <v/>
      </c>
      <c r="M124" s="41" t="str">
        <f t="shared" si="60"/>
        <v/>
      </c>
      <c r="N124" s="43">
        <f>AX124</f>
        <v>0</v>
      </c>
      <c r="O124" s="44">
        <f>AW124</f>
        <v>0</v>
      </c>
      <c r="P124" s="41" t="str">
        <f t="shared" si="34"/>
        <v/>
      </c>
      <c r="Q124" s="41" t="str">
        <f t="shared" si="35"/>
        <v/>
      </c>
      <c r="R124" s="48"/>
      <c r="S124" s="44" t="str">
        <f t="shared" si="46"/>
        <v/>
      </c>
      <c r="T124" s="52">
        <f t="shared" si="62"/>
        <v>0</v>
      </c>
      <c r="U124" s="53" t="str">
        <f t="shared" si="47"/>
        <v/>
      </c>
      <c r="V124" s="53" t="str">
        <f t="shared" si="48"/>
        <v/>
      </c>
      <c r="W124" s="53" t="str">
        <f t="shared" si="49"/>
        <v/>
      </c>
      <c r="X124" s="46" t="str">
        <f t="shared" si="36"/>
        <v/>
      </c>
      <c r="Y124" s="48"/>
      <c r="Z124" s="41" t="str">
        <f t="shared" si="50"/>
        <v/>
      </c>
      <c r="AA124" s="41" t="str">
        <f t="shared" si="51"/>
        <v/>
      </c>
      <c r="AB124" s="41" t="str">
        <f t="shared" si="37"/>
        <v/>
      </c>
      <c r="AC124" s="41" t="str">
        <f t="shared" si="38"/>
        <v/>
      </c>
      <c r="AD124" s="48"/>
      <c r="AE124" s="41" t="str">
        <f t="shared" si="39"/>
        <v/>
      </c>
      <c r="AF124" s="41"/>
      <c r="AG124" s="41" t="str">
        <f t="shared" si="40"/>
        <v/>
      </c>
      <c r="AH124" s="41" t="str">
        <f t="shared" si="52"/>
        <v/>
      </c>
      <c r="AI124" s="41" t="str">
        <f t="shared" si="53"/>
        <v/>
      </c>
      <c r="AJ124" s="41">
        <f t="shared" si="41"/>
        <v>0</v>
      </c>
      <c r="AK124" s="41" t="str">
        <f t="shared" si="42"/>
        <v/>
      </c>
      <c r="AL124" s="41">
        <f t="shared" si="54"/>
        <v>0</v>
      </c>
      <c r="AM124" s="41">
        <f t="shared" si="43"/>
        <v>0</v>
      </c>
      <c r="AN124" s="41" t="str">
        <f t="shared" si="44"/>
        <v/>
      </c>
      <c r="AO124" s="41">
        <f t="shared" si="61"/>
        <v>0</v>
      </c>
      <c r="AP124" s="48"/>
      <c r="AQ124" s="48"/>
      <c r="AR124" s="48"/>
      <c r="AS124" s="48"/>
      <c r="AT124" s="51">
        <f t="shared" si="55"/>
        <v>120</v>
      </c>
      <c r="AU124" s="49" t="str">
        <f t="shared" si="56"/>
        <v/>
      </c>
      <c r="AV124" s="49" t="str">
        <f t="shared" si="57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0.380342251724549</v>
      </c>
      <c r="C125">
        <f t="shared" si="63"/>
        <v>0.35752171662107601</v>
      </c>
      <c r="D125" s="60"/>
      <c r="E125" s="5"/>
      <c r="F125" s="5"/>
    </row>
    <row r="126" spans="1:50" x14ac:dyDescent="0.2">
      <c r="A126">
        <v>101</v>
      </c>
      <c r="B126">
        <v>0.405359071736903</v>
      </c>
      <c r="C126">
        <f t="shared" si="63"/>
        <v>0.38103752743268882</v>
      </c>
      <c r="D126" s="60"/>
      <c r="E126" s="5"/>
      <c r="F126" s="5"/>
      <c r="K126" s="11"/>
    </row>
    <row r="127" spans="1:50" x14ac:dyDescent="0.2">
      <c r="A127">
        <v>102</v>
      </c>
      <c r="B127">
        <v>0.42993508092885402</v>
      </c>
      <c r="C127">
        <f t="shared" si="63"/>
        <v>0.40413897607312277</v>
      </c>
      <c r="D127" s="60"/>
      <c r="E127" s="5"/>
      <c r="F127" s="5"/>
      <c r="S127" s="58"/>
    </row>
    <row r="128" spans="1:50" x14ac:dyDescent="0.2">
      <c r="A128">
        <v>103</v>
      </c>
      <c r="B128">
        <v>0.45506359986018002</v>
      </c>
      <c r="C128">
        <f t="shared" si="63"/>
        <v>0.42775978386856922</v>
      </c>
      <c r="D128" s="60"/>
      <c r="E128" s="5"/>
      <c r="F128" s="5"/>
    </row>
    <row r="129" spans="1:41" ht="15" x14ac:dyDescent="0.25">
      <c r="A129">
        <v>104</v>
      </c>
      <c r="B129">
        <v>0.480594654044533</v>
      </c>
      <c r="C129">
        <f t="shared" si="63"/>
        <v>0.451758974801861</v>
      </c>
      <c r="D129" s="60"/>
      <c r="E129" s="5"/>
      <c r="F129" s="5"/>
      <c r="AD129" s="56" t="s">
        <v>56</v>
      </c>
      <c r="AE129" s="57">
        <f t="shared" ref="AE129:AO129" si="64">SUM(AE4:AE124)</f>
        <v>1589070.2693368909</v>
      </c>
      <c r="AF129" s="57">
        <f t="shared" si="64"/>
        <v>-476721.08080106723</v>
      </c>
      <c r="AG129" s="57">
        <f t="shared" si="64"/>
        <v>-16532.054461661424</v>
      </c>
      <c r="AH129" s="57">
        <f t="shared" si="64"/>
        <v>-1999999.9999999991</v>
      </c>
      <c r="AI129" s="57">
        <f t="shared" si="64"/>
        <v>0</v>
      </c>
      <c r="AJ129" s="57">
        <f t="shared" si="64"/>
        <v>-904182.86592583708</v>
      </c>
      <c r="AK129" s="57">
        <f t="shared" si="64"/>
        <v>-1.1069704181077E-16</v>
      </c>
      <c r="AL129" s="57">
        <f t="shared" si="64"/>
        <v>600000.39878926286</v>
      </c>
      <c r="AM129" s="57">
        <f t="shared" si="64"/>
        <v>-304182.46713657433</v>
      </c>
      <c r="AN129" s="57">
        <f t="shared" si="64"/>
        <v>1.2611685309906091E-17</v>
      </c>
      <c r="AO129" s="57">
        <f t="shared" si="64"/>
        <v>-304182.46713657444</v>
      </c>
    </row>
    <row r="130" spans="1:41" ht="15" x14ac:dyDescent="0.25">
      <c r="A130">
        <v>105</v>
      </c>
      <c r="B130">
        <v>0.50636083902879803</v>
      </c>
      <c r="C130">
        <f t="shared" si="63"/>
        <v>0.47597918868707012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0.53219546165142395</v>
      </c>
      <c r="C131">
        <f t="shared" si="63"/>
        <v>0.50026373395233847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O131" si="65">AE4+NPV($D$6,AE5:AE124)</f>
        <v>1589070.2693368909</v>
      </c>
      <c r="AF131" s="57">
        <f t="shared" si="65"/>
        <v>-476721.08080106723</v>
      </c>
      <c r="AG131" s="57">
        <f t="shared" si="65"/>
        <v>-16375.148656162008</v>
      </c>
      <c r="AH131" s="57">
        <f t="shared" si="65"/>
        <v>-974532.44138173561</v>
      </c>
      <c r="AI131" s="57">
        <f t="shared" si="65"/>
        <v>0</v>
      </c>
      <c r="AJ131" s="57">
        <f t="shared" si="65"/>
        <v>121441.59849792614</v>
      </c>
      <c r="AK131" s="57">
        <f t="shared" si="65"/>
        <v>-323770.4297152285</v>
      </c>
      <c r="AL131" s="57">
        <f t="shared" si="65"/>
        <v>334025.10530141066</v>
      </c>
      <c r="AM131" s="57">
        <f>AM4+NPV($D$6,AM5:AM124)</f>
        <v>131696.27408410888</v>
      </c>
      <c r="AN131" s="57">
        <f t="shared" si="65"/>
        <v>-10254.67558618264</v>
      </c>
      <c r="AO131" s="57">
        <f t="shared" si="65"/>
        <v>121441.59849792591</v>
      </c>
    </row>
    <row r="132" spans="1:41" ht="15" x14ac:dyDescent="0.25">
      <c r="A132">
        <v>107</v>
      </c>
      <c r="B132">
        <v>0.558121751434143</v>
      </c>
      <c r="C132">
        <f t="shared" si="63"/>
        <v>0.52463444634809442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0.58418516579619395</v>
      </c>
      <c r="C133">
        <f t="shared" si="63"/>
        <v>0.54913405584842223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 t="shared" ref="AE133:AO133" si="66">AE4+NPV($D$7,AE5:AE124)</f>
        <v>1589070.2693368909</v>
      </c>
      <c r="AF133" s="57">
        <f t="shared" si="66"/>
        <v>-476721.08080106723</v>
      </c>
      <c r="AG133" s="57">
        <f t="shared" si="66"/>
        <v>-16405.494604080828</v>
      </c>
      <c r="AH133" s="57">
        <f t="shared" si="66"/>
        <v>-1152184.2174574204</v>
      </c>
      <c r="AI133" s="57">
        <f t="shared" si="66"/>
        <v>0</v>
      </c>
      <c r="AJ133" s="57">
        <f t="shared" si="66"/>
        <v>-56240.52352567832</v>
      </c>
      <c r="AK133" s="57">
        <f t="shared" si="66"/>
        <v>-278617.24735185143</v>
      </c>
      <c r="AL133" s="57">
        <f t="shared" si="66"/>
        <v>382793.8735697025</v>
      </c>
      <c r="AM133" s="57">
        <f t="shared" si="66"/>
        <v>47936.102692173095</v>
      </c>
      <c r="AN133" s="57">
        <f t="shared" si="66"/>
        <v>-8478.1578254257856</v>
      </c>
      <c r="AO133" s="57">
        <f t="shared" si="66"/>
        <v>39457.944866747013</v>
      </c>
    </row>
    <row r="134" spans="1:41" x14ac:dyDescent="0.2">
      <c r="A134">
        <v>109</v>
      </c>
      <c r="B134">
        <v>0.61023240836316694</v>
      </c>
      <c r="C134">
        <f t="shared" si="63"/>
        <v>0.57361846386137694</v>
      </c>
      <c r="D134" s="60"/>
      <c r="E134" s="5"/>
      <c r="F134" s="5"/>
    </row>
    <row r="135" spans="1:41" x14ac:dyDescent="0.2">
      <c r="A135">
        <v>110</v>
      </c>
      <c r="B135">
        <v>0.63611115252690298</v>
      </c>
      <c r="C135">
        <f t="shared" si="63"/>
        <v>0.59794448337528872</v>
      </c>
      <c r="D135" s="60"/>
      <c r="E135" s="5"/>
      <c r="F135" s="5"/>
    </row>
    <row r="136" spans="1:41" x14ac:dyDescent="0.2">
      <c r="A136">
        <v>111</v>
      </c>
      <c r="B136">
        <v>0.66608306981177301</v>
      </c>
      <c r="C136">
        <f t="shared" si="63"/>
        <v>0.62611808562306659</v>
      </c>
      <c r="D136" s="60"/>
      <c r="E136" s="5"/>
      <c r="F136" s="5"/>
    </row>
    <row r="137" spans="1:41" x14ac:dyDescent="0.2">
      <c r="A137">
        <v>112</v>
      </c>
      <c r="B137">
        <v>0.69580846534695495</v>
      </c>
      <c r="C137">
        <f t="shared" si="63"/>
        <v>0.65405995742613765</v>
      </c>
      <c r="D137" s="60"/>
      <c r="E137" s="5"/>
      <c r="F137" s="5"/>
    </row>
    <row r="138" spans="1:41" x14ac:dyDescent="0.2">
      <c r="A138">
        <v>113</v>
      </c>
      <c r="B138">
        <v>0.72524457178055901</v>
      </c>
      <c r="C138">
        <f t="shared" si="63"/>
        <v>0.68172989747372548</v>
      </c>
      <c r="D138" s="60"/>
      <c r="E138" s="5"/>
      <c r="F138" s="5"/>
    </row>
    <row r="139" spans="1:41" x14ac:dyDescent="0.2">
      <c r="A139">
        <v>114</v>
      </c>
      <c r="B139">
        <v>0.75434836973550201</v>
      </c>
      <c r="C139">
        <f t="shared" si="63"/>
        <v>0.70908746755137186</v>
      </c>
      <c r="D139" s="60"/>
      <c r="E139" s="5"/>
      <c r="F139" s="5"/>
    </row>
    <row r="140" spans="1:41" x14ac:dyDescent="0.2">
      <c r="A140">
        <v>115</v>
      </c>
      <c r="B140">
        <v>0.78307559127387405</v>
      </c>
      <c r="C140">
        <f t="shared" si="63"/>
        <v>0.73609105579744161</v>
      </c>
      <c r="D140" s="60"/>
      <c r="E140" s="5"/>
      <c r="F140" s="5"/>
    </row>
    <row r="141" spans="1:41" x14ac:dyDescent="0.2">
      <c r="A141">
        <v>116</v>
      </c>
      <c r="B141">
        <v>0.81153809466804805</v>
      </c>
      <c r="C141">
        <f t="shared" si="63"/>
        <v>0.76284580898796517</v>
      </c>
      <c r="D141" s="60"/>
      <c r="E141" s="5"/>
      <c r="F141" s="5"/>
    </row>
    <row r="142" spans="1:41" x14ac:dyDescent="0.2">
      <c r="A142">
        <v>117</v>
      </c>
      <c r="B142">
        <v>0.83986596545345304</v>
      </c>
      <c r="C142">
        <f t="shared" si="63"/>
        <v>0.78947400752624586</v>
      </c>
      <c r="D142" s="60"/>
      <c r="E142" s="5"/>
      <c r="F142" s="5"/>
    </row>
    <row r="143" spans="1:41" x14ac:dyDescent="0.2">
      <c r="A143">
        <v>118</v>
      </c>
      <c r="B143">
        <v>0.86803679724566796</v>
      </c>
      <c r="C143">
        <f t="shared" si="63"/>
        <v>0.8159545894109278</v>
      </c>
      <c r="D143" s="60"/>
      <c r="E143" s="5"/>
      <c r="F143" s="5"/>
    </row>
    <row r="144" spans="1:41" x14ac:dyDescent="0.2">
      <c r="A144">
        <v>119</v>
      </c>
      <c r="B144">
        <v>0.89601895806329601</v>
      </c>
      <c r="C144">
        <f t="shared" si="63"/>
        <v>0.84225782057949816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E068D-EE36-4DDF-ABDB-848516900603}">
  <sheetPr codeName="Sheet12"/>
  <dimension ref="A1:BB145"/>
  <sheetViews>
    <sheetView workbookViewId="0">
      <pane ySplit="3" topLeftCell="A24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4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AU$5+NPV($AT1,AU$6:AU$79)</f>
        <v>9.3550289383560479</v>
      </c>
      <c r="AV1" s="35">
        <f>NPV($AT1,AV$5:AV$79)</f>
        <v>0.64019119467861296</v>
      </c>
      <c r="AW1" s="34">
        <f>0.85*AV1*1000/AU1</f>
        <v>58.167913649708737</v>
      </c>
    </row>
    <row r="2" spans="1:54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AU$5+NPV($AT2,AU$6:AU$79)</f>
        <v>8.3715697756888314</v>
      </c>
      <c r="AV2" s="35">
        <f>NPV($AT2,AV$5:AV$79)</f>
        <v>0.52613755986666955</v>
      </c>
      <c r="AW2" s="34">
        <f>1.05*AV2*1000/(AU2-1)</f>
        <v>74.942577316699172</v>
      </c>
    </row>
    <row r="3" spans="1:54" ht="38.25" x14ac:dyDescent="0.2">
      <c r="G3" t="s">
        <v>16</v>
      </c>
      <c r="H3" s="31">
        <v>2179524.7762407036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4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59">_xlfn.SEQUENCE(MAX(A26:A145)-D4+1,1,0,1)</f>
        <v>0</v>
      </c>
      <c r="J4" s="41">
        <f>$H$3</f>
        <v>2179524.7762407036</v>
      </c>
      <c r="K4" s="41">
        <f>J4*C16</f>
        <v>653857.43287221109</v>
      </c>
      <c r="L4" s="42">
        <f>C20 +F18*J4</f>
        <v>109176.23881203518</v>
      </c>
      <c r="M4" s="41">
        <f t="shared" ref="M4:M5" si="0">$E$11</f>
        <v>2000000</v>
      </c>
      <c r="N4" s="43">
        <f>AX4</f>
        <v>0</v>
      </c>
      <c r="O4" s="44">
        <f>AW4</f>
        <v>96.028999999999996</v>
      </c>
      <c r="P4" s="41">
        <f>IF(I4&lt;&gt;"", M4*N4/1000, "")</f>
        <v>0</v>
      </c>
      <c r="Q4" s="41">
        <f>IF(I4&lt;&gt;"", M4*O4/1000, "")</f>
        <v>192058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192058</v>
      </c>
      <c r="AC4" s="41">
        <f>IF(I4&lt;&gt;"", $H$14*M4*X4, "")</f>
        <v>20000</v>
      </c>
      <c r="AD4" s="47"/>
      <c r="AE4" s="41">
        <f>IF(I4&lt;&gt;"", $X4*J4, "")</f>
        <v>2179524.7762407036</v>
      </c>
      <c r="AF4" s="41">
        <f>IF(I4&lt;&gt;"", -$X4*K4, "")</f>
        <v>-653857.43287221109</v>
      </c>
      <c r="AG4" s="41">
        <f>IF(I4&lt;&gt;"", -$X4*L4, "")</f>
        <v>-109176.23881203518</v>
      </c>
      <c r="AH4" s="41"/>
      <c r="AI4" s="41"/>
      <c r="AJ4" s="41">
        <f>SUM(AE4:AI4)</f>
        <v>1416491.1045564574</v>
      </c>
      <c r="AK4" s="41">
        <f>IF(I4&lt;&gt;"", Z4-AB4, "")</f>
        <v>-192058</v>
      </c>
      <c r="AL4" s="41"/>
      <c r="AM4" s="41">
        <f>SUM(AJ4:AL4)</f>
        <v>1224433.1045564574</v>
      </c>
      <c r="AN4" s="41">
        <f>IF(I4&lt;&gt;"", AA4-AC4, "")</f>
        <v>-20000</v>
      </c>
      <c r="AO4" s="41">
        <f>SUM(AM4:AN4)</f>
        <v>1204433.1045564574</v>
      </c>
      <c r="AP4" s="45"/>
      <c r="AQ4" s="41">
        <f>AM133</f>
        <v>65385.74685136159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96.028999999999996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4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133.20099999999999</v>
      </c>
      <c r="P5" s="41">
        <f t="shared" ref="P5:P68" si="3">IF(I5&lt;&gt;"", M5*N5/1000, "")</f>
        <v>0</v>
      </c>
      <c r="Q5" s="41">
        <f t="shared" ref="Q5:Q68" si="4">IF(I5&lt;&gt;"", M5*O5/1000, "")</f>
        <v>266402</v>
      </c>
      <c r="R5" s="44"/>
      <c r="S5" s="44">
        <f>IF(I5&lt;&gt;"",_xlfn.XLOOKUP($D$4+I5,$A$26:$A$145,$B$26:$B$145,0) * 1000,"")</f>
        <v>31.337788240226804</v>
      </c>
      <c r="T5" s="52">
        <f>C10</f>
        <v>0</v>
      </c>
      <c r="U5" s="53">
        <f>IF(I5&lt;&gt;"", X4, "")</f>
        <v>1</v>
      </c>
      <c r="V5" s="53">
        <f>IF(I5&lt;&gt;"", S5*U5/1000, "")</f>
        <v>3.1337788240226802E-2</v>
      </c>
      <c r="W5" s="53">
        <f>IF(I5&lt;&gt;"", MIN(T5*U5,U5-V5), "")</f>
        <v>0</v>
      </c>
      <c r="X5" s="46">
        <f t="shared" ref="X5:X68" si="5">IF(I5&lt;&gt;"", U5-SUM(V5:W5), "")</f>
        <v>0.96866221175977318</v>
      </c>
      <c r="Y5" s="54"/>
      <c r="Z5" s="41">
        <f>IF(I5&lt;&gt;"",AB4,"")</f>
        <v>192058</v>
      </c>
      <c r="AA5" s="41">
        <f>IF(I5&lt;&gt;"", AC4, "")</f>
        <v>20000</v>
      </c>
      <c r="AB5" s="41">
        <f t="shared" ref="AB5:AB68" si="6">IF(I5&lt;&gt;"", Q5*X5, "" )</f>
        <v>258053.5505372271</v>
      </c>
      <c r="AC5" s="41">
        <f t="shared" ref="AC5:AC68" si="7">IF(I5&lt;&gt;"", $H$14*M5*X5, "")</f>
        <v>19373.244235195463</v>
      </c>
      <c r="AD5" s="54"/>
      <c r="AE5" s="41">
        <f t="shared" ref="AE5:AE68" si="8">IF(I5&lt;&gt;"", $X5*J5, "")</f>
        <v>0</v>
      </c>
      <c r="AF5" s="41"/>
      <c r="AG5" s="41">
        <f t="shared" ref="AG5:AG68" si="9">IF(I5&lt;&gt;"", -$X5*L5, "")</f>
        <v>0</v>
      </c>
      <c r="AH5" s="41">
        <f>IF(I5&lt;&gt;"",-M5*V5,"")</f>
        <v>-62675.576480453601</v>
      </c>
      <c r="AI5" s="41">
        <f>IF(I5 &lt;&gt; "", -P5*W5, "")</f>
        <v>0</v>
      </c>
      <c r="AJ5" s="41">
        <f>SUM(AE5:AI5)</f>
        <v>-62675.576480453601</v>
      </c>
      <c r="AK5" s="41">
        <f t="shared" ref="AK5:AK68" si="10">IF(I5&lt;&gt;"", Z5-AB5, "")</f>
        <v>-65995.5505372271</v>
      </c>
      <c r="AL5" s="41">
        <f>$D$6*SUM(Z5:AA5,AE5:AF5)</f>
        <v>8482.32</v>
      </c>
      <c r="AM5" s="41">
        <f>SUM(AJ5:AL5)</f>
        <v>-120188.80701768069</v>
      </c>
      <c r="AN5" s="41">
        <f t="shared" ref="AN5:AN68" si="11">IF(I5&lt;&gt;"", AA5-AC5, "")</f>
        <v>626.75576480453674</v>
      </c>
      <c r="AO5" s="41">
        <f>SUM(AM5:AN5)</f>
        <v>-119562.05125287616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3.1337788240226802E-2</v>
      </c>
      <c r="AW5" s="50">
        <f xml:space="preserve"> IF(ISERROR(ROUND((1000*NPV($AT$1,$AV6:$AV$124)-$AW$1*($AU6+NPV($AT$1,$AU7:$AU$124)))/AU6,3)), 0, ROUND((1000*NPV($AT$1,$AV6:$AV$124)-$AW$1*($AU6+NPV($AT$1,$AU7:$AU$124)))/AU6,3))</f>
        <v>133.20099999999999</v>
      </c>
      <c r="AX5" s="50">
        <f>IF(ISERROR(ROUND(MAX(0,1000*NPV($AT$2,$AV6:$AV$124)-$AW$2*($AU6+NPV($AT$2,$AU7:$AU$124)))/AU6,3)), 0, ROUND(MAX(0,1000*NPV($AT$2,$AV6:$AV$124)-$AW$2*($AU6+NPV($AT$2,$AU7:$AU$124)))/AU6,3))</f>
        <v>0</v>
      </c>
      <c r="AY5" s="75" t="s">
        <v>79</v>
      </c>
      <c r="AZ5" s="11">
        <f>AM133</f>
        <v>65385.74685136159</v>
      </c>
    </row>
    <row r="6" spans="1:54" ht="15" x14ac:dyDescent="0.25">
      <c r="A6" s="12" t="s">
        <v>14</v>
      </c>
      <c r="B6" s="12"/>
      <c r="C6" s="12"/>
      <c r="D6" s="16">
        <v>0.04</v>
      </c>
      <c r="E6" s="64">
        <f>NPV(D7,L6:L124)</f>
        <v>664.4415117241108</v>
      </c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170.57599999999999</v>
      </c>
      <c r="P6" s="41">
        <f t="shared" si="3"/>
        <v>0</v>
      </c>
      <c r="Q6" s="41">
        <f t="shared" si="4"/>
        <v>341152</v>
      </c>
      <c r="R6" s="44"/>
      <c r="S6" s="44">
        <f t="shared" ref="S6:S69" si="12">IF(I6&lt;&gt;"",_xlfn.XLOOKUP($D$4+I6,$A$26:$A$145,$B$26:$B$145,0) * 1000,"")</f>
        <v>34.2978499937443</v>
      </c>
      <c r="T6" s="52">
        <f>$C$11</f>
        <v>0</v>
      </c>
      <c r="U6" s="53">
        <f t="shared" ref="U6:U69" si="13">IF(I6&lt;&gt;"", X5, "")</f>
        <v>0.96866221175977318</v>
      </c>
      <c r="V6" s="53">
        <f t="shared" ref="V6:V69" si="14">IF(I6&lt;&gt;"", S6*U6/1000, "")</f>
        <v>3.322303123354528E-2</v>
      </c>
      <c r="W6" s="53">
        <f t="shared" ref="W6:W69" si="15">IF(I6&lt;&gt;"", MIN(T6*U6,U6-V6), "")</f>
        <v>0</v>
      </c>
      <c r="X6" s="46">
        <f t="shared" si="5"/>
        <v>0.93543918052622788</v>
      </c>
      <c r="Y6" s="54"/>
      <c r="Z6" s="41">
        <f t="shared" ref="Z6:Z69" si="16">IF(I6&lt;&gt;"",AB5,"")</f>
        <v>258053.5505372271</v>
      </c>
      <c r="AA6" s="41">
        <f t="shared" ref="AA6:AA69" si="17">IF(I6&lt;&gt;"", AC5, "")</f>
        <v>19373.244235195463</v>
      </c>
      <c r="AB6" s="41">
        <f t="shared" si="6"/>
        <v>319126.9473148837</v>
      </c>
      <c r="AC6" s="41">
        <f t="shared" si="7"/>
        <v>18708.783610524559</v>
      </c>
      <c r="AD6" s="54"/>
      <c r="AE6" s="41">
        <f t="shared" si="8"/>
        <v>0</v>
      </c>
      <c r="AF6" s="41"/>
      <c r="AG6" s="41">
        <f>IF(I6&lt;&gt;"", -$X6*L6, "")</f>
        <v>-23.385979513155696</v>
      </c>
      <c r="AH6" s="41">
        <f t="shared" ref="AH6:AH69" si="18">IF(I6&lt;&gt;"",-M6*V6,"")</f>
        <v>-66446.062467090567</v>
      </c>
      <c r="AI6" s="41">
        <f t="shared" ref="AI6:AI69" si="19">IF(I6 &lt;&gt; "", -P6*W6, "")</f>
        <v>0</v>
      </c>
      <c r="AJ6" s="41">
        <f t="shared" ref="AJ6:AJ68" si="20">SUM(AE6:AI6)</f>
        <v>-66469.448446603725</v>
      </c>
      <c r="AK6" s="41">
        <f t="shared" si="10"/>
        <v>-61073.396777656599</v>
      </c>
      <c r="AL6" s="41">
        <f t="shared" ref="AL6:AL69" si="21">$D$6*SUM(Z6:AA6,AE6:AF6)</f>
        <v>11097.071790896904</v>
      </c>
      <c r="AM6" s="41">
        <f t="shared" ref="AM6:AM68" si="22">SUM(AJ6:AL6)</f>
        <v>-116445.77343336341</v>
      </c>
      <c r="AN6" s="41">
        <f t="shared" si="11"/>
        <v>664.46062467090451</v>
      </c>
      <c r="AO6" s="41">
        <f t="shared" ref="AO6:AO68" si="23">SUM(AM6:AN6)</f>
        <v>-115781.31280869251</v>
      </c>
      <c r="AP6" s="45"/>
      <c r="AQ6" s="41">
        <f>AO133</f>
        <v>59600.629695941461</v>
      </c>
      <c r="AR6" s="48"/>
      <c r="AS6" s="48"/>
      <c r="AT6" s="51">
        <f t="shared" ref="AT6:AT69" si="24">AT5+1</f>
        <v>2</v>
      </c>
      <c r="AU6" s="49">
        <f t="shared" ref="AU6:AU69" si="25">IF(I6&lt;&gt;"", AU5-AV5, "")</f>
        <v>0.96866221175977318</v>
      </c>
      <c r="AV6" s="49">
        <f t="shared" ref="AV6:AV69" si="26">IF(I6&lt;&gt;"", S6*AU6/1000, "")</f>
        <v>3.322303123354528E-2</v>
      </c>
      <c r="AW6" s="50">
        <f xml:space="preserve"> IF(ISERROR(ROUND((1000*NPV($AT$1,$AV7:$AV$124)-$AW$1*($AU7+NPV($AT$1,$AU8:$AU$124)))/AU7,3)), 0, ROUND((1000*NPV($AT$1,$AV7:$AV$124)-$AW$1*($AU7+NPV($AT$1,$AU8:$AU$124)))/AU7,3))</f>
        <v>170.57599999999999</v>
      </c>
      <c r="AX6" s="50">
        <f>IF(ISERROR(ROUND(MAX(0,1000*NPV($AT$2,$AV7:$AV$124)-$AW$2*($AU7+NPV($AT$2,$AU8:$AU$124)))/AU7,3)), 0, ROUND(MAX(0,1000*NPV($AT$2,$AV7:$AV$124)-$AW$2*($AU7+NPV($AT$2,$AU8:$AU$124)))/AU7,3))</f>
        <v>0</v>
      </c>
      <c r="AY6" s="75" t="s">
        <v>80</v>
      </c>
    </row>
    <row r="7" spans="1:54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7">IF(J7&lt;&gt;"",J7*$C$17,"")</f>
        <v/>
      </c>
      <c r="L7" s="42">
        <f t="shared" ref="L7:L70" si="28">IF(I7&lt;&gt;"",$C$21,"")</f>
        <v>25</v>
      </c>
      <c r="M7" s="41">
        <f t="shared" ref="M7:M70" si="29">IF(I7&lt;&gt;"",$E$11,"")</f>
        <v>2000000</v>
      </c>
      <c r="N7" s="43">
        <f t="shared" si="1"/>
        <v>21.206</v>
      </c>
      <c r="O7" s="44">
        <f t="shared" si="2"/>
        <v>208.25</v>
      </c>
      <c r="P7" s="41">
        <f t="shared" si="3"/>
        <v>42412</v>
      </c>
      <c r="Q7" s="41">
        <f t="shared" si="4"/>
        <v>416500</v>
      </c>
      <c r="R7" s="44"/>
      <c r="S7" s="44">
        <f t="shared" si="12"/>
        <v>37.440523556537499</v>
      </c>
      <c r="T7" s="52">
        <f>$C$11</f>
        <v>0</v>
      </c>
      <c r="U7" s="53">
        <f t="shared" si="13"/>
        <v>0.93543918052622788</v>
      </c>
      <c r="V7" s="53">
        <f t="shared" si="14"/>
        <v>3.5023332674200366E-2</v>
      </c>
      <c r="W7" s="53">
        <f t="shared" si="15"/>
        <v>0</v>
      </c>
      <c r="X7" s="46">
        <f t="shared" si="5"/>
        <v>0.90041584785202755</v>
      </c>
      <c r="Y7" s="54"/>
      <c r="Z7" s="41">
        <f t="shared" si="16"/>
        <v>319126.9473148837</v>
      </c>
      <c r="AA7" s="41">
        <f t="shared" si="17"/>
        <v>18708.783610524559</v>
      </c>
      <c r="AB7" s="41">
        <f t="shared" si="6"/>
        <v>375023.20063036948</v>
      </c>
      <c r="AC7" s="41">
        <f t="shared" si="7"/>
        <v>18008.316957040552</v>
      </c>
      <c r="AD7" s="54"/>
      <c r="AE7" s="41">
        <f t="shared" si="8"/>
        <v>0</v>
      </c>
      <c r="AF7" s="41"/>
      <c r="AG7" s="41">
        <f t="shared" si="9"/>
        <v>-22.51039619630069</v>
      </c>
      <c r="AH7" s="41">
        <f t="shared" si="18"/>
        <v>-70046.665348400726</v>
      </c>
      <c r="AI7" s="41">
        <f t="shared" si="19"/>
        <v>0</v>
      </c>
      <c r="AJ7" s="41">
        <f t="shared" si="20"/>
        <v>-70069.175744597029</v>
      </c>
      <c r="AK7" s="41">
        <f t="shared" si="10"/>
        <v>-55896.253315485781</v>
      </c>
      <c r="AL7" s="41">
        <f t="shared" si="21"/>
        <v>13513.429237016331</v>
      </c>
      <c r="AM7" s="41">
        <f t="shared" si="22"/>
        <v>-112451.99982306648</v>
      </c>
      <c r="AN7" s="41">
        <f t="shared" si="11"/>
        <v>700.46665348400711</v>
      </c>
      <c r="AO7" s="41">
        <f>SUM(AM7:AN7)</f>
        <v>-111751.53316958247</v>
      </c>
      <c r="AP7" s="45"/>
      <c r="AQ7" s="45"/>
      <c r="AR7" s="48"/>
      <c r="AS7" s="48"/>
      <c r="AT7" s="51">
        <f t="shared" si="24"/>
        <v>3</v>
      </c>
      <c r="AU7" s="49">
        <f t="shared" si="25"/>
        <v>0.93543918052622788</v>
      </c>
      <c r="AV7" s="49">
        <f t="shared" si="26"/>
        <v>3.5023332674200366E-2</v>
      </c>
      <c r="AW7" s="50">
        <f xml:space="preserve"> IF(ISERROR(ROUND((1000*NPV($AT$1,$AV8:$AV$124)-$AW$1*($AU8+NPV($AT$1,$AU9:$AU$124)))/AU8,3)), 0, ROUND((1000*NPV($AT$1,$AV8:$AV$124)-$AW$1*($AU8+NPV($AT$1,$AU9:$AU$124)))/AU8,3))</f>
        <v>208.25</v>
      </c>
      <c r="AX7" s="50">
        <f>IF(ISERROR(ROUND(MAX(0,1000*NPV($AT$2,$AV8:$AV$124)-$AW$2*($AU8+NPV($AT$2,$AU9:$AU$124)))/AU8,3)), 0, ROUND(MAX(0,1000*NPV($AT$2,$AV8:$AV$124)-$AW$2*($AU8+NPV($AT$2,$AU9:$AU$124)))/AU8,3))</f>
        <v>21.206</v>
      </c>
      <c r="AY7" s="75" t="s">
        <v>81</v>
      </c>
      <c r="AZ7" s="65">
        <f>AZ5/AE133</f>
        <v>3.0000001635283307E-2</v>
      </c>
      <c r="BB7" s="75" t="s">
        <v>82</v>
      </c>
    </row>
    <row r="8" spans="1:54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7"/>
        <v/>
      </c>
      <c r="L8" s="42">
        <f t="shared" si="28"/>
        <v>25</v>
      </c>
      <c r="M8" s="41">
        <f t="shared" si="29"/>
        <v>2000000</v>
      </c>
      <c r="N8" s="43">
        <f t="shared" si="1"/>
        <v>63.551000000000002</v>
      </c>
      <c r="O8" s="44">
        <f t="shared" si="2"/>
        <v>246.191</v>
      </c>
      <c r="P8" s="41">
        <f t="shared" si="3"/>
        <v>127102</v>
      </c>
      <c r="Q8" s="41">
        <f t="shared" si="4"/>
        <v>492382</v>
      </c>
      <c r="R8" s="44"/>
      <c r="S8" s="44">
        <f t="shared" si="12"/>
        <v>40.970452479436396</v>
      </c>
      <c r="T8" s="52">
        <f>$C$11</f>
        <v>0</v>
      </c>
      <c r="U8" s="53">
        <f t="shared" si="13"/>
        <v>0.90041584785202755</v>
      </c>
      <c r="V8" s="53">
        <f t="shared" si="14"/>
        <v>3.6890444706152929E-2</v>
      </c>
      <c r="W8" s="53">
        <f t="shared" si="15"/>
        <v>0</v>
      </c>
      <c r="X8" s="46">
        <f t="shared" si="5"/>
        <v>0.86352540314587467</v>
      </c>
      <c r="Y8" s="54"/>
      <c r="Z8" s="41">
        <f t="shared" si="16"/>
        <v>375023.20063036948</v>
      </c>
      <c r="AA8" s="41">
        <f t="shared" si="17"/>
        <v>18008.316957040552</v>
      </c>
      <c r="AB8" s="41">
        <f t="shared" si="6"/>
        <v>425184.36505177204</v>
      </c>
      <c r="AC8" s="41">
        <f t="shared" si="7"/>
        <v>17270.508062917492</v>
      </c>
      <c r="AD8" s="54"/>
      <c r="AE8" s="41">
        <f t="shared" si="8"/>
        <v>0</v>
      </c>
      <c r="AF8" s="41"/>
      <c r="AG8" s="41">
        <f t="shared" si="9"/>
        <v>-21.588135078646868</v>
      </c>
      <c r="AH8" s="41">
        <f t="shared" si="18"/>
        <v>-73780.889412305856</v>
      </c>
      <c r="AI8" s="41">
        <f t="shared" si="19"/>
        <v>0</v>
      </c>
      <c r="AJ8" s="41">
        <f t="shared" si="20"/>
        <v>-73802.477547384507</v>
      </c>
      <c r="AK8" s="41">
        <f t="shared" si="10"/>
        <v>-50161.164421402558</v>
      </c>
      <c r="AL8" s="41">
        <f t="shared" si="21"/>
        <v>15721.260703496402</v>
      </c>
      <c r="AM8" s="41">
        <f t="shared" si="22"/>
        <v>-108242.38126529066</v>
      </c>
      <c r="AN8" s="41">
        <f t="shared" si="11"/>
        <v>737.80889412305987</v>
      </c>
      <c r="AO8" s="41">
        <f t="shared" si="23"/>
        <v>-107504.5723711676</v>
      </c>
      <c r="AP8" s="45"/>
      <c r="AQ8" s="45"/>
      <c r="AR8" s="48"/>
      <c r="AS8" s="48"/>
      <c r="AT8" s="51">
        <f t="shared" si="24"/>
        <v>4</v>
      </c>
      <c r="AU8" s="49">
        <f t="shared" si="25"/>
        <v>0.90041584785202755</v>
      </c>
      <c r="AV8" s="49">
        <f t="shared" si="26"/>
        <v>3.6890444706152929E-2</v>
      </c>
      <c r="AW8" s="50">
        <f xml:space="preserve"> IF(ISERROR(ROUND((1000*NPV($AT$1,$AV9:$AV$124)-$AW$1*($AU9+NPV($AT$1,$AU10:$AU$124)))/AU9,3)), 0, ROUND((1000*NPV($AT$1,$AV9:$AV$124)-$AW$1*($AU9+NPV($AT$1,$AU10:$AU$124)))/AU9,3))</f>
        <v>246.191</v>
      </c>
      <c r="AX8" s="50">
        <f>IF(ISERROR(ROUND(MAX(0,1000*NPV($AT$2,$AV9:$AV$124)-$AW$2*($AU9+NPV($AT$2,$AU10:$AU$124)))/AU9,3)), 0, ROUND(MAX(0,1000*NPV($AT$2,$AV9:$AV$124)-$AW$2*($AU9+NPV($AT$2,$AU10:$AU$124)))/AU9,3))</f>
        <v>63.551000000000002</v>
      </c>
      <c r="AY8" s="59"/>
    </row>
    <row r="9" spans="1:54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7"/>
        <v/>
      </c>
      <c r="L9" s="42">
        <f t="shared" si="28"/>
        <v>25</v>
      </c>
      <c r="M9" s="41">
        <f t="shared" si="29"/>
        <v>2000000</v>
      </c>
      <c r="N9" s="43">
        <f t="shared" si="1"/>
        <v>106.65600000000001</v>
      </c>
      <c r="O9" s="44">
        <f t="shared" si="2"/>
        <v>284.37299999999999</v>
      </c>
      <c r="P9" s="41">
        <f t="shared" si="3"/>
        <v>213312</v>
      </c>
      <c r="Q9" s="41">
        <f t="shared" si="4"/>
        <v>568746</v>
      </c>
      <c r="R9" s="44"/>
      <c r="S9" s="44">
        <f t="shared" si="12"/>
        <v>44.940617591759001</v>
      </c>
      <c r="T9" s="52">
        <f>$C$11</f>
        <v>0</v>
      </c>
      <c r="U9" s="53">
        <f t="shared" si="13"/>
        <v>0.86352540314587467</v>
      </c>
      <c r="V9" s="53">
        <f t="shared" si="14"/>
        <v>3.8807364923548276E-2</v>
      </c>
      <c r="W9" s="53">
        <f t="shared" si="15"/>
        <v>0</v>
      </c>
      <c r="X9" s="46">
        <f t="shared" si="5"/>
        <v>0.82471803822232637</v>
      </c>
      <c r="Y9" s="54"/>
      <c r="Z9" s="41">
        <f t="shared" si="16"/>
        <v>425184.36505177204</v>
      </c>
      <c r="AA9" s="41">
        <f t="shared" si="17"/>
        <v>17270.508062917492</v>
      </c>
      <c r="AB9" s="41">
        <f t="shared" si="6"/>
        <v>469055.08536679525</v>
      </c>
      <c r="AC9" s="41">
        <f t="shared" si="7"/>
        <v>16494.360764446526</v>
      </c>
      <c r="AD9" s="54"/>
      <c r="AE9" s="41">
        <f t="shared" si="8"/>
        <v>0</v>
      </c>
      <c r="AF9" s="41"/>
      <c r="AG9" s="41">
        <f t="shared" si="9"/>
        <v>-20.617950955558157</v>
      </c>
      <c r="AH9" s="41">
        <f t="shared" si="18"/>
        <v>-77614.729847096547</v>
      </c>
      <c r="AI9" s="41">
        <f t="shared" si="19"/>
        <v>0</v>
      </c>
      <c r="AJ9" s="41">
        <f t="shared" si="20"/>
        <v>-77635.347798052098</v>
      </c>
      <c r="AK9" s="41">
        <f t="shared" si="10"/>
        <v>-43870.720315023209</v>
      </c>
      <c r="AL9" s="41">
        <f t="shared" si="21"/>
        <v>17698.194924587584</v>
      </c>
      <c r="AM9" s="41">
        <f t="shared" si="22"/>
        <v>-103807.87318848772</v>
      </c>
      <c r="AN9" s="41">
        <f t="shared" si="11"/>
        <v>776.14729847096532</v>
      </c>
      <c r="AO9" s="41">
        <f t="shared" si="23"/>
        <v>-103031.72589001675</v>
      </c>
      <c r="AP9" s="45"/>
      <c r="AQ9" s="45"/>
      <c r="AR9" s="48"/>
      <c r="AS9" s="48"/>
      <c r="AT9" s="51">
        <f t="shared" si="24"/>
        <v>5</v>
      </c>
      <c r="AU9" s="49">
        <f t="shared" si="25"/>
        <v>0.86352540314587467</v>
      </c>
      <c r="AV9" s="49">
        <f t="shared" si="26"/>
        <v>3.8807364923548276E-2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284.37299999999999</v>
      </c>
      <c r="AX9" s="50">
        <f>IF(ISERROR(ROUND(MAX(0,1000*NPV($AT$2,$AV10:$AV$124)-$AW$2*($AU10+NPV($AT$2,$AU11:$AU$124)))/AU10,3)), 0, ROUND(MAX(0,1000*NPV($AT$2,$AV10:$AV$124)-$AW$2*($AU10+NPV($AT$2,$AU11:$AU$124)))/AU10,3))</f>
        <v>106.65600000000001</v>
      </c>
    </row>
    <row r="10" spans="1:54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7"/>
        <v/>
      </c>
      <c r="L10" s="42">
        <f t="shared" si="28"/>
        <v>25</v>
      </c>
      <c r="M10" s="41">
        <f t="shared" si="29"/>
        <v>2000000</v>
      </c>
      <c r="N10" s="43">
        <f>AX10</f>
        <v>150.46299999999999</v>
      </c>
      <c r="O10" s="44">
        <f t="shared" si="2"/>
        <v>322.73399999999998</v>
      </c>
      <c r="P10" s="41">
        <f t="shared" si="3"/>
        <v>300926</v>
      </c>
      <c r="Q10" s="41">
        <f t="shared" si="4"/>
        <v>645468</v>
      </c>
      <c r="R10" s="44"/>
      <c r="S10" s="44">
        <f t="shared" si="12"/>
        <v>49.475628606803902</v>
      </c>
      <c r="T10" s="52">
        <f>$C$12</f>
        <v>0</v>
      </c>
      <c r="U10" s="53">
        <f t="shared" si="13"/>
        <v>0.82471803822232637</v>
      </c>
      <c r="V10" s="53">
        <f t="shared" si="14"/>
        <v>4.0803443364419718E-2</v>
      </c>
      <c r="W10" s="53">
        <f t="shared" si="15"/>
        <v>0</v>
      </c>
      <c r="X10" s="46">
        <f t="shared" si="5"/>
        <v>0.7839145948579066</v>
      </c>
      <c r="Y10" s="54"/>
      <c r="Z10" s="41">
        <f t="shared" si="16"/>
        <v>469055.08536679525</v>
      </c>
      <c r="AA10" s="41">
        <f t="shared" si="17"/>
        <v>16494.360764446526</v>
      </c>
      <c r="AB10" s="41">
        <f t="shared" si="6"/>
        <v>505991.78571374324</v>
      </c>
      <c r="AC10" s="41">
        <f t="shared" si="7"/>
        <v>15678.291897158131</v>
      </c>
      <c r="AD10" s="54"/>
      <c r="AE10" s="41">
        <f t="shared" si="8"/>
        <v>0</v>
      </c>
      <c r="AF10" s="41"/>
      <c r="AG10" s="41">
        <f t="shared" si="9"/>
        <v>-19.597864871447666</v>
      </c>
      <c r="AH10" s="41">
        <f t="shared" si="18"/>
        <v>-81606.886728839439</v>
      </c>
      <c r="AI10" s="41">
        <f t="shared" si="19"/>
        <v>0</v>
      </c>
      <c r="AJ10" s="41">
        <f t="shared" si="20"/>
        <v>-81626.484593710891</v>
      </c>
      <c r="AK10" s="41">
        <f t="shared" si="10"/>
        <v>-36936.700346947997</v>
      </c>
      <c r="AL10" s="41">
        <f t="shared" si="21"/>
        <v>19421.977845249672</v>
      </c>
      <c r="AM10" s="41">
        <f t="shared" si="22"/>
        <v>-99141.20709540922</v>
      </c>
      <c r="AN10" s="41">
        <f t="shared" si="11"/>
        <v>816.06886728839527</v>
      </c>
      <c r="AO10" s="41">
        <f t="shared" si="23"/>
        <v>-98325.138228120821</v>
      </c>
      <c r="AP10" s="45"/>
      <c r="AQ10" s="45"/>
      <c r="AR10" s="48"/>
      <c r="AS10" s="48"/>
      <c r="AT10" s="51">
        <f t="shared" si="24"/>
        <v>6</v>
      </c>
      <c r="AU10" s="49">
        <f t="shared" si="25"/>
        <v>0.82471803822232637</v>
      </c>
      <c r="AV10" s="49">
        <f t="shared" si="26"/>
        <v>4.0803443364419718E-2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322.73399999999998</v>
      </c>
      <c r="AX10" s="50">
        <f>IF(ISERROR(ROUND(MAX(0,1000*NPV($AT$2,$AV11:$AV$124)-$AW$2*($AU11+NPV($AT$2,$AU12:$AU$124)))/AU11,3)), 0, ROUND(MAX(0,1000*NPV($AT$2,$AV11:$AV$124)-$AW$2*($AU11+NPV($AT$2,$AU12:$AU$124)))/AU11,3))</f>
        <v>150.46299999999999</v>
      </c>
    </row>
    <row r="11" spans="1:54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7"/>
        <v/>
      </c>
      <c r="L11" s="42">
        <f t="shared" si="28"/>
        <v>25</v>
      </c>
      <c r="M11" s="41">
        <f t="shared" si="29"/>
        <v>2000000</v>
      </c>
      <c r="N11" s="43">
        <f t="shared" si="1"/>
        <v>194.899</v>
      </c>
      <c r="O11" s="44">
        <f>AW11</f>
        <v>361.20299999999997</v>
      </c>
      <c r="P11" s="41">
        <f t="shared" si="3"/>
        <v>389798</v>
      </c>
      <c r="Q11" s="41">
        <f t="shared" si="4"/>
        <v>722406</v>
      </c>
      <c r="R11" s="44"/>
      <c r="S11" s="44">
        <f t="shared" si="12"/>
        <v>54.689177058262601</v>
      </c>
      <c r="T11" s="52">
        <f>$C$12</f>
        <v>0</v>
      </c>
      <c r="U11" s="53">
        <f t="shared" si="13"/>
        <v>0.7839145948579066</v>
      </c>
      <c r="V11" s="53">
        <f t="shared" si="14"/>
        <v>4.2871644076740247E-2</v>
      </c>
      <c r="W11" s="53">
        <f t="shared" si="15"/>
        <v>0</v>
      </c>
      <c r="X11" s="46">
        <f t="shared" si="5"/>
        <v>0.74104295078116633</v>
      </c>
      <c r="Y11" s="54"/>
      <c r="Z11" s="41">
        <f t="shared" si="16"/>
        <v>505991.78571374324</v>
      </c>
      <c r="AA11" s="41">
        <f t="shared" si="17"/>
        <v>15678.291897158131</v>
      </c>
      <c r="AB11" s="41">
        <f t="shared" si="6"/>
        <v>535333.87390201923</v>
      </c>
      <c r="AC11" s="41">
        <f t="shared" si="7"/>
        <v>14820.859015623326</v>
      </c>
      <c r="AD11" s="54"/>
      <c r="AE11" s="41">
        <f t="shared" si="8"/>
        <v>0</v>
      </c>
      <c r="AF11" s="41"/>
      <c r="AG11" s="41">
        <f t="shared" si="9"/>
        <v>-18.526073769529159</v>
      </c>
      <c r="AH11" s="41">
        <f t="shared" si="18"/>
        <v>-85743.288153480491</v>
      </c>
      <c r="AI11" s="41">
        <f t="shared" si="19"/>
        <v>0</v>
      </c>
      <c r="AJ11" s="41">
        <f t="shared" si="20"/>
        <v>-85761.814227250026</v>
      </c>
      <c r="AK11" s="41">
        <f t="shared" si="10"/>
        <v>-29342.088188275986</v>
      </c>
      <c r="AL11" s="41">
        <f t="shared" si="21"/>
        <v>20866.803104436054</v>
      </c>
      <c r="AM11" s="41">
        <f t="shared" si="22"/>
        <v>-94237.099311089958</v>
      </c>
      <c r="AN11" s="41">
        <f t="shared" si="11"/>
        <v>857.43288153480535</v>
      </c>
      <c r="AO11" s="41">
        <f t="shared" si="23"/>
        <v>-93379.66642955516</v>
      </c>
      <c r="AP11" s="45"/>
      <c r="AQ11" s="45"/>
      <c r="AR11" s="48"/>
      <c r="AS11" s="48"/>
      <c r="AT11" s="51">
        <f t="shared" si="24"/>
        <v>7</v>
      </c>
      <c r="AU11" s="49">
        <f t="shared" si="25"/>
        <v>0.7839145948579066</v>
      </c>
      <c r="AV11" s="49">
        <f t="shared" si="26"/>
        <v>4.2871644076740247E-2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361.20299999999997</v>
      </c>
      <c r="AX11" s="50">
        <f>IF(ISERROR(ROUND(MAX(0,1000*NPV($AT$2,$AV12:$AV$124)-$AW$2*($AU12+NPV($AT$2,$AU13:$AU$124)))/AU12,3)), 0, ROUND(MAX(0,1000*NPV($AT$2,$AV12:$AV$124)-$AW$2*($AU12+NPV($AT$2,$AU13:$AU$124)))/AU12,3))</f>
        <v>194.899</v>
      </c>
    </row>
    <row r="12" spans="1:54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7"/>
        <v/>
      </c>
      <c r="L12" s="42">
        <f t="shared" si="28"/>
        <v>25</v>
      </c>
      <c r="M12" s="41">
        <f t="shared" si="29"/>
        <v>2000000</v>
      </c>
      <c r="N12" s="43">
        <f>AX12</f>
        <v>239.90799999999999</v>
      </c>
      <c r="O12" s="44">
        <f t="shared" si="2"/>
        <v>399.71899999999999</v>
      </c>
      <c r="P12" s="41">
        <f t="shared" si="3"/>
        <v>479816</v>
      </c>
      <c r="Q12" s="41">
        <f t="shared" si="4"/>
        <v>799438</v>
      </c>
      <c r="R12" s="44"/>
      <c r="S12" s="44">
        <f t="shared" si="12"/>
        <v>60.6822376158485</v>
      </c>
      <c r="T12" s="52">
        <f>$C$12</f>
        <v>0</v>
      </c>
      <c r="U12" s="53">
        <f t="shared" si="13"/>
        <v>0.74104295078116633</v>
      </c>
      <c r="V12" s="53">
        <f t="shared" si="14"/>
        <v>4.4968144422852262E-2</v>
      </c>
      <c r="W12" s="53">
        <f t="shared" si="15"/>
        <v>0</v>
      </c>
      <c r="X12" s="46">
        <f t="shared" si="5"/>
        <v>0.69607480635831409</v>
      </c>
      <c r="Y12" s="54"/>
      <c r="Z12" s="41">
        <f t="shared" si="16"/>
        <v>535333.87390201923</v>
      </c>
      <c r="AA12" s="41">
        <f t="shared" si="17"/>
        <v>14820.859015623326</v>
      </c>
      <c r="AB12" s="41">
        <f t="shared" si="6"/>
        <v>556468.65104547795</v>
      </c>
      <c r="AC12" s="41">
        <f t="shared" si="7"/>
        <v>13921.496127166281</v>
      </c>
      <c r="AD12" s="54"/>
      <c r="AE12" s="41">
        <f t="shared" si="8"/>
        <v>0</v>
      </c>
      <c r="AF12" s="41"/>
      <c r="AG12" s="41">
        <f t="shared" si="9"/>
        <v>-17.401870158957852</v>
      </c>
      <c r="AH12" s="41">
        <f t="shared" si="18"/>
        <v>-89936.288845704519</v>
      </c>
      <c r="AI12" s="41">
        <f t="shared" si="19"/>
        <v>0</v>
      </c>
      <c r="AJ12" s="41">
        <f t="shared" si="20"/>
        <v>-89953.690715863471</v>
      </c>
      <c r="AK12" s="41">
        <f t="shared" si="10"/>
        <v>-21134.777143458719</v>
      </c>
      <c r="AL12" s="41">
        <f t="shared" si="21"/>
        <v>22006.189316705702</v>
      </c>
      <c r="AM12" s="41">
        <f t="shared" si="22"/>
        <v>-89082.278542616492</v>
      </c>
      <c r="AN12" s="41">
        <f t="shared" si="11"/>
        <v>899.36288845704439</v>
      </c>
      <c r="AO12" s="41">
        <f t="shared" si="23"/>
        <v>-88182.915654159442</v>
      </c>
      <c r="AP12" s="45"/>
      <c r="AQ12" s="45"/>
      <c r="AR12" s="48"/>
      <c r="AS12" s="48"/>
      <c r="AT12" s="51">
        <f t="shared" si="24"/>
        <v>8</v>
      </c>
      <c r="AU12" s="49">
        <f t="shared" si="25"/>
        <v>0.74104295078116633</v>
      </c>
      <c r="AV12" s="49">
        <f t="shared" si="26"/>
        <v>4.4968144422852262E-2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399.71899999999999</v>
      </c>
      <c r="AX12" s="50">
        <f>IF(ISERROR(ROUND(MAX(0,1000*NPV($AT$2,$AV13:$AV$124)-$AW$2*($AU13+NPV($AT$2,$AU14:$AU$124)))/AU13,3)), 0, ROUND(MAX(0,1000*NPV($AT$2,$AV13:$AV$124)-$AW$2*($AU13+NPV($AT$2,$AU14:$AU$124)))/AU13,3))</f>
        <v>239.90799999999999</v>
      </c>
    </row>
    <row r="13" spans="1:54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7"/>
        <v/>
      </c>
      <c r="L13" s="42">
        <f t="shared" si="28"/>
        <v>25</v>
      </c>
      <c r="M13" s="41">
        <f t="shared" si="29"/>
        <v>2000000</v>
      </c>
      <c r="N13" s="43">
        <f t="shared" si="1"/>
        <v>285.29199999999997</v>
      </c>
      <c r="O13" s="44">
        <f t="shared" si="2"/>
        <v>438.11200000000002</v>
      </c>
      <c r="P13" s="41">
        <f t="shared" si="3"/>
        <v>570584</v>
      </c>
      <c r="Q13" s="41">
        <f t="shared" si="4"/>
        <v>876224</v>
      </c>
      <c r="R13" s="44"/>
      <c r="S13" s="44">
        <f t="shared" si="12"/>
        <v>67.790325954448704</v>
      </c>
      <c r="T13" s="52">
        <f>$C$12</f>
        <v>0</v>
      </c>
      <c r="U13" s="53">
        <f t="shared" si="13"/>
        <v>0.69607480635831409</v>
      </c>
      <c r="V13" s="53">
        <f t="shared" si="14"/>
        <v>4.718713801170988E-2</v>
      </c>
      <c r="W13" s="53">
        <f t="shared" si="15"/>
        <v>0</v>
      </c>
      <c r="X13" s="46">
        <f t="shared" si="5"/>
        <v>0.64888766834660416</v>
      </c>
      <c r="Y13" s="54"/>
      <c r="Z13" s="41">
        <f t="shared" si="16"/>
        <v>556468.65104547795</v>
      </c>
      <c r="AA13" s="41">
        <f t="shared" si="17"/>
        <v>13921.496127166281</v>
      </c>
      <c r="AB13" s="41">
        <f t="shared" si="6"/>
        <v>568570.94830933493</v>
      </c>
      <c r="AC13" s="41">
        <f t="shared" si="7"/>
        <v>12977.753366932084</v>
      </c>
      <c r="AD13" s="54"/>
      <c r="AE13" s="41">
        <f t="shared" si="8"/>
        <v>0</v>
      </c>
      <c r="AF13" s="41"/>
      <c r="AG13" s="41">
        <f t="shared" si="9"/>
        <v>-16.222191708665104</v>
      </c>
      <c r="AH13" s="41">
        <f t="shared" si="18"/>
        <v>-94374.276023419763</v>
      </c>
      <c r="AI13" s="41">
        <f t="shared" si="19"/>
        <v>0</v>
      </c>
      <c r="AJ13" s="41">
        <f t="shared" si="20"/>
        <v>-94390.498215128435</v>
      </c>
      <c r="AK13" s="41">
        <f t="shared" si="10"/>
        <v>-12102.297263856977</v>
      </c>
      <c r="AL13" s="41">
        <f t="shared" si="21"/>
        <v>22815.605886905771</v>
      </c>
      <c r="AM13" s="41">
        <f t="shared" si="22"/>
        <v>-83677.189592079638</v>
      </c>
      <c r="AN13" s="41">
        <f t="shared" si="11"/>
        <v>943.7427602341977</v>
      </c>
      <c r="AO13" s="41">
        <f t="shared" si="23"/>
        <v>-82733.446831845446</v>
      </c>
      <c r="AP13" s="45"/>
      <c r="AQ13" s="45"/>
      <c r="AR13" s="48"/>
      <c r="AS13" s="48"/>
      <c r="AT13" s="51">
        <f t="shared" si="24"/>
        <v>9</v>
      </c>
      <c r="AU13" s="49">
        <f t="shared" si="25"/>
        <v>0.69607480635831409</v>
      </c>
      <c r="AV13" s="49">
        <f t="shared" si="26"/>
        <v>4.718713801170988E-2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438.11200000000002</v>
      </c>
      <c r="AX13" s="50">
        <f>IF(ISERROR(ROUND(MAX(0,1000*NPV($AT$2,$AV14:$AV$124)-$AW$2*($AU14+NPV($AT$2,$AU15:$AU$124)))/AU14,3)), 0, ROUND(MAX(0,1000*NPV($AT$2,$AV14:$AV$124)-$AW$2*($AU14+NPV($AT$2,$AU15:$AU$124)))/AU14,3))</f>
        <v>285.29199999999997</v>
      </c>
    </row>
    <row r="14" spans="1:54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7"/>
        <v/>
      </c>
      <c r="L14" s="42">
        <f t="shared" si="28"/>
        <v>25</v>
      </c>
      <c r="M14" s="41">
        <f t="shared" si="29"/>
        <v>2000000</v>
      </c>
      <c r="N14" s="43">
        <f t="shared" si="1"/>
        <v>331.04199999999997</v>
      </c>
      <c r="O14" s="44">
        <f t="shared" si="2"/>
        <v>476.36200000000002</v>
      </c>
      <c r="P14" s="41">
        <f t="shared" si="3"/>
        <v>662084</v>
      </c>
      <c r="Q14" s="41">
        <f t="shared" si="4"/>
        <v>952724</v>
      </c>
      <c r="R14" s="44"/>
      <c r="S14" s="44">
        <f t="shared" si="12"/>
        <v>75.947777910954002</v>
      </c>
      <c r="T14" s="52">
        <f>$C$12</f>
        <v>0</v>
      </c>
      <c r="U14" s="53">
        <f t="shared" si="13"/>
        <v>0.64888766834660416</v>
      </c>
      <c r="V14" s="53">
        <f t="shared" si="14"/>
        <v>4.9281576524744672E-2</v>
      </c>
      <c r="W14" s="53">
        <f t="shared" si="15"/>
        <v>0</v>
      </c>
      <c r="X14" s="46">
        <f t="shared" si="5"/>
        <v>0.59960609182185953</v>
      </c>
      <c r="Y14" s="54"/>
      <c r="Z14" s="41">
        <f t="shared" si="16"/>
        <v>568570.94830933493</v>
      </c>
      <c r="AA14" s="41">
        <f t="shared" si="17"/>
        <v>12977.753366932084</v>
      </c>
      <c r="AB14" s="41">
        <f t="shared" si="6"/>
        <v>571259.11422488932</v>
      </c>
      <c r="AC14" s="41">
        <f t="shared" si="7"/>
        <v>11992.121836437191</v>
      </c>
      <c r="AD14" s="54"/>
      <c r="AE14" s="41">
        <f t="shared" si="8"/>
        <v>0</v>
      </c>
      <c r="AF14" s="41"/>
      <c r="AG14" s="41">
        <f t="shared" si="9"/>
        <v>-14.990152295546489</v>
      </c>
      <c r="AH14" s="41">
        <f t="shared" si="18"/>
        <v>-98563.153049489338</v>
      </c>
      <c r="AI14" s="41">
        <f t="shared" si="19"/>
        <v>0</v>
      </c>
      <c r="AJ14" s="41">
        <f t="shared" si="20"/>
        <v>-98578.143201784886</v>
      </c>
      <c r="AK14" s="41">
        <f t="shared" si="10"/>
        <v>-2688.1659155543894</v>
      </c>
      <c r="AL14" s="41">
        <f t="shared" si="21"/>
        <v>23261.948067050678</v>
      </c>
      <c r="AM14" s="41">
        <f t="shared" si="22"/>
        <v>-78004.3610502886</v>
      </c>
      <c r="AN14" s="41">
        <f t="shared" si="11"/>
        <v>985.63153049489301</v>
      </c>
      <c r="AO14" s="41">
        <f t="shared" si="23"/>
        <v>-77018.729519793706</v>
      </c>
      <c r="AP14" s="45"/>
      <c r="AQ14" s="45"/>
      <c r="AR14" s="48"/>
      <c r="AS14" s="48"/>
      <c r="AT14" s="51">
        <f t="shared" si="24"/>
        <v>10</v>
      </c>
      <c r="AU14" s="49">
        <f t="shared" si="25"/>
        <v>0.64888766834660416</v>
      </c>
      <c r="AV14" s="49">
        <f t="shared" si="26"/>
        <v>4.9281576524744672E-2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476.36200000000002</v>
      </c>
      <c r="AX14" s="50">
        <f>IF(ISERROR(ROUND(MAX(0,1000*NPV($AT$2,$AV15:$AV$124)-$AW$2*($AU15+NPV($AT$2,$AU16:$AU$124)))/AU15,3)), 0, ROUND(MAX(0,1000*NPV($AT$2,$AV15:$AV$124)-$AW$2*($AU15+NPV($AT$2,$AU16:$AU$124)))/AU15,3))</f>
        <v>331.04199999999997</v>
      </c>
    </row>
    <row r="15" spans="1:54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7"/>
        <v/>
      </c>
      <c r="L15" s="42">
        <f t="shared" si="28"/>
        <v>25</v>
      </c>
      <c r="M15" s="41">
        <f t="shared" si="29"/>
        <v>2000000</v>
      </c>
      <c r="N15" s="43">
        <f t="shared" si="1"/>
        <v>368.91699999999997</v>
      </c>
      <c r="O15" s="44">
        <f t="shared" si="2"/>
        <v>508.02300000000002</v>
      </c>
      <c r="P15" s="41">
        <f t="shared" si="3"/>
        <v>737834</v>
      </c>
      <c r="Q15" s="41">
        <f t="shared" si="4"/>
        <v>1016046</v>
      </c>
      <c r="R15" s="44"/>
      <c r="S15" s="44">
        <f>IF(I15&lt;&gt;"",_xlfn.XLOOKUP($D$4+I15,$A$26:$A$145,$B$26:$B$145,0) * 1000,"")</f>
        <v>97.336716534892801</v>
      </c>
      <c r="T15" s="52">
        <f>$C$13</f>
        <v>0</v>
      </c>
      <c r="U15" s="53">
        <f t="shared" si="13"/>
        <v>0.59960609182185953</v>
      </c>
      <c r="V15" s="53">
        <f t="shared" si="14"/>
        <v>5.8363688192259247E-2</v>
      </c>
      <c r="W15" s="53">
        <f t="shared" si="15"/>
        <v>0</v>
      </c>
      <c r="X15" s="46">
        <f t="shared" si="5"/>
        <v>0.5412424036296003</v>
      </c>
      <c r="Y15" s="54"/>
      <c r="Z15" s="41">
        <f t="shared" si="16"/>
        <v>571259.11422488932</v>
      </c>
      <c r="AA15" s="41">
        <f t="shared" si="17"/>
        <v>11992.121836437191</v>
      </c>
      <c r="AB15" s="41">
        <f t="shared" si="6"/>
        <v>549927.17923824082</v>
      </c>
      <c r="AC15" s="41">
        <f t="shared" si="7"/>
        <v>10824.848072592005</v>
      </c>
      <c r="AD15" s="54"/>
      <c r="AE15" s="41">
        <f t="shared" si="8"/>
        <v>0</v>
      </c>
      <c r="AF15" s="41"/>
      <c r="AG15" s="41">
        <f t="shared" si="9"/>
        <v>-13.531060090740008</v>
      </c>
      <c r="AH15" s="41">
        <f t="shared" si="18"/>
        <v>-116727.37638451849</v>
      </c>
      <c r="AI15" s="41">
        <f t="shared" si="19"/>
        <v>0</v>
      </c>
      <c r="AJ15" s="41">
        <f t="shared" si="20"/>
        <v>-116740.90744460923</v>
      </c>
      <c r="AK15" s="41">
        <f t="shared" si="10"/>
        <v>21331.934986648499</v>
      </c>
      <c r="AL15" s="41">
        <f t="shared" si="21"/>
        <v>23330.049442453059</v>
      </c>
      <c r="AM15" s="41">
        <f t="shared" si="22"/>
        <v>-72078.923015507666</v>
      </c>
      <c r="AN15" s="41">
        <f t="shared" si="11"/>
        <v>1167.2737638451854</v>
      </c>
      <c r="AO15" s="41">
        <f t="shared" si="23"/>
        <v>-70911.649251662486</v>
      </c>
      <c r="AP15" s="45"/>
      <c r="AQ15" s="45"/>
      <c r="AR15" s="48"/>
      <c r="AS15" s="48"/>
      <c r="AT15" s="51">
        <f t="shared" si="24"/>
        <v>11</v>
      </c>
      <c r="AU15" s="49">
        <f t="shared" si="25"/>
        <v>0.59960609182185953</v>
      </c>
      <c r="AV15" s="49">
        <f t="shared" si="26"/>
        <v>5.8363688192259247E-2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508.02300000000002</v>
      </c>
      <c r="AX15" s="50">
        <f>IF(ISERROR(ROUND(MAX(0,1000*NPV($AT$2,$AV16:$AV$124)-$AW$2*($AU16+NPV($AT$2,$AU17:$AU$124)))/AU16,3)), 0, ROUND(MAX(0,1000*NPV($AT$2,$AV16:$AV$124)-$AW$2*($AU16+NPV($AT$2,$AU17:$AU$124)))/AU16,3))</f>
        <v>368.91699999999997</v>
      </c>
    </row>
    <row r="16" spans="1:54" ht="15" x14ac:dyDescent="0.25">
      <c r="A16" s="15"/>
      <c r="B16" s="19">
        <v>1</v>
      </c>
      <c r="C16" s="18">
        <v>0.3</v>
      </c>
      <c r="D16" s="1"/>
      <c r="E16" s="19" t="s">
        <v>69</v>
      </c>
      <c r="F16" s="7">
        <v>0.06</v>
      </c>
      <c r="G16" s="5"/>
      <c r="H16" s="1"/>
      <c r="I16" s="51">
        <v>12</v>
      </c>
      <c r="J16" s="41"/>
      <c r="K16" s="41" t="str">
        <f t="shared" si="27"/>
        <v/>
      </c>
      <c r="L16" s="42">
        <f t="shared" si="28"/>
        <v>25</v>
      </c>
      <c r="M16" s="41">
        <f t="shared" si="29"/>
        <v>2000000</v>
      </c>
      <c r="N16" s="43">
        <f t="shared" si="1"/>
        <v>405.41199999999998</v>
      </c>
      <c r="O16" s="44">
        <f t="shared" si="2"/>
        <v>538.30600000000004</v>
      </c>
      <c r="P16" s="41">
        <f t="shared" si="3"/>
        <v>810824</v>
      </c>
      <c r="Q16" s="41">
        <f t="shared" si="4"/>
        <v>1076612</v>
      </c>
      <c r="R16" s="44"/>
      <c r="S16" s="44">
        <f t="shared" si="12"/>
        <v>109.45108185492001</v>
      </c>
      <c r="T16" s="52">
        <f t="shared" ref="T16:T80" si="30">$C$13</f>
        <v>0</v>
      </c>
      <c r="U16" s="53">
        <f t="shared" si="13"/>
        <v>0.5412424036296003</v>
      </c>
      <c r="V16" s="53">
        <f t="shared" si="14"/>
        <v>5.9239566623017034E-2</v>
      </c>
      <c r="W16" s="53">
        <f t="shared" si="15"/>
        <v>0</v>
      </c>
      <c r="X16" s="46">
        <f t="shared" si="5"/>
        <v>0.48200283700658325</v>
      </c>
      <c r="Y16" s="54"/>
      <c r="Z16" s="41">
        <f t="shared" si="16"/>
        <v>549927.17923824082</v>
      </c>
      <c r="AA16" s="41">
        <f t="shared" si="17"/>
        <v>10824.848072592005</v>
      </c>
      <c r="AB16" s="41">
        <f t="shared" si="6"/>
        <v>518930.03835533164</v>
      </c>
      <c r="AC16" s="41">
        <f t="shared" si="7"/>
        <v>9640.0567401316657</v>
      </c>
      <c r="AD16" s="54"/>
      <c r="AE16" s="41">
        <f t="shared" si="8"/>
        <v>0</v>
      </c>
      <c r="AF16" s="41"/>
      <c r="AG16" s="41">
        <f t="shared" si="9"/>
        <v>-12.050070925164581</v>
      </c>
      <c r="AH16" s="41">
        <f t="shared" si="18"/>
        <v>-118479.13324603406</v>
      </c>
      <c r="AI16" s="41">
        <f t="shared" si="19"/>
        <v>0</v>
      </c>
      <c r="AJ16" s="41">
        <f t="shared" si="20"/>
        <v>-118491.18331695923</v>
      </c>
      <c r="AK16" s="41">
        <f t="shared" si="10"/>
        <v>30997.140882909182</v>
      </c>
      <c r="AL16" s="41">
        <f t="shared" si="21"/>
        <v>22430.081092433316</v>
      </c>
      <c r="AM16" s="41">
        <f t="shared" si="22"/>
        <v>-65063.961341616727</v>
      </c>
      <c r="AN16" s="41">
        <f t="shared" si="11"/>
        <v>1184.7913324603396</v>
      </c>
      <c r="AO16" s="41">
        <f t="shared" si="23"/>
        <v>-63879.170009156383</v>
      </c>
      <c r="AP16" s="45"/>
      <c r="AQ16" s="45"/>
      <c r="AR16" s="48"/>
      <c r="AS16" s="48"/>
      <c r="AT16" s="51">
        <f t="shared" si="24"/>
        <v>12</v>
      </c>
      <c r="AU16" s="49">
        <f t="shared" si="25"/>
        <v>0.5412424036296003</v>
      </c>
      <c r="AV16" s="49">
        <f t="shared" si="26"/>
        <v>5.9239566623017034E-2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538.30600000000004</v>
      </c>
      <c r="AX16" s="50">
        <f>IF(ISERROR(ROUND(MAX(0,1000*NPV($AT$2,$AV17:$AV$124)-$AW$2*($AU17+NPV($AT$2,$AU18:$AU$124)))/AU17,3)), 0, ROUND(MAX(0,1000*NPV($AT$2,$AV17:$AV$124)-$AW$2*($AU17+NPV($AT$2,$AU18:$AU$124)))/AU17,3))</f>
        <v>405.41199999999998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7"/>
        <v/>
      </c>
      <c r="L17" s="42">
        <f t="shared" si="28"/>
        <v>25</v>
      </c>
      <c r="M17" s="41">
        <f t="shared" si="29"/>
        <v>2000000</v>
      </c>
      <c r="N17" s="43">
        <f t="shared" si="1"/>
        <v>440.41899999999998</v>
      </c>
      <c r="O17" s="44">
        <f t="shared" si="2"/>
        <v>567.14700000000005</v>
      </c>
      <c r="P17" s="41">
        <f t="shared" si="3"/>
        <v>880838</v>
      </c>
      <c r="Q17" s="41">
        <f t="shared" si="4"/>
        <v>1134294</v>
      </c>
      <c r="R17" s="44"/>
      <c r="S17" s="44">
        <f t="shared" si="12"/>
        <v>122.87252770711001</v>
      </c>
      <c r="T17" s="52">
        <f t="shared" si="30"/>
        <v>0</v>
      </c>
      <c r="U17" s="53">
        <f t="shared" si="13"/>
        <v>0.48200283700658325</v>
      </c>
      <c r="V17" s="53">
        <f t="shared" si="14"/>
        <v>5.9224906944997033E-2</v>
      </c>
      <c r="W17" s="53">
        <f t="shared" si="15"/>
        <v>0</v>
      </c>
      <c r="X17" s="46">
        <f t="shared" si="5"/>
        <v>0.4227779300615862</v>
      </c>
      <c r="Y17" s="54"/>
      <c r="Z17" s="41">
        <f t="shared" si="16"/>
        <v>518930.03835533164</v>
      </c>
      <c r="AA17" s="41">
        <f t="shared" si="17"/>
        <v>9640.0567401316657</v>
      </c>
      <c r="AB17" s="41">
        <f t="shared" si="6"/>
        <v>479554.46940127685</v>
      </c>
      <c r="AC17" s="41">
        <f t="shared" si="7"/>
        <v>8455.5586012317235</v>
      </c>
      <c r="AD17" s="54"/>
      <c r="AE17" s="41">
        <f t="shared" si="8"/>
        <v>0</v>
      </c>
      <c r="AF17" s="41"/>
      <c r="AG17" s="41">
        <f t="shared" si="9"/>
        <v>-10.569448251539654</v>
      </c>
      <c r="AH17" s="41">
        <f t="shared" si="18"/>
        <v>-118449.81388999407</v>
      </c>
      <c r="AI17" s="41">
        <f t="shared" si="19"/>
        <v>0</v>
      </c>
      <c r="AJ17" s="41">
        <f t="shared" si="20"/>
        <v>-118460.38333824561</v>
      </c>
      <c r="AK17" s="41">
        <f t="shared" si="10"/>
        <v>39375.56895405479</v>
      </c>
      <c r="AL17" s="41">
        <f t="shared" si="21"/>
        <v>21142.803803818533</v>
      </c>
      <c r="AM17" s="41">
        <f t="shared" si="22"/>
        <v>-57942.010580372284</v>
      </c>
      <c r="AN17" s="41">
        <f t="shared" si="11"/>
        <v>1184.4981388999422</v>
      </c>
      <c r="AO17" s="41">
        <f t="shared" si="23"/>
        <v>-56757.51244147234</v>
      </c>
      <c r="AP17" s="45"/>
      <c r="AQ17" s="45"/>
      <c r="AR17" s="48"/>
      <c r="AS17" s="48"/>
      <c r="AT17" s="51">
        <f t="shared" si="24"/>
        <v>13</v>
      </c>
      <c r="AU17" s="49">
        <f t="shared" si="25"/>
        <v>0.48200283700658325</v>
      </c>
      <c r="AV17" s="49">
        <f t="shared" si="26"/>
        <v>5.9224906944997033E-2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567.14700000000005</v>
      </c>
      <c r="AX17" s="50">
        <f>IF(ISERROR(ROUND(MAX(0,1000*NPV($AT$2,$AV18:$AV$124)-$AW$2*($AU18+NPV($AT$2,$AU19:$AU$124)))/AU18,3)), 0, ROUND(MAX(0,1000*NPV($AT$2,$AV18:$AV$124)-$AW$2*($AU18+NPV($AT$2,$AU19:$AU$124)))/AU18,3))</f>
        <v>440.41899999999998</v>
      </c>
    </row>
    <row r="18" spans="1:50" ht="15" x14ac:dyDescent="0.25">
      <c r="A18" s="12" t="s">
        <v>10</v>
      </c>
      <c r="B18" s="14"/>
      <c r="C18" s="3"/>
      <c r="D18" s="1"/>
      <c r="E18" s="1" t="s">
        <v>74</v>
      </c>
      <c r="F18" s="61">
        <v>0.05</v>
      </c>
      <c r="G18" s="1"/>
      <c r="H18" s="1"/>
      <c r="I18" s="51">
        <v>14</v>
      </c>
      <c r="J18" s="41"/>
      <c r="K18" s="41" t="str">
        <f t="shared" si="27"/>
        <v/>
      </c>
      <c r="L18" s="42">
        <f t="shared" si="28"/>
        <v>25</v>
      </c>
      <c r="M18" s="41">
        <f t="shared" si="29"/>
        <v>2000000</v>
      </c>
      <c r="N18" s="43">
        <f t="shared" si="1"/>
        <v>473.858</v>
      </c>
      <c r="O18" s="44">
        <f t="shared" si="2"/>
        <v>594.51</v>
      </c>
      <c r="P18" s="41">
        <f t="shared" si="3"/>
        <v>947716</v>
      </c>
      <c r="Q18" s="41">
        <f t="shared" si="4"/>
        <v>1189020</v>
      </c>
      <c r="R18" s="44"/>
      <c r="S18" s="44">
        <f t="shared" si="12"/>
        <v>137.65430509033598</v>
      </c>
      <c r="T18" s="52">
        <f t="shared" si="30"/>
        <v>0</v>
      </c>
      <c r="U18" s="53">
        <f t="shared" si="13"/>
        <v>0.4227779300615862</v>
      </c>
      <c r="V18" s="53">
        <f t="shared" si="14"/>
        <v>5.8197202170158314E-2</v>
      </c>
      <c r="W18" s="53">
        <f t="shared" si="15"/>
        <v>0</v>
      </c>
      <c r="X18" s="46">
        <f t="shared" si="5"/>
        <v>0.36458072789142787</v>
      </c>
      <c r="Y18" s="54"/>
      <c r="Z18" s="41">
        <f t="shared" si="16"/>
        <v>479554.46940127685</v>
      </c>
      <c r="AA18" s="41">
        <f t="shared" si="17"/>
        <v>8455.5586012317235</v>
      </c>
      <c r="AB18" s="41">
        <f t="shared" si="6"/>
        <v>433493.77707746555</v>
      </c>
      <c r="AC18" s="41">
        <f t="shared" si="7"/>
        <v>7291.6145578285577</v>
      </c>
      <c r="AD18" s="54"/>
      <c r="AE18" s="41">
        <f t="shared" si="8"/>
        <v>0</v>
      </c>
      <c r="AF18" s="41"/>
      <c r="AG18" s="41">
        <f t="shared" si="9"/>
        <v>-9.1145181972856975</v>
      </c>
      <c r="AH18" s="41">
        <f t="shared" si="18"/>
        <v>-116394.40434031663</v>
      </c>
      <c r="AI18" s="41">
        <f t="shared" si="19"/>
        <v>0</v>
      </c>
      <c r="AJ18" s="41">
        <f t="shared" si="20"/>
        <v>-116403.51885851391</v>
      </c>
      <c r="AK18" s="41">
        <f t="shared" si="10"/>
        <v>46060.692323811294</v>
      </c>
      <c r="AL18" s="41">
        <f t="shared" si="21"/>
        <v>19520.401120100341</v>
      </c>
      <c r="AM18" s="41">
        <f t="shared" si="22"/>
        <v>-50822.425414602272</v>
      </c>
      <c r="AN18" s="41">
        <f t="shared" si="11"/>
        <v>1163.9440434031658</v>
      </c>
      <c r="AO18" s="41">
        <f t="shared" si="23"/>
        <v>-49658.481371199108</v>
      </c>
      <c r="AP18" s="45"/>
      <c r="AQ18" s="45"/>
      <c r="AR18" s="48"/>
      <c r="AS18" s="48"/>
      <c r="AT18" s="51">
        <f t="shared" si="24"/>
        <v>14</v>
      </c>
      <c r="AU18" s="49">
        <f t="shared" si="25"/>
        <v>0.4227779300615862</v>
      </c>
      <c r="AV18" s="49">
        <f t="shared" si="26"/>
        <v>5.8197202170158314E-2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594.51</v>
      </c>
      <c r="AX18" s="50">
        <f>IF(ISERROR(ROUND(MAX(0,1000*NPV($AT$2,$AV19:$AV$124)-$AW$2*($AU19+NPV($AT$2,$AU20:$AU$124)))/AU19,3)), 0, ROUND(MAX(0,1000*NPV($AT$2,$AV19:$AV$124)-$AW$2*($AU19+NPV($AT$2,$AU20:$AU$124)))/AU19,3))</f>
        <v>473.858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7"/>
        <v/>
      </c>
      <c r="L19" s="42">
        <f t="shared" si="28"/>
        <v>25</v>
      </c>
      <c r="M19" s="41">
        <f t="shared" si="29"/>
        <v>2000000</v>
      </c>
      <c r="N19" s="43">
        <f t="shared" si="1"/>
        <v>505.82</v>
      </c>
      <c r="O19" s="44">
        <f t="shared" si="2"/>
        <v>620.49099999999999</v>
      </c>
      <c r="P19" s="41">
        <f t="shared" si="3"/>
        <v>1011640</v>
      </c>
      <c r="Q19" s="41">
        <f t="shared" si="4"/>
        <v>1240982</v>
      </c>
      <c r="R19" s="44"/>
      <c r="S19" s="44">
        <f t="shared" si="12"/>
        <v>153.60437106000299</v>
      </c>
      <c r="T19" s="52">
        <f t="shared" si="30"/>
        <v>0</v>
      </c>
      <c r="U19" s="53">
        <f t="shared" si="13"/>
        <v>0.36458072789142787</v>
      </c>
      <c r="V19" s="53">
        <f t="shared" si="14"/>
        <v>5.6001193408360871E-2</v>
      </c>
      <c r="W19" s="53">
        <f t="shared" si="15"/>
        <v>0</v>
      </c>
      <c r="X19" s="46">
        <f t="shared" si="5"/>
        <v>0.30857953448306702</v>
      </c>
      <c r="Y19" s="54"/>
      <c r="Z19" s="41">
        <f t="shared" si="16"/>
        <v>433493.77707746555</v>
      </c>
      <c r="AA19" s="41">
        <f t="shared" si="17"/>
        <v>7291.6145578285577</v>
      </c>
      <c r="AB19" s="41">
        <f t="shared" si="6"/>
        <v>382941.64786186547</v>
      </c>
      <c r="AC19" s="41">
        <f t="shared" si="7"/>
        <v>6171.5906896613405</v>
      </c>
      <c r="AD19" s="54"/>
      <c r="AE19" s="41">
        <f t="shared" si="8"/>
        <v>0</v>
      </c>
      <c r="AF19" s="41"/>
      <c r="AG19" s="41">
        <f t="shared" si="9"/>
        <v>-7.7144883620766755</v>
      </c>
      <c r="AH19" s="41">
        <f t="shared" si="18"/>
        <v>-112002.38681672174</v>
      </c>
      <c r="AI19" s="41">
        <f t="shared" si="19"/>
        <v>0</v>
      </c>
      <c r="AJ19" s="41">
        <f t="shared" si="20"/>
        <v>-112010.10130508382</v>
      </c>
      <c r="AK19" s="41">
        <f t="shared" si="10"/>
        <v>50552.129215600085</v>
      </c>
      <c r="AL19" s="41">
        <f t="shared" si="21"/>
        <v>17631.415665411765</v>
      </c>
      <c r="AM19" s="41">
        <f t="shared" si="22"/>
        <v>-43826.556424071969</v>
      </c>
      <c r="AN19" s="41">
        <f t="shared" si="11"/>
        <v>1120.0238681672172</v>
      </c>
      <c r="AO19" s="41">
        <f t="shared" si="23"/>
        <v>-42706.532555904749</v>
      </c>
      <c r="AP19" s="45"/>
      <c r="AQ19" s="45"/>
      <c r="AR19" s="48"/>
      <c r="AS19" s="48"/>
      <c r="AT19" s="51">
        <f t="shared" si="24"/>
        <v>15</v>
      </c>
      <c r="AU19" s="49">
        <f t="shared" si="25"/>
        <v>0.36458072789142787</v>
      </c>
      <c r="AV19" s="49">
        <f t="shared" si="26"/>
        <v>5.6001193408360871E-2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620.49099999999999</v>
      </c>
      <c r="AX19" s="50">
        <f>IF(ISERROR(ROUND(MAX(0,1000*NPV($AT$2,$AV20:$AV$124)-$AW$2*($AU20+NPV($AT$2,$AU21:$AU$124)))/AU20,3)), 0, ROUND(MAX(0,1000*NPV($AT$2,$AV20:$AV$124)-$AW$2*($AU20+NPV($AT$2,$AU21:$AU$124)))/AU20,3))</f>
        <v>505.82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/>
      <c r="G20" s="1"/>
      <c r="H20" s="1"/>
      <c r="I20" s="51">
        <v>16</v>
      </c>
      <c r="J20" s="41"/>
      <c r="K20" s="41" t="str">
        <f t="shared" si="27"/>
        <v/>
      </c>
      <c r="L20" s="42">
        <f t="shared" si="28"/>
        <v>25</v>
      </c>
      <c r="M20" s="41">
        <f t="shared" si="29"/>
        <v>2000000</v>
      </c>
      <c r="N20" s="43">
        <f t="shared" si="1"/>
        <v>536.36599999999999</v>
      </c>
      <c r="O20" s="44">
        <f t="shared" si="2"/>
        <v>645.15700000000004</v>
      </c>
      <c r="P20" s="41">
        <f t="shared" si="3"/>
        <v>1072732</v>
      </c>
      <c r="Q20" s="41">
        <f t="shared" si="4"/>
        <v>1290314</v>
      </c>
      <c r="R20" s="44"/>
      <c r="S20" s="44">
        <f t="shared" si="12"/>
        <v>170.916849502958</v>
      </c>
      <c r="T20" s="52">
        <f t="shared" si="30"/>
        <v>0</v>
      </c>
      <c r="U20" s="53">
        <f t="shared" si="13"/>
        <v>0.30857953448306702</v>
      </c>
      <c r="V20" s="53">
        <f t="shared" si="14"/>
        <v>5.2741441854935206E-2</v>
      </c>
      <c r="W20" s="53">
        <f t="shared" si="15"/>
        <v>0</v>
      </c>
      <c r="X20" s="46">
        <f t="shared" si="5"/>
        <v>0.25583809262813184</v>
      </c>
      <c r="Y20" s="54"/>
      <c r="Z20" s="41">
        <f t="shared" si="16"/>
        <v>382941.64786186547</v>
      </c>
      <c r="AA20" s="41">
        <f t="shared" si="17"/>
        <v>6171.5906896613405</v>
      </c>
      <c r="AB20" s="41">
        <f t="shared" si="6"/>
        <v>330111.47265137528</v>
      </c>
      <c r="AC20" s="41">
        <f t="shared" si="7"/>
        <v>5116.7618525626367</v>
      </c>
      <c r="AD20" s="54"/>
      <c r="AE20" s="41">
        <f t="shared" si="8"/>
        <v>0</v>
      </c>
      <c r="AF20" s="41"/>
      <c r="AG20" s="41">
        <f t="shared" si="9"/>
        <v>-6.3959523157032958</v>
      </c>
      <c r="AH20" s="41">
        <f t="shared" si="18"/>
        <v>-105482.88370987041</v>
      </c>
      <c r="AI20" s="41">
        <f t="shared" si="19"/>
        <v>0</v>
      </c>
      <c r="AJ20" s="41">
        <f t="shared" si="20"/>
        <v>-105489.27966218612</v>
      </c>
      <c r="AK20" s="41">
        <f t="shared" si="10"/>
        <v>52830.175210490183</v>
      </c>
      <c r="AL20" s="41">
        <f t="shared" si="21"/>
        <v>15564.529542061073</v>
      </c>
      <c r="AM20" s="41">
        <f t="shared" si="22"/>
        <v>-37094.574909634866</v>
      </c>
      <c r="AN20" s="41">
        <f t="shared" si="11"/>
        <v>1054.8288370987038</v>
      </c>
      <c r="AO20" s="41">
        <f t="shared" si="23"/>
        <v>-36039.74607253616</v>
      </c>
      <c r="AP20" s="45"/>
      <c r="AQ20" s="45"/>
      <c r="AR20" s="48"/>
      <c r="AS20" s="48"/>
      <c r="AT20" s="51">
        <f t="shared" si="24"/>
        <v>16</v>
      </c>
      <c r="AU20" s="49">
        <f t="shared" si="25"/>
        <v>0.30857953448306702</v>
      </c>
      <c r="AV20" s="49">
        <f t="shared" si="26"/>
        <v>5.2741441854935206E-2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645.15700000000004</v>
      </c>
      <c r="AX20" s="50">
        <f>IF(ISERROR(ROUND(MAX(0,1000*NPV($AT$2,$AV21:$AV$124)-$AW$2*($AU21+NPV($AT$2,$AU22:$AU$124)))/AU21,3)), 0, ROUND(MAX(0,1000*NPV($AT$2,$AV21:$AV$124)-$AW$2*($AU21+NPV($AT$2,$AU22:$AU$124)))/AU21,3))</f>
        <v>536.36599999999999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7"/>
        <v/>
      </c>
      <c r="L21" s="42">
        <f t="shared" si="28"/>
        <v>25</v>
      </c>
      <c r="M21" s="41">
        <f t="shared" si="29"/>
        <v>2000000</v>
      </c>
      <c r="N21" s="43">
        <f t="shared" si="1"/>
        <v>565.351</v>
      </c>
      <c r="O21" s="44">
        <f t="shared" si="2"/>
        <v>668.41700000000003</v>
      </c>
      <c r="P21" s="41">
        <f t="shared" si="3"/>
        <v>1130702</v>
      </c>
      <c r="Q21" s="41">
        <f t="shared" si="4"/>
        <v>1336834</v>
      </c>
      <c r="R21" s="44"/>
      <c r="S21" s="44">
        <f t="shared" si="12"/>
        <v>190.119953593215</v>
      </c>
      <c r="T21" s="52">
        <f t="shared" si="30"/>
        <v>0</v>
      </c>
      <c r="U21" s="53">
        <f t="shared" si="13"/>
        <v>0.25583809262813184</v>
      </c>
      <c r="V21" s="53">
        <f t="shared" si="14"/>
        <v>4.8639926297837068E-2</v>
      </c>
      <c r="W21" s="53">
        <f t="shared" si="15"/>
        <v>0</v>
      </c>
      <c r="X21" s="46">
        <f t="shared" si="5"/>
        <v>0.20719816633029478</v>
      </c>
      <c r="Y21" s="54"/>
      <c r="Z21" s="41">
        <f t="shared" si="16"/>
        <v>330111.47265137528</v>
      </c>
      <c r="AA21" s="41">
        <f t="shared" si="17"/>
        <v>5116.7618525626367</v>
      </c>
      <c r="AB21" s="41">
        <f t="shared" si="6"/>
        <v>276989.55348799331</v>
      </c>
      <c r="AC21" s="41">
        <f t="shared" si="7"/>
        <v>4143.9633266058954</v>
      </c>
      <c r="AD21" s="54"/>
      <c r="AE21" s="41">
        <f t="shared" si="8"/>
        <v>0</v>
      </c>
      <c r="AF21" s="41"/>
      <c r="AG21" s="41">
        <f t="shared" si="9"/>
        <v>-5.1799541582573694</v>
      </c>
      <c r="AH21" s="41">
        <f t="shared" si="18"/>
        <v>-97279.852595674136</v>
      </c>
      <c r="AI21" s="41">
        <f t="shared" si="19"/>
        <v>0</v>
      </c>
      <c r="AJ21" s="41">
        <f t="shared" si="20"/>
        <v>-97285.032549832395</v>
      </c>
      <c r="AK21" s="41">
        <f t="shared" si="10"/>
        <v>53121.919163381972</v>
      </c>
      <c r="AL21" s="41">
        <f t="shared" si="21"/>
        <v>13409.129380157518</v>
      </c>
      <c r="AM21" s="41">
        <f t="shared" si="22"/>
        <v>-30753.984006292907</v>
      </c>
      <c r="AN21" s="41">
        <f t="shared" si="11"/>
        <v>972.79852595674129</v>
      </c>
      <c r="AO21" s="41">
        <f t="shared" si="23"/>
        <v>-29781.185480336164</v>
      </c>
      <c r="AP21" s="45"/>
      <c r="AQ21" s="45"/>
      <c r="AR21" s="48"/>
      <c r="AS21" s="48"/>
      <c r="AT21" s="51">
        <f t="shared" si="24"/>
        <v>17</v>
      </c>
      <c r="AU21" s="49">
        <f t="shared" si="25"/>
        <v>0.25583809262813184</v>
      </c>
      <c r="AV21" s="49">
        <f t="shared" si="26"/>
        <v>4.8639926297837068E-2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668.41700000000003</v>
      </c>
      <c r="AX21" s="50">
        <f>IF(ISERROR(ROUND(MAX(0,1000*NPV($AT$2,$AV22:$AV$124)-$AW$2*($AU22+NPV($AT$2,$AU23:$AU$124)))/AU22,3)), 0, ROUND(MAX(0,1000*NPV($AT$2,$AV22:$AV$124)-$AW$2*($AU22+NPV($AT$2,$AU23:$AU$124)))/AU22,3))</f>
        <v>565.351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7"/>
        <v/>
      </c>
      <c r="L22" s="42">
        <f t="shared" si="28"/>
        <v>25</v>
      </c>
      <c r="M22" s="41">
        <f t="shared" si="29"/>
        <v>2000000</v>
      </c>
      <c r="N22" s="43">
        <f t="shared" si="1"/>
        <v>592.60799999999995</v>
      </c>
      <c r="O22" s="44">
        <f t="shared" si="2"/>
        <v>690.16300000000001</v>
      </c>
      <c r="P22" s="41">
        <f t="shared" si="3"/>
        <v>1185216</v>
      </c>
      <c r="Q22" s="41">
        <f t="shared" si="4"/>
        <v>1380326</v>
      </c>
      <c r="R22" s="44"/>
      <c r="S22" s="44">
        <f t="shared" si="12"/>
        <v>211.35350412571898</v>
      </c>
      <c r="T22" s="52">
        <f t="shared" si="30"/>
        <v>0</v>
      </c>
      <c r="U22" s="53">
        <f t="shared" si="13"/>
        <v>0.20719816633029478</v>
      </c>
      <c r="V22" s="53">
        <f t="shared" si="14"/>
        <v>4.3792058502331366E-2</v>
      </c>
      <c r="W22" s="53">
        <f t="shared" si="15"/>
        <v>0</v>
      </c>
      <c r="X22" s="46">
        <f t="shared" si="5"/>
        <v>0.16340610782796341</v>
      </c>
      <c r="Y22" s="54"/>
      <c r="Z22" s="41">
        <f t="shared" si="16"/>
        <v>276989.55348799331</v>
      </c>
      <c r="AA22" s="41">
        <f t="shared" si="17"/>
        <v>4143.9633266058954</v>
      </c>
      <c r="AB22" s="41">
        <f t="shared" si="6"/>
        <v>225553.69919374143</v>
      </c>
      <c r="AC22" s="41">
        <f t="shared" si="7"/>
        <v>3268.1221565592682</v>
      </c>
      <c r="AD22" s="54"/>
      <c r="AE22" s="41">
        <f t="shared" si="8"/>
        <v>0</v>
      </c>
      <c r="AF22" s="41"/>
      <c r="AG22" s="41">
        <f t="shared" si="9"/>
        <v>-4.0851526956990858</v>
      </c>
      <c r="AH22" s="41">
        <f t="shared" si="18"/>
        <v>-87584.117004662738</v>
      </c>
      <c r="AI22" s="41">
        <f t="shared" si="19"/>
        <v>0</v>
      </c>
      <c r="AJ22" s="41">
        <f t="shared" si="20"/>
        <v>-87588.202157358435</v>
      </c>
      <c r="AK22" s="41">
        <f t="shared" si="10"/>
        <v>51435.854294251883</v>
      </c>
      <c r="AL22" s="41">
        <f t="shared" si="21"/>
        <v>11245.340672583969</v>
      </c>
      <c r="AM22" s="41">
        <f t="shared" si="22"/>
        <v>-24907.007190522585</v>
      </c>
      <c r="AN22" s="41">
        <f t="shared" si="11"/>
        <v>875.84117004662721</v>
      </c>
      <c r="AO22" s="41">
        <f t="shared" si="23"/>
        <v>-24031.166020475957</v>
      </c>
      <c r="AP22" s="45"/>
      <c r="AQ22" s="45"/>
      <c r="AR22" s="48"/>
      <c r="AS22" s="48"/>
      <c r="AT22" s="51">
        <f t="shared" si="24"/>
        <v>18</v>
      </c>
      <c r="AU22" s="49">
        <f t="shared" si="25"/>
        <v>0.20719816633029478</v>
      </c>
      <c r="AV22" s="49">
        <f t="shared" si="26"/>
        <v>4.3792058502331366E-2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690.16300000000001</v>
      </c>
      <c r="AX22" s="50">
        <f>IF(ISERROR(ROUND(MAX(0,1000*NPV($AT$2,$AV23:$AV$124)-$AW$2*($AU23+NPV($AT$2,$AU24:$AU$124)))/AU23,3)), 0, ROUND(MAX(0,1000*NPV($AT$2,$AV23:$AV$124)-$AW$2*($AU23+NPV($AT$2,$AU24:$AU$124)))/AU23,3))</f>
        <v>592.60799999999995</v>
      </c>
    </row>
    <row r="23" spans="1:50" ht="15" x14ac:dyDescent="0.25">
      <c r="B23" s="1"/>
      <c r="C23" s="1"/>
      <c r="D23" s="1"/>
      <c r="F23" s="1"/>
      <c r="G23" s="1"/>
      <c r="H23" s="1"/>
      <c r="I23" s="51">
        <v>19</v>
      </c>
      <c r="J23" s="41"/>
      <c r="K23" s="41" t="str">
        <f t="shared" si="27"/>
        <v/>
      </c>
      <c r="L23" s="42">
        <f t="shared" si="28"/>
        <v>25</v>
      </c>
      <c r="M23" s="41">
        <f t="shared" si="29"/>
        <v>2000000</v>
      </c>
      <c r="N23" s="43">
        <f t="shared" si="1"/>
        <v>617.84799999999996</v>
      </c>
      <c r="O23" s="44">
        <f t="shared" si="2"/>
        <v>710.2</v>
      </c>
      <c r="P23" s="41">
        <f t="shared" si="3"/>
        <v>1235696</v>
      </c>
      <c r="Q23" s="41">
        <f t="shared" si="4"/>
        <v>1420400</v>
      </c>
      <c r="R23" s="44"/>
      <c r="S23" s="44">
        <f t="shared" si="12"/>
        <v>234.86684370264697</v>
      </c>
      <c r="T23" s="52">
        <f t="shared" si="30"/>
        <v>0</v>
      </c>
      <c r="U23" s="53">
        <f t="shared" si="13"/>
        <v>0.16340610782796341</v>
      </c>
      <c r="V23" s="53">
        <f t="shared" si="14"/>
        <v>3.8378676787288166E-2</v>
      </c>
      <c r="W23" s="53">
        <f t="shared" si="15"/>
        <v>0</v>
      </c>
      <c r="X23" s="46">
        <f t="shared" si="5"/>
        <v>0.12502743104067526</v>
      </c>
      <c r="Y23" s="54"/>
      <c r="Z23" s="41">
        <f t="shared" si="16"/>
        <v>225553.69919374143</v>
      </c>
      <c r="AA23" s="41">
        <f t="shared" si="17"/>
        <v>3268.1221565592682</v>
      </c>
      <c r="AB23" s="41">
        <f t="shared" si="6"/>
        <v>177588.96305017514</v>
      </c>
      <c r="AC23" s="41">
        <f t="shared" si="7"/>
        <v>2500.5486208135053</v>
      </c>
      <c r="AD23" s="54"/>
      <c r="AE23" s="41">
        <f t="shared" si="8"/>
        <v>0</v>
      </c>
      <c r="AF23" s="41"/>
      <c r="AG23" s="41">
        <f t="shared" si="9"/>
        <v>-3.1256857760168817</v>
      </c>
      <c r="AH23" s="41">
        <f t="shared" si="18"/>
        <v>-76757.353574576337</v>
      </c>
      <c r="AI23" s="41">
        <f t="shared" si="19"/>
        <v>0</v>
      </c>
      <c r="AJ23" s="41">
        <f t="shared" si="20"/>
        <v>-76760.479260352353</v>
      </c>
      <c r="AK23" s="41">
        <f t="shared" si="10"/>
        <v>47964.73614356629</v>
      </c>
      <c r="AL23" s="41">
        <f t="shared" si="21"/>
        <v>9152.8728540120283</v>
      </c>
      <c r="AM23" s="41">
        <f t="shared" si="22"/>
        <v>-19642.870262774035</v>
      </c>
      <c r="AN23" s="41">
        <f t="shared" si="11"/>
        <v>767.57353574576291</v>
      </c>
      <c r="AO23" s="41">
        <f t="shared" si="23"/>
        <v>-18875.296727028272</v>
      </c>
      <c r="AP23" s="45"/>
      <c r="AQ23" s="45"/>
      <c r="AR23" s="48"/>
      <c r="AS23" s="48"/>
      <c r="AT23" s="51">
        <f t="shared" si="24"/>
        <v>19</v>
      </c>
      <c r="AU23" s="49">
        <f t="shared" si="25"/>
        <v>0.16340610782796341</v>
      </c>
      <c r="AV23" s="49">
        <f t="shared" si="26"/>
        <v>3.8378676787288166E-2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710.2</v>
      </c>
      <c r="AX23" s="50">
        <f>IF(ISERROR(ROUND(MAX(0,1000*NPV($AT$2,$AV24:$AV$124)-$AW$2*($AU24+NPV($AT$2,$AU25:$AU$124)))/AU24,3)), 0, ROUND(MAX(0,1000*NPV($AT$2,$AV24:$AV$124)-$AW$2*($AU24+NPV($AT$2,$AU25:$AU$124)))/AU24,3))</f>
        <v>617.84799999999996</v>
      </c>
    </row>
    <row r="24" spans="1:50" ht="15" x14ac:dyDescent="0.25">
      <c r="A24" t="s">
        <v>64</v>
      </c>
      <c r="B24" s="1"/>
      <c r="C24" s="1"/>
      <c r="D24" s="1"/>
      <c r="E24" t="s">
        <v>70</v>
      </c>
      <c r="F24" s="1"/>
      <c r="G24" s="1"/>
      <c r="H24" s="1"/>
      <c r="I24" s="51">
        <v>20</v>
      </c>
      <c r="J24" s="41"/>
      <c r="K24" s="41" t="str">
        <f t="shared" si="27"/>
        <v/>
      </c>
      <c r="L24" s="42">
        <f t="shared" si="28"/>
        <v>25</v>
      </c>
      <c r="M24" s="41">
        <f t="shared" si="29"/>
        <v>2000000</v>
      </c>
      <c r="N24" s="43">
        <f t="shared" si="1"/>
        <v>641.14300000000003</v>
      </c>
      <c r="O24" s="44">
        <f t="shared" si="2"/>
        <v>728.60599999999999</v>
      </c>
      <c r="P24" s="41">
        <f t="shared" si="3"/>
        <v>1282286</v>
      </c>
      <c r="Q24" s="41">
        <f t="shared" si="4"/>
        <v>1457212</v>
      </c>
      <c r="R24" s="44"/>
      <c r="S24" s="44">
        <f t="shared" si="12"/>
        <v>259.755791130494</v>
      </c>
      <c r="T24" s="52">
        <f t="shared" si="30"/>
        <v>0</v>
      </c>
      <c r="U24" s="53">
        <f t="shared" si="13"/>
        <v>0.12502743104067526</v>
      </c>
      <c r="V24" s="53">
        <f t="shared" si="14"/>
        <v>3.2476599262983886E-2</v>
      </c>
      <c r="W24" s="53">
        <f t="shared" si="15"/>
        <v>0</v>
      </c>
      <c r="X24" s="46">
        <f t="shared" si="5"/>
        <v>9.2550831777691384E-2</v>
      </c>
      <c r="Y24" s="54"/>
      <c r="Z24" s="41">
        <f t="shared" si="16"/>
        <v>177588.96305017514</v>
      </c>
      <c r="AA24" s="41">
        <f t="shared" si="17"/>
        <v>2500.5486208135053</v>
      </c>
      <c r="AB24" s="41">
        <f t="shared" si="6"/>
        <v>134866.18267643321</v>
      </c>
      <c r="AC24" s="41">
        <f t="shared" si="7"/>
        <v>1851.0166355538277</v>
      </c>
      <c r="AD24" s="54"/>
      <c r="AE24" s="41">
        <f t="shared" si="8"/>
        <v>0</v>
      </c>
      <c r="AF24" s="41"/>
      <c r="AG24" s="41">
        <f t="shared" si="9"/>
        <v>-2.3137707944422847</v>
      </c>
      <c r="AH24" s="41">
        <f t="shared" si="18"/>
        <v>-64953.198525967775</v>
      </c>
      <c r="AI24" s="41">
        <f t="shared" si="19"/>
        <v>0</v>
      </c>
      <c r="AJ24" s="41">
        <f t="shared" si="20"/>
        <v>-64955.512296762216</v>
      </c>
      <c r="AK24" s="41">
        <f t="shared" si="10"/>
        <v>42722.780373741931</v>
      </c>
      <c r="AL24" s="41">
        <f t="shared" si="21"/>
        <v>7203.5804668395458</v>
      </c>
      <c r="AM24" s="41">
        <f t="shared" si="22"/>
        <v>-15029.151456180738</v>
      </c>
      <c r="AN24" s="41">
        <f t="shared" si="11"/>
        <v>649.53198525967764</v>
      </c>
      <c r="AO24" s="41">
        <f t="shared" si="23"/>
        <v>-14379.619470921061</v>
      </c>
      <c r="AP24" s="45"/>
      <c r="AQ24" s="45"/>
      <c r="AR24" s="48"/>
      <c r="AS24" s="48"/>
      <c r="AT24" s="51">
        <f t="shared" si="24"/>
        <v>20</v>
      </c>
      <c r="AU24" s="49">
        <f t="shared" si="25"/>
        <v>0.12502743104067526</v>
      </c>
      <c r="AV24" s="49">
        <f t="shared" si="26"/>
        <v>3.2476599262983886E-2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728.60599999999999</v>
      </c>
      <c r="AX24" s="50">
        <f>IF(ISERROR(ROUND(MAX(0,1000*NPV($AT$2,$AV25:$AV$124)-$AW$2*($AU25+NPV($AT$2,$AU26:$AU$124)))/AU25,3)), 0, ROUND(MAX(0,1000*NPV($AT$2,$AV25:$AV$124)-$AW$2*($AU25+NPV($AT$2,$AU26:$AU$124)))/AU25,3))</f>
        <v>641.14300000000003</v>
      </c>
    </row>
    <row r="25" spans="1:50" ht="15" x14ac:dyDescent="0.25">
      <c r="A25" t="s">
        <v>65</v>
      </c>
      <c r="B25" t="s">
        <v>68</v>
      </c>
      <c r="C25" t="s">
        <v>73</v>
      </c>
      <c r="D25" s="60">
        <v>35</v>
      </c>
      <c r="E25" s="5">
        <v>921039.56471777894</v>
      </c>
      <c r="F25" s="5">
        <v>27631.246660992678</v>
      </c>
      <c r="G25" s="5"/>
      <c r="H25" s="63"/>
      <c r="I25" s="51">
        <v>21</v>
      </c>
      <c r="J25" s="41"/>
      <c r="K25" s="41" t="str">
        <f t="shared" si="27"/>
        <v/>
      </c>
      <c r="L25" s="42">
        <f t="shared" si="28"/>
        <v>25</v>
      </c>
      <c r="M25" s="41">
        <f t="shared" si="29"/>
        <v>2000000</v>
      </c>
      <c r="N25" s="43">
        <f t="shared" si="1"/>
        <v>662.91399999999999</v>
      </c>
      <c r="O25" s="44">
        <f t="shared" si="2"/>
        <v>745.726</v>
      </c>
      <c r="P25" s="41">
        <f t="shared" si="3"/>
        <v>1325828</v>
      </c>
      <c r="Q25" s="41">
        <f t="shared" si="4"/>
        <v>1491452</v>
      </c>
      <c r="R25" s="44"/>
      <c r="S25" s="44">
        <f t="shared" si="12"/>
        <v>285.200118441678</v>
      </c>
      <c r="T25" s="52">
        <f t="shared" si="30"/>
        <v>0</v>
      </c>
      <c r="U25" s="53">
        <f t="shared" si="13"/>
        <v>9.2550831777691384E-2</v>
      </c>
      <c r="V25" s="53">
        <f t="shared" si="14"/>
        <v>2.6395508184873399E-2</v>
      </c>
      <c r="W25" s="53">
        <f t="shared" si="15"/>
        <v>0</v>
      </c>
      <c r="X25" s="46">
        <f t="shared" si="5"/>
        <v>6.6155323592817977E-2</v>
      </c>
      <c r="Y25" s="54"/>
      <c r="Z25" s="41">
        <f t="shared" si="16"/>
        <v>134866.18267643321</v>
      </c>
      <c r="AA25" s="41">
        <f t="shared" si="17"/>
        <v>1851.0166355538277</v>
      </c>
      <c r="AB25" s="41">
        <f t="shared" si="6"/>
        <v>98667.489683155552</v>
      </c>
      <c r="AC25" s="41">
        <f t="shared" si="7"/>
        <v>1323.1064718563596</v>
      </c>
      <c r="AD25" s="54"/>
      <c r="AE25" s="41">
        <f t="shared" si="8"/>
        <v>0</v>
      </c>
      <c r="AF25" s="41"/>
      <c r="AG25" s="41">
        <f t="shared" si="9"/>
        <v>-1.6538830898204495</v>
      </c>
      <c r="AH25" s="41">
        <f t="shared" si="18"/>
        <v>-52791.016369746802</v>
      </c>
      <c r="AI25" s="41">
        <f t="shared" si="19"/>
        <v>0</v>
      </c>
      <c r="AJ25" s="41">
        <f t="shared" si="20"/>
        <v>-52792.670252836622</v>
      </c>
      <c r="AK25" s="41">
        <f t="shared" si="10"/>
        <v>36198.692993277655</v>
      </c>
      <c r="AL25" s="41">
        <f t="shared" si="21"/>
        <v>5468.6879724794817</v>
      </c>
      <c r="AM25" s="41">
        <f t="shared" si="22"/>
        <v>-11125.289287079486</v>
      </c>
      <c r="AN25" s="41">
        <f t="shared" si="11"/>
        <v>527.91016369746808</v>
      </c>
      <c r="AO25" s="41">
        <f t="shared" si="23"/>
        <v>-10597.379123382017</v>
      </c>
      <c r="AP25" s="45"/>
      <c r="AQ25" s="55"/>
      <c r="AR25" s="48"/>
      <c r="AS25" s="48"/>
      <c r="AT25" s="51">
        <f>AT24+1</f>
        <v>21</v>
      </c>
      <c r="AU25" s="49">
        <f t="shared" si="25"/>
        <v>9.2550831777691384E-2</v>
      </c>
      <c r="AV25" s="49">
        <f t="shared" si="26"/>
        <v>2.6395508184873399E-2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745.726</v>
      </c>
      <c r="AX25" s="50">
        <f>IF(ISERROR(ROUND(MAX(0,1000*NPV($AT$2,$AV26:$AV$124)-$AW$2*($AU26+NPV($AT$2,$AU27:$AU$124)))/AU26,3)), 0, ROUND(MAX(0,1000*NPV($AT$2,$AV26:$AV$124)-$AW$2*($AU26+NPV($AT$2,$AU27:$AU$124)))/AU26,3))</f>
        <v>662.91399999999999</v>
      </c>
    </row>
    <row r="26" spans="1:50" ht="15" x14ac:dyDescent="0.25">
      <c r="A26">
        <v>1</v>
      </c>
      <c r="B26">
        <v>1.0640775100346399E-2</v>
      </c>
      <c r="C26">
        <f>B26*(1-$F$16)</f>
        <v>1.0002328594325614E-2</v>
      </c>
      <c r="D26" s="60">
        <v>36</v>
      </c>
      <c r="E26" s="5">
        <v>952107.17807919625</v>
      </c>
      <c r="F26" s="5">
        <v>28563.220531675383</v>
      </c>
      <c r="G26" s="8"/>
      <c r="H26" s="63"/>
      <c r="I26" s="51">
        <v>22</v>
      </c>
      <c r="J26" s="41"/>
      <c r="K26" s="41" t="str">
        <f t="shared" si="27"/>
        <v/>
      </c>
      <c r="L26" s="42">
        <f t="shared" si="28"/>
        <v>25</v>
      </c>
      <c r="M26" s="41">
        <f t="shared" si="29"/>
        <v>2000000</v>
      </c>
      <c r="N26" s="43">
        <f t="shared" si="1"/>
        <v>683.17700000000002</v>
      </c>
      <c r="O26" s="44">
        <f t="shared" si="2"/>
        <v>761.58900000000006</v>
      </c>
      <c r="P26" s="41">
        <f t="shared" si="3"/>
        <v>1366354</v>
      </c>
      <c r="Q26" s="41">
        <f t="shared" si="4"/>
        <v>1523178</v>
      </c>
      <c r="R26" s="44"/>
      <c r="S26" s="44">
        <f t="shared" si="12"/>
        <v>312.322843599137</v>
      </c>
      <c r="T26" s="52">
        <f t="shared" si="30"/>
        <v>0</v>
      </c>
      <c r="U26" s="53">
        <f t="shared" si="13"/>
        <v>6.6155323592817977E-2</v>
      </c>
      <c r="V26" s="53">
        <f t="shared" si="14"/>
        <v>2.0661818783729989E-2</v>
      </c>
      <c r="W26" s="53">
        <f t="shared" si="15"/>
        <v>0</v>
      </c>
      <c r="X26" s="46">
        <f t="shared" si="5"/>
        <v>4.5493504809087988E-2</v>
      </c>
      <c r="Y26" s="54"/>
      <c r="Z26" s="41">
        <f t="shared" si="16"/>
        <v>98667.489683155552</v>
      </c>
      <c r="AA26" s="41">
        <f t="shared" si="17"/>
        <v>1323.1064718563596</v>
      </c>
      <c r="AB26" s="41">
        <f t="shared" si="6"/>
        <v>69294.705668097027</v>
      </c>
      <c r="AC26" s="41">
        <f t="shared" si="7"/>
        <v>909.87009618175978</v>
      </c>
      <c r="AD26" s="54"/>
      <c r="AE26" s="41">
        <f t="shared" si="8"/>
        <v>0</v>
      </c>
      <c r="AF26" s="41"/>
      <c r="AG26" s="41">
        <f t="shared" si="9"/>
        <v>-1.1373376202271996</v>
      </c>
      <c r="AH26" s="41">
        <f t="shared" si="18"/>
        <v>-41323.637567459977</v>
      </c>
      <c r="AI26" s="41">
        <f t="shared" si="19"/>
        <v>0</v>
      </c>
      <c r="AJ26" s="41">
        <f t="shared" si="20"/>
        <v>-41324.774905080201</v>
      </c>
      <c r="AK26" s="41">
        <f t="shared" si="10"/>
        <v>29372.784015058525</v>
      </c>
      <c r="AL26" s="41">
        <f t="shared" si="21"/>
        <v>3999.6238462004767</v>
      </c>
      <c r="AM26" s="41">
        <f t="shared" si="22"/>
        <v>-7952.3670438211993</v>
      </c>
      <c r="AN26" s="41">
        <f t="shared" si="11"/>
        <v>413.2363756745998</v>
      </c>
      <c r="AO26" s="41">
        <f t="shared" si="23"/>
        <v>-7539.1306681465994</v>
      </c>
      <c r="AP26" s="45"/>
      <c r="AQ26" s="55"/>
      <c r="AR26" s="48"/>
      <c r="AS26" s="48"/>
      <c r="AT26" s="51">
        <f t="shared" si="24"/>
        <v>22</v>
      </c>
      <c r="AU26" s="49">
        <f t="shared" si="25"/>
        <v>6.6155323592817977E-2</v>
      </c>
      <c r="AV26" s="49">
        <f t="shared" si="26"/>
        <v>2.0661818783729989E-2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761.58900000000006</v>
      </c>
      <c r="AX26" s="50">
        <f>IF(ISERROR(ROUND(MAX(0,1000*NPV($AT$2,$AV27:$AV$124)-$AW$2*($AU27+NPV($AT$2,$AU28:$AU$124)))/AU27,3)), 0, ROUND(MAX(0,1000*NPV($AT$2,$AV27:$AV$124)-$AW$2*($AU27+NPV($AT$2,$AU28:$AU$124)))/AU27,3))</f>
        <v>683.17700000000002</v>
      </c>
    </row>
    <row r="27" spans="1:50" ht="15" x14ac:dyDescent="0.25">
      <c r="A27">
        <v>2</v>
      </c>
      <c r="B27">
        <v>1.0152077918212899E-3</v>
      </c>
      <c r="C27">
        <f t="shared" ref="C27:C90" si="31">B27*(1-$F$16)</f>
        <v>9.5429532431201244E-4</v>
      </c>
      <c r="D27" s="60">
        <v>37</v>
      </c>
      <c r="E27" s="5">
        <v>983952.87221087515</v>
      </c>
      <c r="F27" s="5">
        <v>29518.591409372631</v>
      </c>
      <c r="G27" s="8"/>
      <c r="H27" s="63"/>
      <c r="I27" s="51">
        <v>23</v>
      </c>
      <c r="J27" s="41"/>
      <c r="K27" s="41" t="str">
        <f t="shared" si="27"/>
        <v/>
      </c>
      <c r="L27" s="42">
        <f t="shared" si="28"/>
        <v>25</v>
      </c>
      <c r="M27" s="41">
        <f t="shared" si="29"/>
        <v>2000000</v>
      </c>
      <c r="N27" s="43">
        <f t="shared" si="1"/>
        <v>702.04200000000003</v>
      </c>
      <c r="O27" s="44">
        <f t="shared" si="2"/>
        <v>776.29100000000005</v>
      </c>
      <c r="P27" s="41">
        <f t="shared" si="3"/>
        <v>1404084</v>
      </c>
      <c r="Q27" s="41">
        <f t="shared" si="4"/>
        <v>1552582</v>
      </c>
      <c r="R27" s="44"/>
      <c r="S27" s="44">
        <f t="shared" si="12"/>
        <v>340.869264859157</v>
      </c>
      <c r="T27" s="52">
        <f t="shared" si="30"/>
        <v>0</v>
      </c>
      <c r="U27" s="53">
        <f t="shared" si="13"/>
        <v>4.5493504809087988E-2</v>
      </c>
      <c r="V27" s="53">
        <f t="shared" si="14"/>
        <v>1.5507337540140347E-2</v>
      </c>
      <c r="W27" s="53">
        <f t="shared" si="15"/>
        <v>0</v>
      </c>
      <c r="X27" s="46">
        <f t="shared" si="5"/>
        <v>2.9986167268947643E-2</v>
      </c>
      <c r="Y27" s="54"/>
      <c r="Z27" s="41">
        <f t="shared" si="16"/>
        <v>69294.705668097027</v>
      </c>
      <c r="AA27" s="41">
        <f t="shared" si="17"/>
        <v>909.87009618175978</v>
      </c>
      <c r="AB27" s="41">
        <f t="shared" si="6"/>
        <v>46555.983550757272</v>
      </c>
      <c r="AC27" s="41">
        <f t="shared" si="7"/>
        <v>599.7233453789529</v>
      </c>
      <c r="AD27" s="54"/>
      <c r="AE27" s="41">
        <f t="shared" si="8"/>
        <v>0</v>
      </c>
      <c r="AF27" s="41"/>
      <c r="AG27" s="41">
        <f t="shared" si="9"/>
        <v>-0.74965418172369103</v>
      </c>
      <c r="AH27" s="41">
        <f t="shared" si="18"/>
        <v>-31014.675080280693</v>
      </c>
      <c r="AI27" s="41">
        <f t="shared" si="19"/>
        <v>0</v>
      </c>
      <c r="AJ27" s="41">
        <f t="shared" si="20"/>
        <v>-31015.424734462416</v>
      </c>
      <c r="AK27" s="41">
        <f t="shared" si="10"/>
        <v>22738.722117339756</v>
      </c>
      <c r="AL27" s="41">
        <f t="shared" si="21"/>
        <v>2808.1830305711519</v>
      </c>
      <c r="AM27" s="41">
        <f t="shared" si="22"/>
        <v>-5468.5195865515088</v>
      </c>
      <c r="AN27" s="41">
        <f t="shared" si="11"/>
        <v>310.14675080280688</v>
      </c>
      <c r="AO27" s="41">
        <f t="shared" si="23"/>
        <v>-5158.3728357487016</v>
      </c>
      <c r="AP27" s="45"/>
      <c r="AQ27" s="55"/>
      <c r="AR27" s="48"/>
      <c r="AS27" s="48"/>
      <c r="AT27" s="51">
        <f t="shared" si="24"/>
        <v>23</v>
      </c>
      <c r="AU27" s="49">
        <f t="shared" si="25"/>
        <v>4.5493504809087988E-2</v>
      </c>
      <c r="AV27" s="49">
        <f t="shared" si="26"/>
        <v>1.5507337540140347E-2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776.29100000000005</v>
      </c>
      <c r="AX27" s="50">
        <f>IF(ISERROR(ROUND(MAX(0,1000*NPV($AT$2,$AV28:$AV$124)-$AW$2*($AU28+NPV($AT$2,$AU29:$AU$124)))/AU28,3)), 0, ROUND(MAX(0,1000*NPV($AT$2,$AV28:$AV$124)-$AW$2*($AU28+NPV($AT$2,$AU29:$AU$124)))/AU28,3))</f>
        <v>702.04200000000003</v>
      </c>
    </row>
    <row r="28" spans="1:50" ht="15" x14ac:dyDescent="0.25">
      <c r="A28">
        <v>3</v>
      </c>
      <c r="B28">
        <v>7.2312607255720096E-4</v>
      </c>
      <c r="C28">
        <f t="shared" si="31"/>
        <v>6.7973850820376882E-4</v>
      </c>
      <c r="D28" s="60">
        <v>38</v>
      </c>
      <c r="E28" s="5">
        <v>1016548.1857455447</v>
      </c>
      <c r="F28" s="5">
        <v>30496.450848206063</v>
      </c>
      <c r="G28" s="8"/>
      <c r="H28" s="63"/>
      <c r="I28" s="51">
        <v>24</v>
      </c>
      <c r="J28" s="41"/>
      <c r="K28" s="41" t="str">
        <f t="shared" si="27"/>
        <v/>
      </c>
      <c r="L28" s="42">
        <f t="shared" si="28"/>
        <v>25</v>
      </c>
      <c r="M28" s="41">
        <f t="shared" si="29"/>
        <v>2000000</v>
      </c>
      <c r="N28" s="43">
        <f t="shared" si="1"/>
        <v>719.37</v>
      </c>
      <c r="O28" s="44">
        <f t="shared" si="2"/>
        <v>789.74199999999996</v>
      </c>
      <c r="P28" s="41">
        <f t="shared" si="3"/>
        <v>1438740</v>
      </c>
      <c r="Q28" s="41">
        <f t="shared" si="4"/>
        <v>1579484</v>
      </c>
      <c r="R28" s="44"/>
      <c r="S28" s="44">
        <f t="shared" si="12"/>
        <v>371.42730073161903</v>
      </c>
      <c r="T28" s="52">
        <f t="shared" si="30"/>
        <v>0</v>
      </c>
      <c r="U28" s="53">
        <f t="shared" si="13"/>
        <v>2.9986167268947643E-2</v>
      </c>
      <c r="V28" s="53">
        <f t="shared" si="14"/>
        <v>1.1137681167992047E-2</v>
      </c>
      <c r="W28" s="53">
        <f t="shared" si="15"/>
        <v>0</v>
      </c>
      <c r="X28" s="46">
        <f t="shared" si="5"/>
        <v>1.8848486100955596E-2</v>
      </c>
      <c r="Y28" s="54"/>
      <c r="Z28" s="41">
        <f t="shared" si="16"/>
        <v>46555.983550757272</v>
      </c>
      <c r="AA28" s="41">
        <f t="shared" si="17"/>
        <v>599.7233453789529</v>
      </c>
      <c r="AB28" s="41">
        <f t="shared" si="6"/>
        <v>29770.882220681749</v>
      </c>
      <c r="AC28" s="41">
        <f t="shared" si="7"/>
        <v>376.96972201911194</v>
      </c>
      <c r="AD28" s="54"/>
      <c r="AE28" s="41">
        <f t="shared" si="8"/>
        <v>0</v>
      </c>
      <c r="AF28" s="41"/>
      <c r="AG28" s="41">
        <f t="shared" si="9"/>
        <v>-0.47121215252388987</v>
      </c>
      <c r="AH28" s="41">
        <f t="shared" si="18"/>
        <v>-22275.362335984093</v>
      </c>
      <c r="AI28" s="41">
        <f t="shared" si="19"/>
        <v>0</v>
      </c>
      <c r="AJ28" s="41">
        <f t="shared" si="20"/>
        <v>-22275.833548136616</v>
      </c>
      <c r="AK28" s="41">
        <f t="shared" si="10"/>
        <v>16785.101330075522</v>
      </c>
      <c r="AL28" s="41">
        <f t="shared" si="21"/>
        <v>1886.2282758454489</v>
      </c>
      <c r="AM28" s="41">
        <f t="shared" si="22"/>
        <v>-3604.5039422156447</v>
      </c>
      <c r="AN28" s="41">
        <f t="shared" si="11"/>
        <v>222.75362335984096</v>
      </c>
      <c r="AO28" s="41">
        <f t="shared" si="23"/>
        <v>-3381.7503188558039</v>
      </c>
      <c r="AP28" s="45"/>
      <c r="AQ28" s="55"/>
      <c r="AR28" s="48"/>
      <c r="AS28" s="48"/>
      <c r="AT28" s="51">
        <f t="shared" si="24"/>
        <v>24</v>
      </c>
      <c r="AU28" s="49">
        <f t="shared" si="25"/>
        <v>2.9986167268947643E-2</v>
      </c>
      <c r="AV28" s="49">
        <f t="shared" si="26"/>
        <v>1.1137681167992047E-2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789.74199999999996</v>
      </c>
      <c r="AX28" s="50">
        <f>IF(ISERROR(ROUND(MAX(0,1000*NPV($AT$2,$AV29:$AV$124)-$AW$2*($AU29+NPV($AT$2,$AU30:$AU$124)))/AU29,3)), 0, ROUND(MAX(0,1000*NPV($AT$2,$AV29:$AV$124)-$AW$2*($AU29+NPV($AT$2,$AU30:$AU$124)))/AU29,3))</f>
        <v>719.37</v>
      </c>
    </row>
    <row r="29" spans="1:50" ht="15" x14ac:dyDescent="0.25">
      <c r="A29">
        <v>4</v>
      </c>
      <c r="B29">
        <v>5.431713801618E-4</v>
      </c>
      <c r="C29">
        <f t="shared" si="31"/>
        <v>5.1058109735209196E-4</v>
      </c>
      <c r="D29" s="60">
        <v>39</v>
      </c>
      <c r="E29" s="5">
        <v>1049924.4281717902</v>
      </c>
      <c r="F29" s="5">
        <v>31497.738160289708</v>
      </c>
      <c r="G29" s="8"/>
      <c r="H29" s="63"/>
      <c r="I29" s="51">
        <v>25</v>
      </c>
      <c r="J29" s="41"/>
      <c r="K29" s="41" t="str">
        <f t="shared" si="27"/>
        <v/>
      </c>
      <c r="L29" s="42">
        <f t="shared" si="28"/>
        <v>25</v>
      </c>
      <c r="M29" s="41">
        <f t="shared" si="29"/>
        <v>2000000</v>
      </c>
      <c r="N29" s="43">
        <f t="shared" si="1"/>
        <v>734.79</v>
      </c>
      <c r="O29" s="44">
        <f t="shared" si="2"/>
        <v>801.67600000000004</v>
      </c>
      <c r="P29" s="41">
        <f t="shared" si="3"/>
        <v>1469580</v>
      </c>
      <c r="Q29" s="41">
        <f t="shared" si="4"/>
        <v>1603352</v>
      </c>
      <c r="R29" s="44"/>
      <c r="S29" s="44">
        <f t="shared" si="12"/>
        <v>404.14002885733902</v>
      </c>
      <c r="T29" s="52">
        <f t="shared" si="30"/>
        <v>0</v>
      </c>
      <c r="U29" s="53">
        <f t="shared" si="13"/>
        <v>1.8848486100955596E-2</v>
      </c>
      <c r="V29" s="53">
        <f t="shared" si="14"/>
        <v>7.6174277167573475E-3</v>
      </c>
      <c r="W29" s="53">
        <f t="shared" si="15"/>
        <v>0</v>
      </c>
      <c r="X29" s="46">
        <f t="shared" si="5"/>
        <v>1.1231058384198248E-2</v>
      </c>
      <c r="Y29" s="54"/>
      <c r="Z29" s="41">
        <f t="shared" si="16"/>
        <v>29770.882220681749</v>
      </c>
      <c r="AA29" s="41">
        <f t="shared" si="17"/>
        <v>376.96972201911194</v>
      </c>
      <c r="AB29" s="41">
        <f t="shared" si="6"/>
        <v>18007.33992242103</v>
      </c>
      <c r="AC29" s="41">
        <f t="shared" si="7"/>
        <v>224.62116768396496</v>
      </c>
      <c r="AD29" s="54"/>
      <c r="AE29" s="41">
        <f t="shared" si="8"/>
        <v>0</v>
      </c>
      <c r="AF29" s="41"/>
      <c r="AG29" s="41">
        <f t="shared" si="9"/>
        <v>-0.28077645960495623</v>
      </c>
      <c r="AH29" s="41">
        <f t="shared" si="18"/>
        <v>-15234.855433514695</v>
      </c>
      <c r="AI29" s="41">
        <f t="shared" si="19"/>
        <v>0</v>
      </c>
      <c r="AJ29" s="41">
        <f t="shared" si="20"/>
        <v>-15235.1362099743</v>
      </c>
      <c r="AK29" s="41">
        <f t="shared" si="10"/>
        <v>11763.54229826072</v>
      </c>
      <c r="AL29" s="41">
        <f t="shared" si="21"/>
        <v>1205.9140777080345</v>
      </c>
      <c r="AM29" s="41">
        <f t="shared" si="22"/>
        <v>-2265.6798340055457</v>
      </c>
      <c r="AN29" s="41">
        <f t="shared" si="11"/>
        <v>152.34855433514699</v>
      </c>
      <c r="AO29" s="41">
        <f t="shared" si="23"/>
        <v>-2113.3312796703985</v>
      </c>
      <c r="AP29" s="45"/>
      <c r="AQ29" s="55"/>
      <c r="AR29" s="48"/>
      <c r="AS29" s="48"/>
      <c r="AT29" s="51">
        <f t="shared" si="24"/>
        <v>25</v>
      </c>
      <c r="AU29" s="49">
        <f t="shared" si="25"/>
        <v>1.8848486100955596E-2</v>
      </c>
      <c r="AV29" s="49">
        <f t="shared" si="26"/>
        <v>7.6174277167573475E-3</v>
      </c>
      <c r="AW29" s="50">
        <f xml:space="preserve"> IF(ISERROR(ROUND((1000*NPV($AT$1,$AV30:$AV$124)-$AW$1*($AU30+NPV($AT$1,$AU31:$AU$124)))/AU30,3)), 0, ROUND((1000*NPV($AT$1,$AV30:$AV$124)-$AW$1*($AU30+NPV($AT$1,$AU31:$AU$124)))/AU30,3))</f>
        <v>801.67600000000004</v>
      </c>
      <c r="AX29" s="50">
        <f>IF(ISERROR(ROUND(MAX(0,1000*NPV($AT$2,$AV30:$AV$124)-$AW$2*($AU30+NPV($AT$2,$AU31:$AU$124)))/AU30,3)), 0, ROUND(MAX(0,1000*NPV($AT$2,$AV30:$AV$124)-$AW$2*($AU30+NPV($AT$2,$AU31:$AU$124)))/AU30,3))</f>
        <v>734.79</v>
      </c>
    </row>
    <row r="30" spans="1:50" ht="15" x14ac:dyDescent="0.25">
      <c r="A30">
        <v>5</v>
      </c>
      <c r="B30">
        <v>4.7462775762274799E-4</v>
      </c>
      <c r="C30">
        <f t="shared" si="31"/>
        <v>4.461500921653831E-4</v>
      </c>
      <c r="D30" s="60">
        <v>40</v>
      </c>
      <c r="E30" s="5">
        <v>1084106.7596667905</v>
      </c>
      <c r="F30" s="5">
        <v>32523.208148086676</v>
      </c>
      <c r="G30" s="8"/>
      <c r="H30" s="63"/>
      <c r="I30" s="51">
        <v>26</v>
      </c>
      <c r="J30" s="41"/>
      <c r="K30" s="41" t="str">
        <f t="shared" si="27"/>
        <v/>
      </c>
      <c r="L30" s="42">
        <f t="shared" si="28"/>
        <v>25</v>
      </c>
      <c r="M30" s="41">
        <f t="shared" si="29"/>
        <v>2000000</v>
      </c>
      <c r="N30" s="43">
        <f t="shared" si="1"/>
        <v>748.99800000000005</v>
      </c>
      <c r="O30" s="44">
        <f t="shared" si="2"/>
        <v>812.63499999999999</v>
      </c>
      <c r="P30" s="41">
        <f t="shared" si="3"/>
        <v>1497996</v>
      </c>
      <c r="Q30" s="41">
        <f t="shared" si="4"/>
        <v>1625270</v>
      </c>
      <c r="R30" s="44"/>
      <c r="S30" s="44">
        <f t="shared" si="12"/>
        <v>435.52597257596898</v>
      </c>
      <c r="T30" s="52">
        <f t="shared" si="30"/>
        <v>0</v>
      </c>
      <c r="U30" s="53">
        <f t="shared" si="13"/>
        <v>1.1231058384198248E-2</v>
      </c>
      <c r="V30" s="53">
        <f t="shared" si="14"/>
        <v>4.8914176258354333E-3</v>
      </c>
      <c r="W30" s="53">
        <f t="shared" si="15"/>
        <v>0</v>
      </c>
      <c r="X30" s="46">
        <f t="shared" si="5"/>
        <v>6.3396407583628149E-3</v>
      </c>
      <c r="Y30" s="54"/>
      <c r="Z30" s="41">
        <f t="shared" si="16"/>
        <v>18007.33992242103</v>
      </c>
      <c r="AA30" s="41">
        <f t="shared" si="17"/>
        <v>224.62116768396496</v>
      </c>
      <c r="AB30" s="41">
        <f t="shared" si="6"/>
        <v>10303.627935344331</v>
      </c>
      <c r="AC30" s="41">
        <f t="shared" si="7"/>
        <v>126.79281516725629</v>
      </c>
      <c r="AD30" s="54"/>
      <c r="AE30" s="41">
        <f t="shared" si="8"/>
        <v>0</v>
      </c>
      <c r="AF30" s="41"/>
      <c r="AG30" s="41">
        <f t="shared" si="9"/>
        <v>-0.15849101895907036</v>
      </c>
      <c r="AH30" s="41">
        <f t="shared" si="18"/>
        <v>-9782.8352516708674</v>
      </c>
      <c r="AI30" s="41">
        <f t="shared" si="19"/>
        <v>0</v>
      </c>
      <c r="AJ30" s="41">
        <f t="shared" si="20"/>
        <v>-9782.9937426898268</v>
      </c>
      <c r="AK30" s="41">
        <f t="shared" si="10"/>
        <v>7703.7119870766983</v>
      </c>
      <c r="AL30" s="41">
        <f t="shared" si="21"/>
        <v>729.27844360419988</v>
      </c>
      <c r="AM30" s="41">
        <f t="shared" si="22"/>
        <v>-1350.0033120089288</v>
      </c>
      <c r="AN30" s="41">
        <f t="shared" si="11"/>
        <v>97.828352516708662</v>
      </c>
      <c r="AO30" s="41">
        <f t="shared" si="23"/>
        <v>-1252.1749594922201</v>
      </c>
      <c r="AP30" s="45"/>
      <c r="AQ30" s="55"/>
      <c r="AR30" s="48"/>
      <c r="AS30" s="48"/>
      <c r="AT30" s="51">
        <f t="shared" si="24"/>
        <v>26</v>
      </c>
      <c r="AU30" s="49">
        <f t="shared" si="25"/>
        <v>1.1231058384198248E-2</v>
      </c>
      <c r="AV30" s="49">
        <f t="shared" si="26"/>
        <v>4.8914176258354333E-3</v>
      </c>
      <c r="AW30" s="50">
        <f xml:space="preserve"> IF(ISERROR(ROUND((1000*NPV($AT$1,$AV31:$AV$124)-$AW$1*($AU31+NPV($AT$1,$AU32:$AU$124)))/AU31,3)), 0, ROUND((1000*NPV($AT$1,$AV31:$AV$124)-$AW$1*($AU31+NPV($AT$1,$AU32:$AU$124)))/AU31,3))</f>
        <v>812.63499999999999</v>
      </c>
      <c r="AX30" s="50">
        <f>IF(ISERROR(ROUND(MAX(0,1000*NPV($AT$2,$AV31:$AV$124)-$AW$2*($AU31+NPV($AT$2,$AU32:$AU$124)))/AU31,3)), 0, ROUND(MAX(0,1000*NPV($AT$2,$AV31:$AV$124)-$AW$2*($AU31+NPV($AT$2,$AU32:$AU$124)))/AU31,3))</f>
        <v>748.99800000000005</v>
      </c>
    </row>
    <row r="31" spans="1:50" ht="15" x14ac:dyDescent="0.25">
      <c r="A31">
        <v>6</v>
      </c>
      <c r="B31">
        <v>4.4384843989575502E-4</v>
      </c>
      <c r="C31">
        <f t="shared" si="31"/>
        <v>4.1721753350200971E-4</v>
      </c>
      <c r="D31" s="60">
        <v>41</v>
      </c>
      <c r="E31" s="5">
        <v>1119058.2915329637</v>
      </c>
      <c r="F31" s="5">
        <v>33571.75412240997</v>
      </c>
      <c r="G31" s="8"/>
      <c r="H31" s="63"/>
      <c r="I31" s="51">
        <v>27</v>
      </c>
      <c r="J31" s="41"/>
      <c r="K31" s="41" t="str">
        <f t="shared" si="27"/>
        <v/>
      </c>
      <c r="L31" s="42">
        <f t="shared" si="28"/>
        <v>25</v>
      </c>
      <c r="M31" s="41">
        <f t="shared" si="29"/>
        <v>2000000</v>
      </c>
      <c r="N31" s="43">
        <f t="shared" si="1"/>
        <v>761.89599999999996</v>
      </c>
      <c r="O31" s="44">
        <f t="shared" si="2"/>
        <v>822.55399999999997</v>
      </c>
      <c r="P31" s="41">
        <f t="shared" si="3"/>
        <v>1523792</v>
      </c>
      <c r="Q31" s="41">
        <f t="shared" si="4"/>
        <v>1645108</v>
      </c>
      <c r="R31" s="44"/>
      <c r="S31" s="44">
        <f t="shared" si="12"/>
        <v>468.20403342919099</v>
      </c>
      <c r="T31" s="52">
        <f t="shared" si="30"/>
        <v>0</v>
      </c>
      <c r="U31" s="53">
        <f t="shared" si="13"/>
        <v>6.3396407583628149E-3</v>
      </c>
      <c r="V31" s="53">
        <f t="shared" si="14"/>
        <v>2.9682453735575651E-3</v>
      </c>
      <c r="W31" s="53">
        <f t="shared" si="15"/>
        <v>0</v>
      </c>
      <c r="X31" s="46">
        <f t="shared" si="5"/>
        <v>3.3713953848052499E-3</v>
      </c>
      <c r="Y31" s="54"/>
      <c r="Z31" s="41">
        <f t="shared" si="16"/>
        <v>10303.627935344331</v>
      </c>
      <c r="AA31" s="41">
        <f t="shared" si="17"/>
        <v>126.79281516725629</v>
      </c>
      <c r="AB31" s="41">
        <f t="shared" si="6"/>
        <v>5546.3095187061954</v>
      </c>
      <c r="AC31" s="41">
        <f t="shared" si="7"/>
        <v>67.427907696104995</v>
      </c>
      <c r="AD31" s="54"/>
      <c r="AE31" s="41">
        <f t="shared" si="8"/>
        <v>0</v>
      </c>
      <c r="AF31" s="41"/>
      <c r="AG31" s="41">
        <f t="shared" si="9"/>
        <v>-8.4284884620131242E-2</v>
      </c>
      <c r="AH31" s="41">
        <f t="shared" si="18"/>
        <v>-5936.49074711513</v>
      </c>
      <c r="AI31" s="41">
        <f t="shared" si="19"/>
        <v>0</v>
      </c>
      <c r="AJ31" s="41">
        <f t="shared" si="20"/>
        <v>-5936.5750319997505</v>
      </c>
      <c r="AK31" s="41">
        <f t="shared" si="10"/>
        <v>4757.3184166381361</v>
      </c>
      <c r="AL31" s="41">
        <f t="shared" si="21"/>
        <v>417.21683002046353</v>
      </c>
      <c r="AM31" s="41">
        <f t="shared" si="22"/>
        <v>-762.03978534115095</v>
      </c>
      <c r="AN31" s="41">
        <f t="shared" si="11"/>
        <v>59.364907471151298</v>
      </c>
      <c r="AO31" s="41">
        <f t="shared" si="23"/>
        <v>-702.67487786999959</v>
      </c>
      <c r="AP31" s="45"/>
      <c r="AQ31" s="55"/>
      <c r="AR31" s="48"/>
      <c r="AS31" s="48"/>
      <c r="AT31" s="51">
        <f t="shared" si="24"/>
        <v>27</v>
      </c>
      <c r="AU31" s="49">
        <f t="shared" si="25"/>
        <v>6.3396407583628149E-3</v>
      </c>
      <c r="AV31" s="49">
        <f t="shared" si="26"/>
        <v>2.9682453735575651E-3</v>
      </c>
      <c r="AW31" s="50">
        <f xml:space="preserve"> IF(ISERROR(ROUND((1000*NPV($AT$1,$AV32:$AV$124)-$AW$1*($AU32+NPV($AT$1,$AU33:$AU$124)))/AU32,3)), 0, ROUND((1000*NPV($AT$1,$AV32:$AV$124)-$AW$1*($AU32+NPV($AT$1,$AU33:$AU$124)))/AU32,3))</f>
        <v>822.55399999999997</v>
      </c>
      <c r="AX31" s="50">
        <f>IF(ISERROR(ROUND(MAX(0,1000*NPV($AT$2,$AV32:$AV$124)-$AW$2*($AU32+NPV($AT$2,$AU33:$AU$124)))/AU32,3)), 0, ROUND(MAX(0,1000*NPV($AT$2,$AV32:$AV$124)-$AW$2*($AU32+NPV($AT$2,$AU33:$AU$124)))/AU32,3))</f>
        <v>761.89599999999996</v>
      </c>
    </row>
    <row r="32" spans="1:50" ht="15" x14ac:dyDescent="0.25">
      <c r="A32">
        <v>7</v>
      </c>
      <c r="B32">
        <v>4.1586347742672601E-4</v>
      </c>
      <c r="C32">
        <f t="shared" si="31"/>
        <v>3.9091166878112241E-4</v>
      </c>
      <c r="D32" s="60">
        <v>42</v>
      </c>
      <c r="E32" s="5">
        <v>1154835.3908824949</v>
      </c>
      <c r="F32" s="5">
        <v>34645.067139570136</v>
      </c>
      <c r="G32" s="8"/>
      <c r="H32" s="63"/>
      <c r="I32" s="51">
        <v>28</v>
      </c>
      <c r="J32" s="41"/>
      <c r="K32" s="41" t="str">
        <f t="shared" si="27"/>
        <v/>
      </c>
      <c r="L32" s="42">
        <f t="shared" si="28"/>
        <v>25</v>
      </c>
      <c r="M32" s="41">
        <f t="shared" si="29"/>
        <v>2000000</v>
      </c>
      <c r="N32" s="43">
        <f t="shared" si="1"/>
        <v>773.59500000000003</v>
      </c>
      <c r="O32" s="44">
        <f t="shared" si="2"/>
        <v>831.52700000000004</v>
      </c>
      <c r="P32" s="41">
        <f t="shared" si="3"/>
        <v>1547190</v>
      </c>
      <c r="Q32" s="41">
        <f t="shared" si="4"/>
        <v>1663054</v>
      </c>
      <c r="R32" s="44"/>
      <c r="S32" s="44">
        <f t="shared" si="12"/>
        <v>501.11199847578405</v>
      </c>
      <c r="T32" s="52">
        <f t="shared" si="30"/>
        <v>0</v>
      </c>
      <c r="U32" s="53">
        <f t="shared" si="13"/>
        <v>3.3713953848052499E-3</v>
      </c>
      <c r="V32" s="53">
        <f t="shared" si="14"/>
        <v>1.6894466789317936E-3</v>
      </c>
      <c r="W32" s="53">
        <f t="shared" si="15"/>
        <v>0</v>
      </c>
      <c r="X32" s="46">
        <f t="shared" si="5"/>
        <v>1.6819487058734562E-3</v>
      </c>
      <c r="Y32" s="54"/>
      <c r="Z32" s="41">
        <f t="shared" si="16"/>
        <v>5546.3095187061954</v>
      </c>
      <c r="AA32" s="41">
        <f t="shared" si="17"/>
        <v>67.427907696104995</v>
      </c>
      <c r="AB32" s="41">
        <f t="shared" si="6"/>
        <v>2797.1715230976747</v>
      </c>
      <c r="AC32" s="41">
        <f t="shared" si="7"/>
        <v>33.638974117469125</v>
      </c>
      <c r="AD32" s="54"/>
      <c r="AE32" s="41">
        <f t="shared" si="8"/>
        <v>0</v>
      </c>
      <c r="AF32" s="41"/>
      <c r="AG32" s="41">
        <f t="shared" si="9"/>
        <v>-4.2048717646836403E-2</v>
      </c>
      <c r="AH32" s="41">
        <f t="shared" si="18"/>
        <v>-3378.8933578635874</v>
      </c>
      <c r="AI32" s="41">
        <f t="shared" si="19"/>
        <v>0</v>
      </c>
      <c r="AJ32" s="41">
        <f t="shared" si="20"/>
        <v>-3378.9354065812345</v>
      </c>
      <c r="AK32" s="41">
        <f t="shared" si="10"/>
        <v>2749.1379956085207</v>
      </c>
      <c r="AL32" s="41">
        <f t="shared" si="21"/>
        <v>224.54949705609201</v>
      </c>
      <c r="AM32" s="41">
        <f t="shared" si="22"/>
        <v>-405.24791391662177</v>
      </c>
      <c r="AN32" s="41">
        <f t="shared" si="11"/>
        <v>33.78893357863587</v>
      </c>
      <c r="AO32" s="41">
        <f t="shared" si="23"/>
        <v>-371.45898033798591</v>
      </c>
      <c r="AP32" s="45"/>
      <c r="AQ32" s="55"/>
      <c r="AR32" s="48"/>
      <c r="AS32" s="48"/>
      <c r="AT32" s="51">
        <f t="shared" si="24"/>
        <v>28</v>
      </c>
      <c r="AU32" s="49">
        <f t="shared" si="25"/>
        <v>3.3713953848052499E-3</v>
      </c>
      <c r="AV32" s="49">
        <f t="shared" si="26"/>
        <v>1.6894466789317936E-3</v>
      </c>
      <c r="AW32" s="50">
        <f xml:space="preserve"> IF(ISERROR(ROUND((1000*NPV($AT$1,$AV33:$AV$124)-$AW$1*($AU33+NPV($AT$1,$AU34:$AU$124)))/AU33,3)), 0, ROUND((1000*NPV($AT$1,$AV33:$AV$124)-$AW$1*($AU33+NPV($AT$1,$AU34:$AU$124)))/AU33,3))</f>
        <v>831.52700000000004</v>
      </c>
      <c r="AX32" s="50">
        <f>IF(ISERROR(ROUND(MAX(0,1000*NPV($AT$2,$AV33:$AV$124)-$AW$2*($AU33+NPV($AT$2,$AU34:$AU$124)))/AU33,3)), 0, ROUND(MAX(0,1000*NPV($AT$2,$AV33:$AV$124)-$AW$2*($AU33+NPV($AT$2,$AU34:$AU$124)))/AU33,3))</f>
        <v>773.59500000000003</v>
      </c>
    </row>
    <row r="33" spans="1:50" ht="15" x14ac:dyDescent="0.25">
      <c r="A33">
        <v>8</v>
      </c>
      <c r="B33">
        <v>3.8716051526033201E-4</v>
      </c>
      <c r="C33">
        <f t="shared" si="31"/>
        <v>3.6393088434471209E-4</v>
      </c>
      <c r="D33" s="60">
        <v>43</v>
      </c>
      <c r="E33" s="5">
        <v>1191410.5920932135</v>
      </c>
      <c r="F33" s="5">
        <v>35742.323192535667</v>
      </c>
      <c r="G33" s="8"/>
      <c r="H33" s="63"/>
      <c r="I33" s="51">
        <v>29</v>
      </c>
      <c r="J33" s="41"/>
      <c r="K33" s="41" t="str">
        <f t="shared" si="27"/>
        <v/>
      </c>
      <c r="L33" s="42">
        <f t="shared" si="28"/>
        <v>25</v>
      </c>
      <c r="M33" s="41">
        <f t="shared" si="29"/>
        <v>2000000</v>
      </c>
      <c r="N33" s="43">
        <f t="shared" si="1"/>
        <v>784.36300000000006</v>
      </c>
      <c r="O33" s="44">
        <f t="shared" si="2"/>
        <v>839.76400000000001</v>
      </c>
      <c r="P33" s="41">
        <f t="shared" si="3"/>
        <v>1568726</v>
      </c>
      <c r="Q33" s="41">
        <f t="shared" si="4"/>
        <v>1679528</v>
      </c>
      <c r="R33" s="44"/>
      <c r="S33" s="44">
        <f t="shared" si="12"/>
        <v>533.70490532780798</v>
      </c>
      <c r="T33" s="52">
        <f t="shared" si="30"/>
        <v>0</v>
      </c>
      <c r="U33" s="53">
        <f t="shared" si="13"/>
        <v>1.6819487058734562E-3</v>
      </c>
      <c r="V33" s="53">
        <f t="shared" si="14"/>
        <v>8.976642748344221E-4</v>
      </c>
      <c r="W33" s="53">
        <f t="shared" si="15"/>
        <v>0</v>
      </c>
      <c r="X33" s="46">
        <f t="shared" si="5"/>
        <v>7.8428443103903411E-4</v>
      </c>
      <c r="Y33" s="54"/>
      <c r="Z33" s="41">
        <f t="shared" si="16"/>
        <v>2797.1715230976747</v>
      </c>
      <c r="AA33" s="41">
        <f t="shared" si="17"/>
        <v>33.638974117469125</v>
      </c>
      <c r="AB33" s="41">
        <f t="shared" si="6"/>
        <v>1317.2276618941269</v>
      </c>
      <c r="AC33" s="41">
        <f t="shared" si="7"/>
        <v>15.685688620780683</v>
      </c>
      <c r="AD33" s="54"/>
      <c r="AE33" s="41">
        <f t="shared" si="8"/>
        <v>0</v>
      </c>
      <c r="AF33" s="41"/>
      <c r="AG33" s="41">
        <f t="shared" si="9"/>
        <v>-1.9607110775975854E-2</v>
      </c>
      <c r="AH33" s="41">
        <f t="shared" si="18"/>
        <v>-1795.3285496688443</v>
      </c>
      <c r="AI33" s="41">
        <f t="shared" si="19"/>
        <v>0</v>
      </c>
      <c r="AJ33" s="41">
        <f t="shared" si="20"/>
        <v>-1795.3481567796202</v>
      </c>
      <c r="AK33" s="41">
        <f t="shared" si="10"/>
        <v>1479.9438612035478</v>
      </c>
      <c r="AL33" s="41">
        <f t="shared" si="21"/>
        <v>113.23241988860575</v>
      </c>
      <c r="AM33" s="41">
        <f t="shared" si="22"/>
        <v>-202.17187568746664</v>
      </c>
      <c r="AN33" s="41">
        <f t="shared" si="11"/>
        <v>17.953285496688444</v>
      </c>
      <c r="AO33" s="41">
        <f t="shared" si="23"/>
        <v>-184.2185901907782</v>
      </c>
      <c r="AP33" s="45"/>
      <c r="AQ33" s="55"/>
      <c r="AR33" s="48"/>
      <c r="AS33" s="48"/>
      <c r="AT33" s="51">
        <f t="shared" si="24"/>
        <v>29</v>
      </c>
      <c r="AU33" s="49">
        <f t="shared" si="25"/>
        <v>1.6819487058734562E-3</v>
      </c>
      <c r="AV33" s="49">
        <f t="shared" si="26"/>
        <v>8.976642748344221E-4</v>
      </c>
      <c r="AW33" s="50">
        <f xml:space="preserve"> IF(ISERROR(ROUND((1000*NPV($AT$1,$AV34:$AV$124)-$AW$1*($AU34+NPV($AT$1,$AU35:$AU$124)))/AU34,3)), 0, ROUND((1000*NPV($AT$1,$AV34:$AV$124)-$AW$1*($AU34+NPV($AT$1,$AU35:$AU$124)))/AU34,3))</f>
        <v>839.76400000000001</v>
      </c>
      <c r="AX33" s="50">
        <f>IF(ISERROR(ROUND(MAX(0,1000*NPV($AT$2,$AV34:$AV$124)-$AW$2*($AU34+NPV($AT$2,$AU35:$AU$124)))/AU34,3)), 0, ROUND(MAX(0,1000*NPV($AT$2,$AV34:$AV$124)-$AW$2*($AU34+NPV($AT$2,$AU35:$AU$124)))/AU34,3))</f>
        <v>784.36300000000006</v>
      </c>
    </row>
    <row r="34" spans="1:50" ht="15" x14ac:dyDescent="0.25">
      <c r="A34">
        <v>9</v>
      </c>
      <c r="B34">
        <v>3.8015418393122502E-4</v>
      </c>
      <c r="C34">
        <f t="shared" si="31"/>
        <v>3.5734493289535152E-4</v>
      </c>
      <c r="D34" s="60">
        <v>44</v>
      </c>
      <c r="E34" s="5">
        <v>1228791.1846213981</v>
      </c>
      <c r="F34" s="5">
        <v>36863.740981235285</v>
      </c>
      <c r="G34" s="8"/>
      <c r="H34" s="63"/>
      <c r="I34" s="51">
        <v>30</v>
      </c>
      <c r="J34" s="41"/>
      <c r="K34" s="41" t="str">
        <f t="shared" si="27"/>
        <v/>
      </c>
      <c r="L34" s="42">
        <f t="shared" si="28"/>
        <v>25</v>
      </c>
      <c r="M34" s="41">
        <f t="shared" si="29"/>
        <v>2000000</v>
      </c>
      <c r="N34" s="43">
        <f t="shared" si="1"/>
        <v>794.08799999999997</v>
      </c>
      <c r="O34" s="44">
        <f t="shared" si="2"/>
        <v>847.18700000000001</v>
      </c>
      <c r="P34" s="41">
        <f t="shared" si="3"/>
        <v>1588176</v>
      </c>
      <c r="Q34" s="41">
        <f t="shared" si="4"/>
        <v>1694374</v>
      </c>
      <c r="R34" s="44"/>
      <c r="S34" s="44">
        <f t="shared" si="12"/>
        <v>567.11456712952406</v>
      </c>
      <c r="T34" s="52">
        <f t="shared" si="30"/>
        <v>0</v>
      </c>
      <c r="U34" s="53">
        <f t="shared" si="13"/>
        <v>7.8428443103903411E-4</v>
      </c>
      <c r="V34" s="53">
        <f t="shared" si="14"/>
        <v>4.4477912561512688E-4</v>
      </c>
      <c r="W34" s="53">
        <f t="shared" si="15"/>
        <v>0</v>
      </c>
      <c r="X34" s="46">
        <f t="shared" si="5"/>
        <v>3.3950530542390723E-4</v>
      </c>
      <c r="Y34" s="54"/>
      <c r="Z34" s="41">
        <f t="shared" si="16"/>
        <v>1317.2276618941269</v>
      </c>
      <c r="AA34" s="41">
        <f t="shared" si="17"/>
        <v>15.685688620780683</v>
      </c>
      <c r="AB34" s="41">
        <f t="shared" si="6"/>
        <v>575.24896237232736</v>
      </c>
      <c r="AC34" s="41">
        <f t="shared" si="7"/>
        <v>6.7901061084781444</v>
      </c>
      <c r="AD34" s="54"/>
      <c r="AE34" s="41">
        <f t="shared" si="8"/>
        <v>0</v>
      </c>
      <c r="AF34" s="41"/>
      <c r="AG34" s="41">
        <f t="shared" si="9"/>
        <v>-8.4876326355976806E-3</v>
      </c>
      <c r="AH34" s="41">
        <f t="shared" si="18"/>
        <v>-889.55825123025375</v>
      </c>
      <c r="AI34" s="41">
        <f t="shared" si="19"/>
        <v>0</v>
      </c>
      <c r="AJ34" s="41">
        <f t="shared" si="20"/>
        <v>-889.56673886288934</v>
      </c>
      <c r="AK34" s="41">
        <f t="shared" si="10"/>
        <v>741.97869952179951</v>
      </c>
      <c r="AL34" s="41">
        <f t="shared" si="21"/>
        <v>53.316534020596301</v>
      </c>
      <c r="AM34" s="41">
        <f t="shared" si="22"/>
        <v>-94.271505320493532</v>
      </c>
      <c r="AN34" s="41">
        <f t="shared" si="11"/>
        <v>8.8955825123025392</v>
      </c>
      <c r="AO34" s="41">
        <f t="shared" si="23"/>
        <v>-85.375922808190992</v>
      </c>
      <c r="AP34" s="45"/>
      <c r="AQ34" s="55"/>
      <c r="AR34" s="48"/>
      <c r="AS34" s="48"/>
      <c r="AT34" s="51">
        <f t="shared" si="24"/>
        <v>30</v>
      </c>
      <c r="AU34" s="49">
        <f t="shared" si="25"/>
        <v>7.8428443103903411E-4</v>
      </c>
      <c r="AV34" s="49">
        <f t="shared" si="26"/>
        <v>4.4477912561512688E-4</v>
      </c>
      <c r="AW34" s="50">
        <f xml:space="preserve"> IF(ISERROR(ROUND((1000*NPV($AT$1,$AV35:$AV$124)-$AW$1*($AU35+NPV($AT$1,$AU36:$AU$124)))/AU35,3)), 0, ROUND((1000*NPV($AT$1,$AV35:$AV$124)-$AW$1*($AU35+NPV($AT$1,$AU36:$AU$124)))/AU35,3))</f>
        <v>847.18700000000001</v>
      </c>
      <c r="AX34" s="50">
        <f>IF(ISERROR(ROUND(MAX(0,1000*NPV($AT$2,$AV35:$AV$124)-$AW$2*($AU35+NPV($AT$2,$AU36:$AU$124)))/AU35,3)), 0, ROUND(MAX(0,1000*NPV($AT$2,$AV35:$AV$124)-$AW$2*($AU35+NPV($AT$2,$AU36:$AU$124)))/AU35,3))</f>
        <v>794.08799999999997</v>
      </c>
    </row>
    <row r="35" spans="1:50" ht="15" x14ac:dyDescent="0.25">
      <c r="A35">
        <v>10</v>
      </c>
      <c r="B35">
        <v>3.7632034048262801E-4</v>
      </c>
      <c r="C35">
        <f>B35*(1-$F$16)</f>
        <v>3.5374112005367032E-4</v>
      </c>
      <c r="D35" s="60">
        <v>45</v>
      </c>
      <c r="E35" s="5">
        <v>1266975.3651429226</v>
      </c>
      <c r="F35" s="5">
        <v>38009.266402121866</v>
      </c>
      <c r="G35" s="8"/>
      <c r="H35" s="63"/>
      <c r="I35" s="51">
        <v>31</v>
      </c>
      <c r="J35" s="41"/>
      <c r="K35" s="41" t="str">
        <f t="shared" si="27"/>
        <v/>
      </c>
      <c r="L35" s="42">
        <f t="shared" si="28"/>
        <v>25</v>
      </c>
      <c r="M35" s="41">
        <f t="shared" si="29"/>
        <v>2000000</v>
      </c>
      <c r="N35" s="43">
        <f t="shared" si="1"/>
        <v>803.01599999999996</v>
      </c>
      <c r="O35" s="44">
        <f t="shared" si="2"/>
        <v>853.98599999999999</v>
      </c>
      <c r="P35" s="41">
        <f t="shared" si="3"/>
        <v>1606032</v>
      </c>
      <c r="Q35" s="41">
        <f t="shared" si="4"/>
        <v>1707972</v>
      </c>
      <c r="R35" s="44"/>
      <c r="S35" s="44">
        <f t="shared" si="12"/>
        <v>599.82700092169</v>
      </c>
      <c r="T35" s="52">
        <f t="shared" si="30"/>
        <v>0</v>
      </c>
      <c r="U35" s="53">
        <f t="shared" si="13"/>
        <v>3.3950530542390723E-4</v>
      </c>
      <c r="V35" s="53">
        <f t="shared" si="14"/>
        <v>2.0364444914942463E-4</v>
      </c>
      <c r="W35" s="53">
        <f t="shared" si="15"/>
        <v>0</v>
      </c>
      <c r="X35" s="46">
        <f t="shared" si="5"/>
        <v>1.358608562744826E-4</v>
      </c>
      <c r="Y35" s="54"/>
      <c r="Z35" s="41">
        <f t="shared" si="16"/>
        <v>575.24896237232736</v>
      </c>
      <c r="AA35" s="41">
        <f t="shared" si="17"/>
        <v>6.7901061084781444</v>
      </c>
      <c r="AB35" s="41">
        <f t="shared" si="6"/>
        <v>232.04653841284059</v>
      </c>
      <c r="AC35" s="41">
        <f t="shared" si="7"/>
        <v>2.7172171254896518</v>
      </c>
      <c r="AD35" s="54"/>
      <c r="AE35" s="41">
        <f t="shared" si="8"/>
        <v>0</v>
      </c>
      <c r="AF35" s="41"/>
      <c r="AG35" s="41">
        <f t="shared" si="9"/>
        <v>-3.3965214068620649E-3</v>
      </c>
      <c r="AH35" s="41">
        <f t="shared" si="18"/>
        <v>-407.28889829884929</v>
      </c>
      <c r="AI35" s="41">
        <f t="shared" si="19"/>
        <v>0</v>
      </c>
      <c r="AJ35" s="41">
        <f t="shared" si="20"/>
        <v>-407.29229482025613</v>
      </c>
      <c r="AK35" s="41">
        <f t="shared" si="10"/>
        <v>343.20242395948674</v>
      </c>
      <c r="AL35" s="41">
        <f t="shared" si="21"/>
        <v>23.281562739232221</v>
      </c>
      <c r="AM35" s="41">
        <f t="shared" si="22"/>
        <v>-40.808308121537173</v>
      </c>
      <c r="AN35" s="41">
        <f t="shared" si="11"/>
        <v>4.0728889829884931</v>
      </c>
      <c r="AO35" s="41">
        <f t="shared" si="23"/>
        <v>-36.735419138548679</v>
      </c>
      <c r="AP35" s="45"/>
      <c r="AQ35" s="55"/>
      <c r="AR35" s="48"/>
      <c r="AS35" s="48"/>
      <c r="AT35" s="51">
        <f t="shared" si="24"/>
        <v>31</v>
      </c>
      <c r="AU35" s="49">
        <f t="shared" si="25"/>
        <v>3.3950530542390723E-4</v>
      </c>
      <c r="AV35" s="49">
        <f t="shared" si="26"/>
        <v>2.0364444914942463E-4</v>
      </c>
      <c r="AW35" s="50">
        <f xml:space="preserve"> IF(ISERROR(ROUND((1000*NPV($AT$1,$AV36:$AV$124)-$AW$1*($AU36+NPV($AT$1,$AU37:$AU$124)))/AU36,3)), 0, ROUND((1000*NPV($AT$1,$AV36:$AV$124)-$AW$1*($AU36+NPV($AT$1,$AU37:$AU$124)))/AU36,3))</f>
        <v>853.98599999999999</v>
      </c>
      <c r="AX35" s="50">
        <f>IF(ISERROR(ROUND(MAX(0,1000*NPV($AT$2,$AV36:$AV$124)-$AW$2*($AU36+NPV($AT$2,$AU37:$AU$124)))/AU36,3)), 0, ROUND(MAX(0,1000*NPV($AT$2,$AV36:$AV$124)-$AW$2*($AU36+NPV($AT$2,$AU37:$AU$124)))/AU36,3))</f>
        <v>803.01599999999996</v>
      </c>
    </row>
    <row r="36" spans="1:50" ht="15" x14ac:dyDescent="0.25">
      <c r="A36">
        <v>11</v>
      </c>
      <c r="B36">
        <v>4.1233024301578998E-4</v>
      </c>
      <c r="C36">
        <f t="shared" si="31"/>
        <v>3.8759042843484256E-4</v>
      </c>
      <c r="D36" s="60">
        <v>46</v>
      </c>
      <c r="E36" s="5">
        <v>1306225.9467005611</v>
      </c>
      <c r="F36" s="5">
        <v>39186.783964474918</v>
      </c>
      <c r="G36" s="8"/>
      <c r="H36" s="63"/>
      <c r="I36" s="51">
        <v>32</v>
      </c>
      <c r="J36" s="41"/>
      <c r="K36" s="41" t="str">
        <f t="shared" si="27"/>
        <v/>
      </c>
      <c r="L36" s="42">
        <f t="shared" si="28"/>
        <v>25</v>
      </c>
      <c r="M36" s="41">
        <f t="shared" si="29"/>
        <v>2000000</v>
      </c>
      <c r="N36" s="43">
        <f t="shared" si="1"/>
        <v>811.15800000000002</v>
      </c>
      <c r="O36" s="44">
        <f t="shared" si="2"/>
        <v>860.17200000000003</v>
      </c>
      <c r="P36" s="41">
        <f t="shared" si="3"/>
        <v>1622316</v>
      </c>
      <c r="Q36" s="41">
        <f t="shared" si="4"/>
        <v>1720344</v>
      </c>
      <c r="R36" s="44"/>
      <c r="S36" s="44">
        <f t="shared" si="12"/>
        <v>632.689994254402</v>
      </c>
      <c r="T36" s="52">
        <f t="shared" si="30"/>
        <v>0</v>
      </c>
      <c r="U36" s="53">
        <f t="shared" si="13"/>
        <v>1.358608562744826E-4</v>
      </c>
      <c r="V36" s="53">
        <f t="shared" si="14"/>
        <v>8.5957804375700518E-5</v>
      </c>
      <c r="W36" s="53">
        <f t="shared" si="15"/>
        <v>0</v>
      </c>
      <c r="X36" s="46">
        <f t="shared" si="5"/>
        <v>4.9903051898782079E-5</v>
      </c>
      <c r="Y36" s="54"/>
      <c r="Z36" s="41">
        <f t="shared" si="16"/>
        <v>232.04653841284059</v>
      </c>
      <c r="AA36" s="41">
        <f t="shared" si="17"/>
        <v>2.7172171254896518</v>
      </c>
      <c r="AB36" s="41">
        <f t="shared" si="6"/>
        <v>85.850415915758362</v>
      </c>
      <c r="AC36" s="41">
        <f t="shared" si="7"/>
        <v>0.99806103797564161</v>
      </c>
      <c r="AD36" s="54"/>
      <c r="AE36" s="41">
        <f t="shared" si="8"/>
        <v>0</v>
      </c>
      <c r="AF36" s="41"/>
      <c r="AG36" s="41">
        <f t="shared" si="9"/>
        <v>-1.2475762974695521E-3</v>
      </c>
      <c r="AH36" s="41">
        <f t="shared" si="18"/>
        <v>-171.91560875140104</v>
      </c>
      <c r="AI36" s="41">
        <f t="shared" si="19"/>
        <v>0</v>
      </c>
      <c r="AJ36" s="41">
        <f t="shared" si="20"/>
        <v>-171.9168563276985</v>
      </c>
      <c r="AK36" s="41">
        <f t="shared" si="10"/>
        <v>146.19612249708223</v>
      </c>
      <c r="AL36" s="41">
        <f t="shared" si="21"/>
        <v>9.3905502215332088</v>
      </c>
      <c r="AM36" s="41">
        <f t="shared" si="22"/>
        <v>-16.330183609083058</v>
      </c>
      <c r="AN36" s="41">
        <f t="shared" si="11"/>
        <v>1.7191560875140102</v>
      </c>
      <c r="AO36" s="41">
        <f t="shared" si="23"/>
        <v>-14.611027521569047</v>
      </c>
      <c r="AP36" s="45"/>
      <c r="AQ36" s="55"/>
      <c r="AR36" s="48"/>
      <c r="AS36" s="48"/>
      <c r="AT36" s="51">
        <f t="shared" si="24"/>
        <v>32</v>
      </c>
      <c r="AU36" s="49">
        <f t="shared" si="25"/>
        <v>1.358608562744826E-4</v>
      </c>
      <c r="AV36" s="49">
        <f t="shared" si="26"/>
        <v>8.5957804375700518E-5</v>
      </c>
      <c r="AW36" s="50">
        <f xml:space="preserve"> IF(ISERROR(ROUND((1000*NPV($AT$1,$AV37:$AV$124)-$AW$1*($AU37+NPV($AT$1,$AU38:$AU$124)))/AU37,3)), 0, ROUND((1000*NPV($AT$1,$AV37:$AV$124)-$AW$1*($AU37+NPV($AT$1,$AU38:$AU$124)))/AU37,3))</f>
        <v>860.17200000000003</v>
      </c>
      <c r="AX36" s="50">
        <f>IF(ISERROR(ROUND(MAX(0,1000*NPV($AT$2,$AV37:$AV$124)-$AW$2*($AU37+NPV($AT$2,$AU38:$AU$124)))/AU37,3)), 0, ROUND(MAX(0,1000*NPV($AT$2,$AV37:$AV$124)-$AW$2*($AU37+NPV($AT$2,$AU38:$AU$124)))/AU37,3))</f>
        <v>811.15800000000002</v>
      </c>
    </row>
    <row r="37" spans="1:50" ht="15" x14ac:dyDescent="0.25">
      <c r="A37">
        <v>12</v>
      </c>
      <c r="B37">
        <v>4.3716160267393001E-4</v>
      </c>
      <c r="C37">
        <f>B37*(1-$F$16)</f>
        <v>4.1093190651349417E-4</v>
      </c>
      <c r="D37" s="60">
        <v>47</v>
      </c>
      <c r="E37" s="5">
        <v>1346260.2270645599</v>
      </c>
      <c r="F37" s="5">
        <v>40387.8123557535</v>
      </c>
      <c r="G37" s="8"/>
      <c r="H37" s="63"/>
      <c r="I37" s="51">
        <v>33</v>
      </c>
      <c r="J37" s="41"/>
      <c r="K37" s="41" t="str">
        <f t="shared" si="27"/>
        <v/>
      </c>
      <c r="L37" s="42">
        <f t="shared" si="28"/>
        <v>25</v>
      </c>
      <c r="M37" s="41">
        <f t="shared" si="29"/>
        <v>2000000</v>
      </c>
      <c r="N37" s="43">
        <f t="shared" si="1"/>
        <v>818.41800000000001</v>
      </c>
      <c r="O37" s="44">
        <f t="shared" si="2"/>
        <v>865.68</v>
      </c>
      <c r="P37" s="41">
        <f t="shared" si="3"/>
        <v>1636836</v>
      </c>
      <c r="Q37" s="41">
        <f t="shared" si="4"/>
        <v>1731360</v>
      </c>
      <c r="R37" s="44"/>
      <c r="S37" s="44">
        <f t="shared" si="12"/>
        <v>665.529866689134</v>
      </c>
      <c r="T37" s="52">
        <f t="shared" si="30"/>
        <v>0</v>
      </c>
      <c r="U37" s="53">
        <f t="shared" si="13"/>
        <v>4.9903051898782079E-5</v>
      </c>
      <c r="V37" s="53">
        <f t="shared" si="14"/>
        <v>3.3211971477577376E-5</v>
      </c>
      <c r="W37" s="53">
        <f t="shared" si="15"/>
        <v>0</v>
      </c>
      <c r="X37" s="46">
        <f t="shared" si="5"/>
        <v>1.6691080421204703E-5</v>
      </c>
      <c r="Y37" s="54"/>
      <c r="Z37" s="41">
        <f t="shared" si="16"/>
        <v>85.850415915758362</v>
      </c>
      <c r="AA37" s="41">
        <f t="shared" si="17"/>
        <v>0.99806103797564161</v>
      </c>
      <c r="AB37" s="41">
        <f t="shared" si="6"/>
        <v>28.898268998056974</v>
      </c>
      <c r="AC37" s="41">
        <f t="shared" si="7"/>
        <v>0.33382160842409403</v>
      </c>
      <c r="AD37" s="54"/>
      <c r="AE37" s="41">
        <f t="shared" si="8"/>
        <v>0</v>
      </c>
      <c r="AF37" s="41"/>
      <c r="AG37" s="41">
        <f t="shared" si="9"/>
        <v>-4.1727701053011755E-4</v>
      </c>
      <c r="AH37" s="41">
        <f t="shared" si="18"/>
        <v>-66.423942955154757</v>
      </c>
      <c r="AI37" s="41">
        <f t="shared" si="19"/>
        <v>0</v>
      </c>
      <c r="AJ37" s="41">
        <f t="shared" si="20"/>
        <v>-66.424360232165284</v>
      </c>
      <c r="AK37" s="41">
        <f t="shared" si="10"/>
        <v>56.952146917701384</v>
      </c>
      <c r="AL37" s="41">
        <f t="shared" si="21"/>
        <v>3.4739390781493604</v>
      </c>
      <c r="AM37" s="41">
        <f t="shared" si="22"/>
        <v>-5.9982742363145398</v>
      </c>
      <c r="AN37" s="41">
        <f t="shared" si="11"/>
        <v>0.66423942955154758</v>
      </c>
      <c r="AO37" s="41">
        <f t="shared" si="23"/>
        <v>-5.3340348067629924</v>
      </c>
      <c r="AP37" s="45"/>
      <c r="AQ37" s="55"/>
      <c r="AR37" s="48"/>
      <c r="AS37" s="48"/>
      <c r="AT37" s="51">
        <f t="shared" si="24"/>
        <v>33</v>
      </c>
      <c r="AU37" s="49">
        <f t="shared" si="25"/>
        <v>4.9903051898782079E-5</v>
      </c>
      <c r="AV37" s="49">
        <f t="shared" si="26"/>
        <v>3.3211971477577376E-5</v>
      </c>
      <c r="AW37" s="50">
        <f xml:space="preserve"> IF(ISERROR(ROUND((1000*NPV($AT$1,$AV38:$AV$124)-$AW$1*($AU38+NPV($AT$1,$AU39:$AU$124)))/AU38,3)), 0, ROUND((1000*NPV($AT$1,$AV38:$AV$124)-$AW$1*($AU38+NPV($AT$1,$AU39:$AU$124)))/AU38,3))</f>
        <v>865.68</v>
      </c>
      <c r="AX37" s="50">
        <f>IF(ISERROR(ROUND(MAX(0,1000*NPV($AT$2,$AV38:$AV$124)-$AW$2*($AU38+NPV($AT$2,$AU39:$AU$124)))/AU38,3)), 0, ROUND(MAX(0,1000*NPV($AT$2,$AV38:$AV$124)-$AW$2*($AU38+NPV($AT$2,$AU39:$AU$124)))/AU38,3))</f>
        <v>818.41800000000001</v>
      </c>
    </row>
    <row r="38" spans="1:50" ht="15" x14ac:dyDescent="0.25">
      <c r="A38">
        <v>13</v>
      </c>
      <c r="B38">
        <v>4.8523694367386101E-4</v>
      </c>
      <c r="C38">
        <f t="shared" si="31"/>
        <v>4.5612272705342934E-4</v>
      </c>
      <c r="D38" s="60">
        <v>48</v>
      </c>
      <c r="E38" s="5">
        <v>1387022.0400069798</v>
      </c>
      <c r="F38" s="5">
        <v>41610.666694215033</v>
      </c>
      <c r="G38" s="8"/>
      <c r="H38" s="63"/>
      <c r="I38" s="51">
        <v>34</v>
      </c>
      <c r="J38" s="41"/>
      <c r="K38" s="41" t="str">
        <f t="shared" si="27"/>
        <v/>
      </c>
      <c r="L38" s="42">
        <f t="shared" si="28"/>
        <v>25</v>
      </c>
      <c r="M38" s="41">
        <f t="shared" si="29"/>
        <v>2000000</v>
      </c>
      <c r="N38" s="43">
        <f t="shared" si="1"/>
        <v>824.97500000000002</v>
      </c>
      <c r="O38" s="44">
        <f t="shared" si="2"/>
        <v>870.64499999999998</v>
      </c>
      <c r="P38" s="41">
        <f t="shared" si="3"/>
        <v>1649950</v>
      </c>
      <c r="Q38" s="41">
        <f t="shared" si="4"/>
        <v>1741290</v>
      </c>
      <c r="R38" s="44"/>
      <c r="S38" s="44">
        <f t="shared" si="12"/>
        <v>696.96977158840195</v>
      </c>
      <c r="T38" s="52">
        <f t="shared" si="30"/>
        <v>0</v>
      </c>
      <c r="U38" s="53">
        <f t="shared" si="13"/>
        <v>1.6691080421204703E-5</v>
      </c>
      <c r="V38" s="53">
        <f t="shared" si="14"/>
        <v>1.1633178508730689E-5</v>
      </c>
      <c r="W38" s="53">
        <f t="shared" si="15"/>
        <v>0</v>
      </c>
      <c r="X38" s="46">
        <f t="shared" si="5"/>
        <v>5.0579019124740137E-6</v>
      </c>
      <c r="Y38" s="54"/>
      <c r="Z38" s="41">
        <f t="shared" si="16"/>
        <v>28.898268998056974</v>
      </c>
      <c r="AA38" s="41">
        <f t="shared" si="17"/>
        <v>0.33382160842409403</v>
      </c>
      <c r="AB38" s="41">
        <f t="shared" si="6"/>
        <v>8.8072740211718745</v>
      </c>
      <c r="AC38" s="41">
        <f t="shared" si="7"/>
        <v>0.10115803824948028</v>
      </c>
      <c r="AD38" s="54"/>
      <c r="AE38" s="41">
        <f t="shared" si="8"/>
        <v>0</v>
      </c>
      <c r="AF38" s="41"/>
      <c r="AG38" s="41">
        <f t="shared" si="9"/>
        <v>-1.2644754781185034E-4</v>
      </c>
      <c r="AH38" s="41">
        <f t="shared" si="18"/>
        <v>-23.266357017461377</v>
      </c>
      <c r="AI38" s="41">
        <f t="shared" si="19"/>
        <v>0</v>
      </c>
      <c r="AJ38" s="41">
        <f t="shared" si="20"/>
        <v>-23.266483465009188</v>
      </c>
      <c r="AK38" s="41">
        <f t="shared" si="10"/>
        <v>20.090994976885099</v>
      </c>
      <c r="AL38" s="41">
        <f t="shared" si="21"/>
        <v>1.1692836242592428</v>
      </c>
      <c r="AM38" s="41">
        <f t="shared" si="22"/>
        <v>-2.0062048638648458</v>
      </c>
      <c r="AN38" s="41">
        <f t="shared" si="11"/>
        <v>0.23266357017461375</v>
      </c>
      <c r="AO38" s="41">
        <f t="shared" si="23"/>
        <v>-1.7735412936902319</v>
      </c>
      <c r="AP38" s="45"/>
      <c r="AQ38" s="55"/>
      <c r="AR38" s="48"/>
      <c r="AS38" s="48"/>
      <c r="AT38" s="51">
        <f t="shared" si="24"/>
        <v>34</v>
      </c>
      <c r="AU38" s="49">
        <f t="shared" si="25"/>
        <v>1.6691080421204703E-5</v>
      </c>
      <c r="AV38" s="49">
        <f t="shared" si="26"/>
        <v>1.1633178508730689E-5</v>
      </c>
      <c r="AW38" s="50">
        <f xml:space="preserve"> IF(ISERROR(ROUND((1000*NPV($AT$1,$AV39:$AV$124)-$AW$1*($AU39+NPV($AT$1,$AU40:$AU$124)))/AU39,3)), 0, ROUND((1000*NPV($AT$1,$AV39:$AV$124)-$AW$1*($AU39+NPV($AT$1,$AU40:$AU$124)))/AU39,3))</f>
        <v>870.64499999999998</v>
      </c>
      <c r="AX38" s="50">
        <f>IF(ISERROR(ROUND(MAX(0,1000*NPV($AT$2,$AV39:$AV$124)-$AW$2*($AU39+NPV($AT$2,$AU40:$AU$124)))/AU39,3)), 0, ROUND(MAX(0,1000*NPV($AT$2,$AV39:$AV$124)-$AW$2*($AU39+NPV($AT$2,$AU40:$AU$124)))/AU39,3))</f>
        <v>824.97500000000002</v>
      </c>
    </row>
    <row r="39" spans="1:50" ht="15" x14ac:dyDescent="0.25">
      <c r="A39">
        <v>14</v>
      </c>
      <c r="B39">
        <v>5.4486717927493299E-4</v>
      </c>
      <c r="C39">
        <f t="shared" si="31"/>
        <v>5.1217514851843694E-4</v>
      </c>
      <c r="D39" s="60">
        <v>49</v>
      </c>
      <c r="E39" s="5">
        <v>1428530.0135898413</v>
      </c>
      <c r="F39" s="5">
        <v>42855.905855868245</v>
      </c>
      <c r="G39" s="8"/>
      <c r="H39" s="63"/>
      <c r="I39" s="51">
        <v>35</v>
      </c>
      <c r="J39" s="41"/>
      <c r="K39" s="41" t="str">
        <f t="shared" si="27"/>
        <v/>
      </c>
      <c r="L39" s="42">
        <f t="shared" si="28"/>
        <v>25</v>
      </c>
      <c r="M39" s="41">
        <f t="shared" si="29"/>
        <v>2000000</v>
      </c>
      <c r="N39" s="43">
        <f t="shared" si="1"/>
        <v>830.73299999999995</v>
      </c>
      <c r="O39" s="44">
        <f t="shared" si="2"/>
        <v>874.99800000000005</v>
      </c>
      <c r="P39" s="41">
        <f t="shared" si="3"/>
        <v>1661466</v>
      </c>
      <c r="Q39" s="41">
        <f t="shared" si="4"/>
        <v>1749996</v>
      </c>
      <c r="R39" s="44"/>
      <c r="S39" s="44">
        <f t="shared" si="12"/>
        <v>727.72344648315607</v>
      </c>
      <c r="T39" s="52">
        <f t="shared" si="30"/>
        <v>0</v>
      </c>
      <c r="U39" s="53">
        <f t="shared" si="13"/>
        <v>5.0579019124740137E-6</v>
      </c>
      <c r="V39" s="53">
        <f t="shared" si="14"/>
        <v>3.6807538117193354E-6</v>
      </c>
      <c r="W39" s="53">
        <f t="shared" si="15"/>
        <v>0</v>
      </c>
      <c r="X39" s="46">
        <f t="shared" si="5"/>
        <v>1.3771481007546783E-6</v>
      </c>
      <c r="Y39" s="54"/>
      <c r="Z39" s="41">
        <f t="shared" si="16"/>
        <v>8.8072740211718745</v>
      </c>
      <c r="AA39" s="41">
        <f t="shared" si="17"/>
        <v>0.10115803824948028</v>
      </c>
      <c r="AB39" s="41">
        <f t="shared" si="6"/>
        <v>2.4100036677282839</v>
      </c>
      <c r="AC39" s="41">
        <f t="shared" si="7"/>
        <v>2.7542962015093566E-2</v>
      </c>
      <c r="AD39" s="54"/>
      <c r="AE39" s="41">
        <f t="shared" si="8"/>
        <v>0</v>
      </c>
      <c r="AF39" s="41"/>
      <c r="AG39" s="41">
        <f t="shared" si="9"/>
        <v>-3.4428702518866956E-5</v>
      </c>
      <c r="AH39" s="41">
        <f t="shared" si="18"/>
        <v>-7.3615076234386709</v>
      </c>
      <c r="AI39" s="41">
        <f t="shared" si="19"/>
        <v>0</v>
      </c>
      <c r="AJ39" s="41">
        <f t="shared" si="20"/>
        <v>-7.3615420521411901</v>
      </c>
      <c r="AK39" s="41">
        <f t="shared" si="10"/>
        <v>6.3972703534435906</v>
      </c>
      <c r="AL39" s="41">
        <f t="shared" si="21"/>
        <v>0.35633728237685419</v>
      </c>
      <c r="AM39" s="41">
        <f t="shared" si="22"/>
        <v>-0.60793441632074519</v>
      </c>
      <c r="AN39" s="41">
        <f t="shared" si="11"/>
        <v>7.3615076234386706E-2</v>
      </c>
      <c r="AO39" s="41">
        <f t="shared" si="23"/>
        <v>-0.53431934008635851</v>
      </c>
      <c r="AP39" s="45"/>
      <c r="AQ39" s="55"/>
      <c r="AR39" s="48"/>
      <c r="AS39" s="48"/>
      <c r="AT39" s="51">
        <f t="shared" si="24"/>
        <v>35</v>
      </c>
      <c r="AU39" s="49">
        <f t="shared" si="25"/>
        <v>5.0579019124740137E-6</v>
      </c>
      <c r="AV39" s="49">
        <f t="shared" si="26"/>
        <v>3.6807538117193354E-6</v>
      </c>
      <c r="AW39" s="50">
        <f xml:space="preserve"> IF(ISERROR(ROUND((1000*NPV($AT$1,$AV40:$AV$124)-$AW$1*($AU40+NPV($AT$1,$AU41:$AU$124)))/AU40,3)), 0, ROUND((1000*NPV($AT$1,$AV40:$AV$124)-$AW$1*($AU40+NPV($AT$1,$AU41:$AU$124)))/AU40,3))</f>
        <v>874.99800000000005</v>
      </c>
      <c r="AX39" s="50">
        <f>IF(ISERROR(ROUND(MAX(0,1000*NPV($AT$2,$AV40:$AV$124)-$AW$2*($AU40+NPV($AT$2,$AU41:$AU$124)))/AU40,3)), 0, ROUND(MAX(0,1000*NPV($AT$2,$AV40:$AV$124)-$AW$2*($AU40+NPV($AT$2,$AU41:$AU$124)))/AU40,3))</f>
        <v>830.73299999999995</v>
      </c>
    </row>
    <row r="40" spans="1:50" ht="15" x14ac:dyDescent="0.25">
      <c r="A40">
        <v>15</v>
      </c>
      <c r="B40">
        <v>6.5570701581385603E-4</v>
      </c>
      <c r="C40">
        <f t="shared" si="31"/>
        <v>6.1636459486502464E-4</v>
      </c>
      <c r="D40" s="60">
        <v>50</v>
      </c>
      <c r="E40" s="5">
        <v>1470770.0730327144</v>
      </c>
      <c r="F40" s="5">
        <v>44123.107583274599</v>
      </c>
      <c r="G40" s="8"/>
      <c r="H40" s="63"/>
      <c r="I40" s="51">
        <v>36</v>
      </c>
      <c r="J40" s="41"/>
      <c r="K40" s="41" t="str">
        <f t="shared" si="27"/>
        <v/>
      </c>
      <c r="L40" s="42">
        <f t="shared" si="28"/>
        <v>25</v>
      </c>
      <c r="M40" s="41">
        <f t="shared" si="29"/>
        <v>2000000</v>
      </c>
      <c r="N40" s="43">
        <f t="shared" si="1"/>
        <v>835.74300000000005</v>
      </c>
      <c r="O40" s="44">
        <f t="shared" si="2"/>
        <v>878.78200000000004</v>
      </c>
      <c r="P40" s="41">
        <f t="shared" si="3"/>
        <v>1671486</v>
      </c>
      <c r="Q40" s="41">
        <f t="shared" si="4"/>
        <v>1757564</v>
      </c>
      <c r="R40" s="44"/>
      <c r="S40" s="44">
        <f t="shared" si="12"/>
        <v>756.57738764420503</v>
      </c>
      <c r="T40" s="52">
        <f t="shared" si="30"/>
        <v>0</v>
      </c>
      <c r="U40" s="53">
        <f t="shared" si="13"/>
        <v>1.3771481007546783E-6</v>
      </c>
      <c r="V40" s="53">
        <f t="shared" si="14"/>
        <v>1.041919112468153E-6</v>
      </c>
      <c r="W40" s="53">
        <f t="shared" si="15"/>
        <v>0</v>
      </c>
      <c r="X40" s="46">
        <f t="shared" si="5"/>
        <v>3.3522898828652531E-7</v>
      </c>
      <c r="Y40" s="54"/>
      <c r="Z40" s="41">
        <f t="shared" si="16"/>
        <v>2.4100036677282839</v>
      </c>
      <c r="AA40" s="41">
        <f t="shared" si="17"/>
        <v>2.7542962015093566E-2</v>
      </c>
      <c r="AB40" s="41">
        <f t="shared" si="6"/>
        <v>0.58918640156881852</v>
      </c>
      <c r="AC40" s="41">
        <f t="shared" si="7"/>
        <v>6.7045797657305064E-3</v>
      </c>
      <c r="AD40" s="54"/>
      <c r="AE40" s="41">
        <f t="shared" si="8"/>
        <v>0</v>
      </c>
      <c r="AF40" s="41"/>
      <c r="AG40" s="41">
        <f t="shared" si="9"/>
        <v>-8.3807247071631335E-6</v>
      </c>
      <c r="AH40" s="41">
        <f t="shared" si="18"/>
        <v>-2.0838382249363061</v>
      </c>
      <c r="AI40" s="41">
        <f t="shared" si="19"/>
        <v>0</v>
      </c>
      <c r="AJ40" s="41">
        <f t="shared" si="20"/>
        <v>-2.0838466056610132</v>
      </c>
      <c r="AK40" s="41">
        <f t="shared" si="10"/>
        <v>1.8208172661594655</v>
      </c>
      <c r="AL40" s="41">
        <f t="shared" si="21"/>
        <v>9.750186518973511E-2</v>
      </c>
      <c r="AM40" s="41">
        <f t="shared" si="22"/>
        <v>-0.16552747431181261</v>
      </c>
      <c r="AN40" s="41">
        <f t="shared" si="11"/>
        <v>2.083838224936306E-2</v>
      </c>
      <c r="AO40" s="41">
        <f t="shared" si="23"/>
        <v>-0.14468909206244956</v>
      </c>
      <c r="AP40" s="45"/>
      <c r="AQ40" s="55"/>
      <c r="AR40" s="48"/>
      <c r="AS40" s="48"/>
      <c r="AT40" s="51">
        <f t="shared" si="24"/>
        <v>36</v>
      </c>
      <c r="AU40" s="49">
        <f t="shared" si="25"/>
        <v>1.3771481007546783E-6</v>
      </c>
      <c r="AV40" s="49">
        <f t="shared" si="26"/>
        <v>1.041919112468153E-6</v>
      </c>
      <c r="AW40" s="50">
        <f xml:space="preserve"> IF(ISERROR(ROUND((1000*NPV($AT$1,$AV41:$AV$124)-$AW$1*($AU41+NPV($AT$1,$AU42:$AU$124)))/AU41,3)), 0, ROUND((1000*NPV($AT$1,$AV41:$AV$124)-$AW$1*($AU41+NPV($AT$1,$AU42:$AU$124)))/AU41,3))</f>
        <v>878.78200000000004</v>
      </c>
      <c r="AX40" s="50">
        <f>IF(ISERROR(ROUND(MAX(0,1000*NPV($AT$2,$AV41:$AV$124)-$AW$2*($AU41+NPV($AT$2,$AU42:$AU$124)))/AU41,3)), 0, ROUND(MAX(0,1000*NPV($AT$2,$AV41:$AV$124)-$AW$2*($AU41+NPV($AT$2,$AU42:$AU$124)))/AU41,3))</f>
        <v>835.74300000000005</v>
      </c>
    </row>
    <row r="41" spans="1:50" ht="15" x14ac:dyDescent="0.25">
      <c r="A41">
        <v>16</v>
      </c>
      <c r="B41">
        <v>7.9361379296416501E-4</v>
      </c>
      <c r="C41">
        <f t="shared" si="31"/>
        <v>7.4599696538631512E-4</v>
      </c>
      <c r="D41" s="60">
        <v>51</v>
      </c>
      <c r="E41" s="5">
        <v>1513752.0664013436</v>
      </c>
      <c r="F41" s="5">
        <v>45412.567329273908</v>
      </c>
      <c r="G41" s="8"/>
      <c r="H41" s="63"/>
      <c r="I41" s="51">
        <v>37</v>
      </c>
      <c r="J41" s="41"/>
      <c r="K41" s="41" t="str">
        <f t="shared" si="27"/>
        <v/>
      </c>
      <c r="L41" s="42">
        <f t="shared" si="28"/>
        <v>25</v>
      </c>
      <c r="M41" s="41">
        <f t="shared" si="29"/>
        <v>2000000</v>
      </c>
      <c r="N41" s="43">
        <f t="shared" si="1"/>
        <v>840.24300000000005</v>
      </c>
      <c r="O41" s="44">
        <f t="shared" si="2"/>
        <v>882.17700000000002</v>
      </c>
      <c r="P41" s="41">
        <f t="shared" si="3"/>
        <v>1680486</v>
      </c>
      <c r="Q41" s="41">
        <f t="shared" si="4"/>
        <v>1764354</v>
      </c>
      <c r="R41" s="44"/>
      <c r="S41" s="44">
        <f t="shared" si="12"/>
        <v>782.96313709159506</v>
      </c>
      <c r="T41" s="52">
        <f t="shared" si="30"/>
        <v>0</v>
      </c>
      <c r="U41" s="53">
        <f t="shared" si="13"/>
        <v>3.3522898828652531E-7</v>
      </c>
      <c r="V41" s="53">
        <f t="shared" si="14"/>
        <v>2.6247194031285944E-7</v>
      </c>
      <c r="W41" s="53">
        <f t="shared" si="15"/>
        <v>0</v>
      </c>
      <c r="X41" s="46">
        <f t="shared" si="5"/>
        <v>7.2757047973665861E-8</v>
      </c>
      <c r="Y41" s="54"/>
      <c r="Z41" s="41">
        <f t="shared" si="16"/>
        <v>0.58918640156881852</v>
      </c>
      <c r="AA41" s="41">
        <f t="shared" si="17"/>
        <v>6.7045797657305064E-3</v>
      </c>
      <c r="AB41" s="41">
        <f t="shared" si="6"/>
        <v>0.12836918862052926</v>
      </c>
      <c r="AC41" s="41">
        <f t="shared" si="7"/>
        <v>1.4551409594733172E-3</v>
      </c>
      <c r="AD41" s="54"/>
      <c r="AE41" s="41">
        <f t="shared" si="8"/>
        <v>0</v>
      </c>
      <c r="AF41" s="41"/>
      <c r="AG41" s="41">
        <f t="shared" si="9"/>
        <v>-1.8189261993416464E-6</v>
      </c>
      <c r="AH41" s="41">
        <f t="shared" si="18"/>
        <v>-0.52494388062571884</v>
      </c>
      <c r="AI41" s="41">
        <f t="shared" si="19"/>
        <v>0</v>
      </c>
      <c r="AJ41" s="41">
        <f t="shared" si="20"/>
        <v>-0.52494569955191817</v>
      </c>
      <c r="AK41" s="41">
        <f t="shared" si="10"/>
        <v>0.46081721294828926</v>
      </c>
      <c r="AL41" s="41">
        <f t="shared" si="21"/>
        <v>2.383563925338196E-2</v>
      </c>
      <c r="AM41" s="41">
        <f t="shared" si="22"/>
        <v>-4.0292847350246949E-2</v>
      </c>
      <c r="AN41" s="41">
        <f t="shared" si="11"/>
        <v>5.249438806257189E-3</v>
      </c>
      <c r="AO41" s="41">
        <f t="shared" si="23"/>
        <v>-3.5043408543989761E-2</v>
      </c>
      <c r="AP41" s="45"/>
      <c r="AQ41" s="55"/>
      <c r="AR41" s="48"/>
      <c r="AS41" s="48"/>
      <c r="AT41" s="51">
        <f t="shared" si="24"/>
        <v>37</v>
      </c>
      <c r="AU41" s="49">
        <f t="shared" si="25"/>
        <v>3.3522898828652531E-7</v>
      </c>
      <c r="AV41" s="49">
        <f t="shared" si="26"/>
        <v>2.6247194031285944E-7</v>
      </c>
      <c r="AW41" s="50">
        <f xml:space="preserve"> IF(ISERROR(ROUND((1000*NPV($AT$1,$AV42:$AV$124)-$AW$1*($AU42+NPV($AT$1,$AU43:$AU$124)))/AU42,3)), 0, ROUND((1000*NPV($AT$1,$AV42:$AV$124)-$AW$1*($AU42+NPV($AT$1,$AU43:$AU$124)))/AU42,3))</f>
        <v>882.17700000000002</v>
      </c>
      <c r="AX41" s="50">
        <f>IF(ISERROR(ROUND(MAX(0,1000*NPV($AT$2,$AV42:$AV$124)-$AW$2*($AU42+NPV($AT$2,$AU43:$AU$124)))/AU42,3)), 0, ROUND(MAX(0,1000*NPV($AT$2,$AV42:$AV$124)-$AW$2*($AU42+NPV($AT$2,$AU43:$AU$124)))/AU42,3))</f>
        <v>840.24300000000005</v>
      </c>
    </row>
    <row r="42" spans="1:50" ht="15" x14ac:dyDescent="0.25">
      <c r="A42">
        <v>17</v>
      </c>
      <c r="B42">
        <v>9.5063126943828501E-4</v>
      </c>
      <c r="C42">
        <f t="shared" si="31"/>
        <v>8.9359339327198782E-4</v>
      </c>
      <c r="D42" s="60">
        <v>52</v>
      </c>
      <c r="E42" s="5">
        <v>1557400.4979054106</v>
      </c>
      <c r="F42" s="5">
        <v>46722.020185029251</v>
      </c>
      <c r="G42" s="8"/>
      <c r="H42" s="63"/>
      <c r="I42" s="51">
        <v>38</v>
      </c>
      <c r="J42" s="41"/>
      <c r="K42" s="41" t="str">
        <f t="shared" si="27"/>
        <v/>
      </c>
      <c r="L42" s="42">
        <f t="shared" si="28"/>
        <v>25</v>
      </c>
      <c r="M42" s="41">
        <f t="shared" si="29"/>
        <v>2000000</v>
      </c>
      <c r="N42" s="43">
        <f t="shared" si="1"/>
        <v>844.25900000000001</v>
      </c>
      <c r="O42" s="44">
        <f t="shared" si="2"/>
        <v>885.20299999999997</v>
      </c>
      <c r="P42" s="41">
        <f t="shared" si="3"/>
        <v>1688518</v>
      </c>
      <c r="Q42" s="41">
        <f t="shared" si="4"/>
        <v>1770406</v>
      </c>
      <c r="R42" s="44"/>
      <c r="S42" s="44">
        <f t="shared" si="12"/>
        <v>807.99451765353501</v>
      </c>
      <c r="T42" s="52">
        <f t="shared" si="30"/>
        <v>0</v>
      </c>
      <c r="U42" s="53">
        <f t="shared" si="13"/>
        <v>7.2757047973665861E-8</v>
      </c>
      <c r="V42" s="53">
        <f t="shared" si="14"/>
        <v>5.8787295883377252E-8</v>
      </c>
      <c r="W42" s="53">
        <f t="shared" si="15"/>
        <v>0</v>
      </c>
      <c r="X42" s="46">
        <f t="shared" si="5"/>
        <v>1.3969752090288609E-8</v>
      </c>
      <c r="Y42" s="54"/>
      <c r="Z42" s="41">
        <f t="shared" si="16"/>
        <v>0.12836918862052926</v>
      </c>
      <c r="AA42" s="41">
        <f t="shared" si="17"/>
        <v>1.4551409594733172E-3</v>
      </c>
      <c r="AB42" s="41">
        <f t="shared" si="6"/>
        <v>2.4732132919159495E-2</v>
      </c>
      <c r="AC42" s="41">
        <f t="shared" si="7"/>
        <v>2.7939504180577216E-4</v>
      </c>
      <c r="AD42" s="54"/>
      <c r="AE42" s="41">
        <f t="shared" si="8"/>
        <v>0</v>
      </c>
      <c r="AF42" s="41"/>
      <c r="AG42" s="41">
        <f t="shared" si="9"/>
        <v>-3.4924380225721521E-7</v>
      </c>
      <c r="AH42" s="41">
        <f t="shared" si="18"/>
        <v>-0.1175745917667545</v>
      </c>
      <c r="AI42" s="41">
        <f t="shared" si="19"/>
        <v>0</v>
      </c>
      <c r="AJ42" s="41">
        <f t="shared" si="20"/>
        <v>-0.11757494101055675</v>
      </c>
      <c r="AK42" s="41">
        <f t="shared" si="10"/>
        <v>0.10363705570136977</v>
      </c>
      <c r="AL42" s="41">
        <f t="shared" si="21"/>
        <v>5.1929731832001036E-3</v>
      </c>
      <c r="AM42" s="41">
        <f t="shared" si="22"/>
        <v>-8.7449121259868742E-3</v>
      </c>
      <c r="AN42" s="41">
        <f t="shared" si="11"/>
        <v>1.175745917667545E-3</v>
      </c>
      <c r="AO42" s="41">
        <f t="shared" si="23"/>
        <v>-7.5691662083193292E-3</v>
      </c>
      <c r="AP42" s="45"/>
      <c r="AQ42" s="55"/>
      <c r="AR42" s="48"/>
      <c r="AS42" s="48"/>
      <c r="AT42" s="51">
        <f t="shared" si="24"/>
        <v>38</v>
      </c>
      <c r="AU42" s="49">
        <f t="shared" si="25"/>
        <v>7.2757047973665861E-8</v>
      </c>
      <c r="AV42" s="49">
        <f t="shared" si="26"/>
        <v>5.8787295883377252E-8</v>
      </c>
      <c r="AW42" s="50">
        <f xml:space="preserve"> IF(ISERROR(ROUND((1000*NPV($AT$1,$AV43:$AV$124)-$AW$1*($AU43+NPV($AT$1,$AU44:$AU$124)))/AU43,3)), 0, ROUND((1000*NPV($AT$1,$AV43:$AV$124)-$AW$1*($AU43+NPV($AT$1,$AU44:$AU$124)))/AU43,3))</f>
        <v>885.20299999999997</v>
      </c>
      <c r="AX42" s="50">
        <f>IF(ISERROR(ROUND(MAX(0,1000*NPV($AT$2,$AV43:$AV$124)-$AW$2*($AU43+NPV($AT$2,$AU44:$AU$124)))/AU43,3)), 0, ROUND(MAX(0,1000*NPV($AT$2,$AV43:$AV$124)-$AW$2*($AU43+NPV($AT$2,$AU44:$AU$124)))/AU43,3))</f>
        <v>844.25900000000001</v>
      </c>
    </row>
    <row r="43" spans="1:50" ht="15" x14ac:dyDescent="0.25">
      <c r="A43">
        <v>18</v>
      </c>
      <c r="B43">
        <v>1.1369100273304099E-3</v>
      </c>
      <c r="C43">
        <f t="shared" si="31"/>
        <v>1.0686954256905854E-3</v>
      </c>
      <c r="D43" s="60">
        <v>53</v>
      </c>
      <c r="E43" s="5">
        <v>1601638.1350234849</v>
      </c>
      <c r="F43" s="5">
        <v>48049.149177013198</v>
      </c>
      <c r="G43" s="8"/>
      <c r="H43" s="63"/>
      <c r="I43" s="51">
        <v>39</v>
      </c>
      <c r="J43" s="41"/>
      <c r="K43" s="41" t="str">
        <f t="shared" si="27"/>
        <v/>
      </c>
      <c r="L43" s="42">
        <f t="shared" si="28"/>
        <v>25</v>
      </c>
      <c r="M43" s="41">
        <f t="shared" si="29"/>
        <v>2000000</v>
      </c>
      <c r="N43" s="43">
        <f t="shared" si="1"/>
        <v>847.81799999999998</v>
      </c>
      <c r="O43" s="44">
        <f t="shared" si="2"/>
        <v>887.88199999999995</v>
      </c>
      <c r="P43" s="41">
        <f t="shared" si="3"/>
        <v>1695636</v>
      </c>
      <c r="Q43" s="41">
        <f t="shared" si="4"/>
        <v>1775764</v>
      </c>
      <c r="R43" s="44"/>
      <c r="S43" s="44">
        <f t="shared" si="12"/>
        <v>831.47425398142104</v>
      </c>
      <c r="T43" s="52">
        <f t="shared" si="30"/>
        <v>0</v>
      </c>
      <c r="U43" s="53">
        <f t="shared" si="13"/>
        <v>1.3969752090288609E-8</v>
      </c>
      <c r="V43" s="53">
        <f t="shared" si="14"/>
        <v>1.1615489197578118E-8</v>
      </c>
      <c r="W43" s="53">
        <f t="shared" si="15"/>
        <v>0</v>
      </c>
      <c r="X43" s="46">
        <f t="shared" si="5"/>
        <v>2.3542628927104909E-9</v>
      </c>
      <c r="Y43" s="54"/>
      <c r="Z43" s="41">
        <f t="shared" si="16"/>
        <v>2.4732132919159495E-2</v>
      </c>
      <c r="AA43" s="41">
        <f t="shared" si="17"/>
        <v>2.7939504180577216E-4</v>
      </c>
      <c r="AB43" s="41">
        <f t="shared" si="6"/>
        <v>4.1806152914111525E-3</v>
      </c>
      <c r="AC43" s="41">
        <f t="shared" si="7"/>
        <v>4.708525785420982E-5</v>
      </c>
      <c r="AD43" s="54"/>
      <c r="AE43" s="41">
        <f t="shared" si="8"/>
        <v>0</v>
      </c>
      <c r="AF43" s="41"/>
      <c r="AG43" s="41">
        <f t="shared" si="9"/>
        <v>-5.8856572317762271E-8</v>
      </c>
      <c r="AH43" s="41">
        <f t="shared" si="18"/>
        <v>-2.3230978395156237E-2</v>
      </c>
      <c r="AI43" s="41">
        <f t="shared" si="19"/>
        <v>0</v>
      </c>
      <c r="AJ43" s="41">
        <f t="shared" si="20"/>
        <v>-2.3231037251728554E-2</v>
      </c>
      <c r="AK43" s="41">
        <f t="shared" si="10"/>
        <v>2.0551517627748345E-2</v>
      </c>
      <c r="AL43" s="41">
        <f t="shared" si="21"/>
        <v>1.0004611184386107E-3</v>
      </c>
      <c r="AM43" s="41">
        <f t="shared" si="22"/>
        <v>-1.6790585055415988E-3</v>
      </c>
      <c r="AN43" s="41">
        <f t="shared" si="11"/>
        <v>2.3230978395156235E-4</v>
      </c>
      <c r="AO43" s="41">
        <f t="shared" si="23"/>
        <v>-1.4467487215900365E-3</v>
      </c>
      <c r="AP43" s="45"/>
      <c r="AQ43" s="55"/>
      <c r="AR43" s="48"/>
      <c r="AS43" s="48"/>
      <c r="AT43" s="51">
        <f t="shared" si="24"/>
        <v>39</v>
      </c>
      <c r="AU43" s="49">
        <f t="shared" si="25"/>
        <v>1.3969752090288609E-8</v>
      </c>
      <c r="AV43" s="49">
        <f t="shared" si="26"/>
        <v>1.1615489197578118E-8</v>
      </c>
      <c r="AW43" s="50">
        <f xml:space="preserve"> IF(ISERROR(ROUND((1000*NPV($AT$1,$AV44:$AV$124)-$AW$1*($AU44+NPV($AT$1,$AU45:$AU$124)))/AU44,3)), 0, ROUND((1000*NPV($AT$1,$AV44:$AV$124)-$AW$1*($AU44+NPV($AT$1,$AU45:$AU$124)))/AU44,3))</f>
        <v>887.88199999999995</v>
      </c>
      <c r="AX43" s="50">
        <f>IF(ISERROR(ROUND(MAX(0,1000*NPV($AT$2,$AV44:$AV$124)-$AW$2*($AU44+NPV($AT$2,$AU45:$AU$124)))/AU44,3)), 0, ROUND(MAX(0,1000*NPV($AT$2,$AV44:$AV$124)-$AW$2*($AU44+NPV($AT$2,$AU45:$AU$124)))/AU44,3))</f>
        <v>847.81799999999998</v>
      </c>
    </row>
    <row r="44" spans="1:50" ht="15" x14ac:dyDescent="0.25">
      <c r="A44">
        <v>19</v>
      </c>
      <c r="B44">
        <v>1.0283993510007399E-3</v>
      </c>
      <c r="C44">
        <f t="shared" si="31"/>
        <v>9.6669538994069546E-4</v>
      </c>
      <c r="D44" s="60">
        <v>54</v>
      </c>
      <c r="E44" s="5">
        <v>1646429.7590251886</v>
      </c>
      <c r="F44" s="5">
        <v>49392.89776296902</v>
      </c>
      <c r="G44" s="8"/>
      <c r="H44" s="63"/>
      <c r="I44" s="51">
        <v>40</v>
      </c>
      <c r="J44" s="41"/>
      <c r="K44" s="41" t="str">
        <f t="shared" si="27"/>
        <v/>
      </c>
      <c r="L44" s="42">
        <f t="shared" si="28"/>
        <v>25</v>
      </c>
      <c r="M44" s="41">
        <f t="shared" si="29"/>
        <v>2000000</v>
      </c>
      <c r="N44" s="43">
        <f t="shared" si="1"/>
        <v>850.95399999999995</v>
      </c>
      <c r="O44" s="44">
        <f t="shared" si="2"/>
        <v>890.24099999999999</v>
      </c>
      <c r="P44" s="41">
        <f t="shared" si="3"/>
        <v>1701908</v>
      </c>
      <c r="Q44" s="41">
        <f t="shared" si="4"/>
        <v>1780482</v>
      </c>
      <c r="R44" s="44"/>
      <c r="S44" s="44">
        <f t="shared" si="12"/>
        <v>853.24229832306992</v>
      </c>
      <c r="T44" s="52">
        <f t="shared" si="30"/>
        <v>0</v>
      </c>
      <c r="U44" s="53">
        <f t="shared" si="13"/>
        <v>2.3542628927104909E-9</v>
      </c>
      <c r="V44" s="53">
        <f t="shared" si="14"/>
        <v>2.0087566814330181E-9</v>
      </c>
      <c r="W44" s="53">
        <f t="shared" si="15"/>
        <v>0</v>
      </c>
      <c r="X44" s="46">
        <f t="shared" si="5"/>
        <v>3.4550621127747277E-10</v>
      </c>
      <c r="Y44" s="54"/>
      <c r="Z44" s="41">
        <f t="shared" si="16"/>
        <v>4.1806152914111525E-3</v>
      </c>
      <c r="AA44" s="41">
        <f t="shared" si="17"/>
        <v>4.708525785420982E-5</v>
      </c>
      <c r="AB44" s="41">
        <f t="shared" si="6"/>
        <v>6.1516759006773731E-4</v>
      </c>
      <c r="AC44" s="41">
        <f t="shared" si="7"/>
        <v>6.9101242255494553E-6</v>
      </c>
      <c r="AD44" s="54"/>
      <c r="AE44" s="41">
        <f t="shared" si="8"/>
        <v>0</v>
      </c>
      <c r="AF44" s="41"/>
      <c r="AG44" s="41">
        <f t="shared" si="9"/>
        <v>-8.6376552819368192E-9</v>
      </c>
      <c r="AH44" s="41">
        <f t="shared" si="18"/>
        <v>-4.0175133628660362E-3</v>
      </c>
      <c r="AI44" s="41">
        <f t="shared" si="19"/>
        <v>0</v>
      </c>
      <c r="AJ44" s="41">
        <f t="shared" si="20"/>
        <v>-4.0175220005213182E-3</v>
      </c>
      <c r="AK44" s="41">
        <f t="shared" si="10"/>
        <v>3.565447701343415E-3</v>
      </c>
      <c r="AL44" s="41">
        <f t="shared" si="21"/>
        <v>1.6910802197061449E-4</v>
      </c>
      <c r="AM44" s="41">
        <f t="shared" si="22"/>
        <v>-2.8296627720728865E-4</v>
      </c>
      <c r="AN44" s="41">
        <f t="shared" si="11"/>
        <v>4.0175133628660364E-5</v>
      </c>
      <c r="AO44" s="41">
        <f t="shared" si="23"/>
        <v>-2.4279114357862828E-4</v>
      </c>
      <c r="AP44" s="45"/>
      <c r="AQ44" s="55"/>
      <c r="AR44" s="48"/>
      <c r="AS44" s="48"/>
      <c r="AT44" s="51">
        <f t="shared" si="24"/>
        <v>40</v>
      </c>
      <c r="AU44" s="49">
        <f t="shared" si="25"/>
        <v>2.3542628927104909E-9</v>
      </c>
      <c r="AV44" s="49">
        <f t="shared" si="26"/>
        <v>2.0087566814330181E-9</v>
      </c>
      <c r="AW44" s="50">
        <f xml:space="preserve"> IF(ISERROR(ROUND((1000*NPV($AT$1,$AV45:$AV$124)-$AW$1*($AU45+NPV($AT$1,$AU46:$AU$124)))/AU45,3)), 0, ROUND((1000*NPV($AT$1,$AV45:$AV$124)-$AW$1*($AU45+NPV($AT$1,$AU46:$AU$124)))/AU45,3))</f>
        <v>890.24099999999999</v>
      </c>
      <c r="AX44" s="50">
        <f>IF(ISERROR(ROUND(MAX(0,1000*NPV($AT$2,$AV45:$AV$124)-$AW$2*($AU45+NPV($AT$2,$AU46:$AU$124)))/AU45,3)), 0, ROUND(MAX(0,1000*NPV($AT$2,$AV45:$AV$124)-$AW$2*($AU45+NPV($AT$2,$AU46:$AU$124)))/AU45,3))</f>
        <v>850.95399999999995</v>
      </c>
    </row>
    <row r="45" spans="1:50" ht="15" x14ac:dyDescent="0.25">
      <c r="A45">
        <v>20</v>
      </c>
      <c r="B45">
        <v>1.11549916396647E-3</v>
      </c>
      <c r="C45">
        <f t="shared" si="31"/>
        <v>1.0485692141284817E-3</v>
      </c>
      <c r="D45" s="60">
        <v>55</v>
      </c>
      <c r="E45" s="5">
        <v>1691684.3436856426</v>
      </c>
      <c r="F45" s="5">
        <v>50750.535136420629</v>
      </c>
      <c r="G45" s="8"/>
      <c r="H45" s="63"/>
      <c r="I45" s="51">
        <v>41</v>
      </c>
      <c r="J45" s="41"/>
      <c r="K45" s="41" t="str">
        <f t="shared" si="27"/>
        <v/>
      </c>
      <c r="L45" s="42">
        <f t="shared" si="28"/>
        <v>25</v>
      </c>
      <c r="M45" s="41">
        <f t="shared" si="29"/>
        <v>2000000</v>
      </c>
      <c r="N45" s="43">
        <f t="shared" si="1"/>
        <v>853.71500000000003</v>
      </c>
      <c r="O45" s="44">
        <f t="shared" si="2"/>
        <v>892.31600000000003</v>
      </c>
      <c r="P45" s="41">
        <f t="shared" si="3"/>
        <v>1707430</v>
      </c>
      <c r="Q45" s="41">
        <f t="shared" si="4"/>
        <v>1784632</v>
      </c>
      <c r="R45" s="44"/>
      <c r="S45" s="44">
        <f t="shared" si="12"/>
        <v>873.193318434395</v>
      </c>
      <c r="T45" s="52">
        <f t="shared" si="30"/>
        <v>0</v>
      </c>
      <c r="U45" s="53">
        <f t="shared" si="13"/>
        <v>3.4550621127747277E-10</v>
      </c>
      <c r="V45" s="53">
        <f t="shared" si="14"/>
        <v>3.0169371516507167E-10</v>
      </c>
      <c r="W45" s="53">
        <f t="shared" si="15"/>
        <v>0</v>
      </c>
      <c r="X45" s="46">
        <f t="shared" si="5"/>
        <v>4.3812496112401097E-11</v>
      </c>
      <c r="Y45" s="54"/>
      <c r="Z45" s="41">
        <f t="shared" si="16"/>
        <v>6.1516759006773731E-4</v>
      </c>
      <c r="AA45" s="41">
        <f t="shared" si="17"/>
        <v>6.9101242255494553E-6</v>
      </c>
      <c r="AB45" s="41">
        <f t="shared" si="6"/>
        <v>7.8189182562066599E-5</v>
      </c>
      <c r="AC45" s="41">
        <f t="shared" si="7"/>
        <v>8.7624992224802195E-7</v>
      </c>
      <c r="AD45" s="54"/>
      <c r="AE45" s="41">
        <f t="shared" si="8"/>
        <v>0</v>
      </c>
      <c r="AF45" s="41"/>
      <c r="AG45" s="41">
        <f t="shared" si="9"/>
        <v>-1.0953124028100274E-9</v>
      </c>
      <c r="AH45" s="41">
        <f t="shared" si="18"/>
        <v>-6.0338743033014331E-4</v>
      </c>
      <c r="AI45" s="41">
        <f t="shared" si="19"/>
        <v>0</v>
      </c>
      <c r="AJ45" s="41">
        <f t="shared" si="20"/>
        <v>-6.0338852564254615E-4</v>
      </c>
      <c r="AK45" s="41">
        <f t="shared" si="10"/>
        <v>5.3697840750567072E-4</v>
      </c>
      <c r="AL45" s="41">
        <f t="shared" si="21"/>
        <v>2.4883108571731472E-5</v>
      </c>
      <c r="AM45" s="41">
        <f t="shared" si="22"/>
        <v>-4.1527009565143955E-5</v>
      </c>
      <c r="AN45" s="41">
        <f t="shared" si="11"/>
        <v>6.0338743033014332E-6</v>
      </c>
      <c r="AO45" s="41">
        <f t="shared" si="23"/>
        <v>-3.5493135261842519E-5</v>
      </c>
      <c r="AP45" s="45"/>
      <c r="AQ45" s="55"/>
      <c r="AR45" s="48"/>
      <c r="AS45" s="48"/>
      <c r="AT45" s="51">
        <f t="shared" si="24"/>
        <v>41</v>
      </c>
      <c r="AU45" s="49">
        <f t="shared" si="25"/>
        <v>3.4550621127747277E-10</v>
      </c>
      <c r="AV45" s="49">
        <f t="shared" si="26"/>
        <v>3.0169371516507167E-10</v>
      </c>
      <c r="AW45" s="50">
        <f xml:space="preserve"> IF(ISERROR(ROUND((1000*NPV($AT$1,$AV46:$AV$124)-$AW$1*($AU46+NPV($AT$1,$AU47:$AU$124)))/AU46,3)), 0, ROUND((1000*NPV($AT$1,$AV46:$AV$124)-$AW$1*($AU46+NPV($AT$1,$AU47:$AU$124)))/AU46,3))</f>
        <v>892.31600000000003</v>
      </c>
      <c r="AX45" s="50">
        <f>IF(ISERROR(ROUND(MAX(0,1000*NPV($AT$2,$AV46:$AV$124)-$AW$2*($AU46+NPV($AT$2,$AU47:$AU$124)))/AU46,3)), 0, ROUND(MAX(0,1000*NPV($AT$2,$AV46:$AV$124)-$AW$2*($AU46+NPV($AT$2,$AU47:$AU$124)))/AU46,3))</f>
        <v>853.71500000000003</v>
      </c>
    </row>
    <row r="46" spans="1:50" ht="15" x14ac:dyDescent="0.25">
      <c r="A46">
        <v>21</v>
      </c>
      <c r="B46">
        <v>1.20387355028129E-3</v>
      </c>
      <c r="C46">
        <f t="shared" si="31"/>
        <v>1.1316411372644126E-3</v>
      </c>
      <c r="D46" s="60">
        <v>56</v>
      </c>
      <c r="E46" s="5">
        <v>1738212.3423435285</v>
      </c>
      <c r="F46" s="5">
        <v>52146.375240075053</v>
      </c>
      <c r="G46" s="8"/>
      <c r="H46" s="63"/>
      <c r="I46" s="51">
        <v>42</v>
      </c>
      <c r="J46" s="41"/>
      <c r="K46" s="41" t="str">
        <f t="shared" si="27"/>
        <v/>
      </c>
      <c r="L46" s="42">
        <f t="shared" si="28"/>
        <v>25</v>
      </c>
      <c r="M46" s="41">
        <f t="shared" si="29"/>
        <v>2000000</v>
      </c>
      <c r="N46" s="43">
        <f t="shared" si="1"/>
        <v>856.14400000000001</v>
      </c>
      <c r="O46" s="44">
        <f t="shared" si="2"/>
        <v>894.14099999999996</v>
      </c>
      <c r="P46" s="41">
        <f t="shared" si="3"/>
        <v>1712288</v>
      </c>
      <c r="Q46" s="41">
        <f t="shared" si="4"/>
        <v>1788282</v>
      </c>
      <c r="R46" s="44"/>
      <c r="S46" s="44">
        <f t="shared" si="12"/>
        <v>891.39931411406508</v>
      </c>
      <c r="T46" s="52">
        <f t="shared" si="30"/>
        <v>0</v>
      </c>
      <c r="U46" s="53">
        <f t="shared" si="13"/>
        <v>4.3812496112401097E-11</v>
      </c>
      <c r="V46" s="53">
        <f t="shared" si="14"/>
        <v>3.9054428984219482E-11</v>
      </c>
      <c r="W46" s="53">
        <f t="shared" si="15"/>
        <v>0</v>
      </c>
      <c r="X46" s="46">
        <f t="shared" si="5"/>
        <v>4.7580671281816142E-12</v>
      </c>
      <c r="Y46" s="54"/>
      <c r="Z46" s="41">
        <f t="shared" si="16"/>
        <v>7.8189182562066599E-5</v>
      </c>
      <c r="AA46" s="41">
        <f t="shared" si="17"/>
        <v>8.7624992224802195E-7</v>
      </c>
      <c r="AB46" s="41">
        <f t="shared" si="6"/>
        <v>8.5087658001188737E-6</v>
      </c>
      <c r="AC46" s="41">
        <f t="shared" si="7"/>
        <v>9.5161342563632291E-8</v>
      </c>
      <c r="AD46" s="54"/>
      <c r="AE46" s="41">
        <f t="shared" si="8"/>
        <v>0</v>
      </c>
      <c r="AF46" s="41"/>
      <c r="AG46" s="41">
        <f t="shared" si="9"/>
        <v>-1.1895167820454035E-10</v>
      </c>
      <c r="AH46" s="41">
        <f t="shared" si="18"/>
        <v>-7.8108857968438961E-5</v>
      </c>
      <c r="AI46" s="41">
        <f t="shared" si="19"/>
        <v>0</v>
      </c>
      <c r="AJ46" s="41">
        <f t="shared" si="20"/>
        <v>-7.8108976920117167E-5</v>
      </c>
      <c r="AK46" s="41">
        <f t="shared" si="10"/>
        <v>6.968041676194773E-5</v>
      </c>
      <c r="AL46" s="41">
        <f t="shared" si="21"/>
        <v>3.162617299372585E-6</v>
      </c>
      <c r="AM46" s="41">
        <f t="shared" si="22"/>
        <v>-5.2659428587968523E-6</v>
      </c>
      <c r="AN46" s="41">
        <f t="shared" si="11"/>
        <v>7.810885796843897E-7</v>
      </c>
      <c r="AO46" s="41">
        <f t="shared" si="23"/>
        <v>-4.484854279112463E-6</v>
      </c>
      <c r="AP46" s="45"/>
      <c r="AQ46" s="55"/>
      <c r="AR46" s="48"/>
      <c r="AS46" s="48"/>
      <c r="AT46" s="51">
        <f t="shared" si="24"/>
        <v>42</v>
      </c>
      <c r="AU46" s="49">
        <f t="shared" si="25"/>
        <v>4.3812496112401097E-11</v>
      </c>
      <c r="AV46" s="49">
        <f t="shared" si="26"/>
        <v>3.9054428984219482E-11</v>
      </c>
      <c r="AW46" s="50">
        <f xml:space="preserve"> IF(ISERROR(ROUND((1000*NPV($AT$1,$AV47:$AV$124)-$AW$1*($AU47+NPV($AT$1,$AU48:$AU$124)))/AU47,3)), 0, ROUND((1000*NPV($AT$1,$AV47:$AV$124)-$AW$1*($AU47+NPV($AT$1,$AU48:$AU$124)))/AU47,3))</f>
        <v>894.14099999999996</v>
      </c>
      <c r="AX46" s="50">
        <f>IF(ISERROR(ROUND(MAX(0,1000*NPV($AT$2,$AV47:$AV$124)-$AW$2*($AU47+NPV($AT$2,$AU48:$AU$124)))/AU47,3)), 0, ROUND(MAX(0,1000*NPV($AT$2,$AV47:$AV$124)-$AW$2*($AU47+NPV($AT$2,$AU48:$AU$124)))/AU47,3))</f>
        <v>856.14400000000001</v>
      </c>
    </row>
    <row r="47" spans="1:50" ht="15" x14ac:dyDescent="0.25">
      <c r="A47">
        <v>22</v>
      </c>
      <c r="B47">
        <v>1.2643504691876E-3</v>
      </c>
      <c r="C47">
        <f t="shared" si="31"/>
        <v>1.188489441036344E-3</v>
      </c>
      <c r="D47" s="60">
        <v>57</v>
      </c>
      <c r="E47" s="5">
        <v>1785277.4020104152</v>
      </c>
      <c r="F47" s="5">
        <v>53558.326886937837</v>
      </c>
      <c r="G47" s="8"/>
      <c r="H47" s="63"/>
      <c r="I47" s="51">
        <v>43</v>
      </c>
      <c r="J47" s="41"/>
      <c r="K47" s="41" t="str">
        <f t="shared" si="27"/>
        <v/>
      </c>
      <c r="L47" s="42">
        <f t="shared" si="28"/>
        <v>25</v>
      </c>
      <c r="M47" s="41">
        <f t="shared" si="29"/>
        <v>2000000</v>
      </c>
      <c r="N47" s="43">
        <f t="shared" si="1"/>
        <v>858.26400000000001</v>
      </c>
      <c r="O47" s="44">
        <f t="shared" si="2"/>
        <v>895.73199999999997</v>
      </c>
      <c r="P47" s="41">
        <f t="shared" si="3"/>
        <v>1716528</v>
      </c>
      <c r="Q47" s="41">
        <f t="shared" si="4"/>
        <v>1791464</v>
      </c>
      <c r="R47" s="44"/>
      <c r="S47" s="44">
        <f t="shared" si="12"/>
        <v>907.94174522014202</v>
      </c>
      <c r="T47" s="52">
        <f t="shared" si="30"/>
        <v>0</v>
      </c>
      <c r="U47" s="53">
        <f t="shared" si="13"/>
        <v>4.7580671281816142E-12</v>
      </c>
      <c r="V47" s="53">
        <f t="shared" si="14"/>
        <v>4.3200477722358042E-12</v>
      </c>
      <c r="W47" s="53">
        <f t="shared" si="15"/>
        <v>0</v>
      </c>
      <c r="X47" s="46">
        <f t="shared" si="5"/>
        <v>4.3801935594581E-13</v>
      </c>
      <c r="Y47" s="54"/>
      <c r="Z47" s="41">
        <f t="shared" si="16"/>
        <v>8.5087658001188737E-6</v>
      </c>
      <c r="AA47" s="41">
        <f t="shared" si="17"/>
        <v>9.5161342563632291E-8</v>
      </c>
      <c r="AB47" s="41">
        <f t="shared" si="6"/>
        <v>7.8469590748010458E-7</v>
      </c>
      <c r="AC47" s="41">
        <f t="shared" si="7"/>
        <v>8.7603871189162008E-9</v>
      </c>
      <c r="AD47" s="54"/>
      <c r="AE47" s="41">
        <f t="shared" si="8"/>
        <v>0</v>
      </c>
      <c r="AF47" s="41"/>
      <c r="AG47" s="41">
        <f t="shared" si="9"/>
        <v>-1.0950483898645249E-11</v>
      </c>
      <c r="AH47" s="41">
        <f t="shared" si="18"/>
        <v>-8.6400955444716081E-6</v>
      </c>
      <c r="AI47" s="41">
        <f t="shared" si="19"/>
        <v>0</v>
      </c>
      <c r="AJ47" s="41">
        <f t="shared" si="20"/>
        <v>-8.6401064949555071E-6</v>
      </c>
      <c r="AK47" s="41">
        <f t="shared" si="10"/>
        <v>7.7240698926387695E-6</v>
      </c>
      <c r="AL47" s="41">
        <f t="shared" si="21"/>
        <v>3.4415708570730024E-7</v>
      </c>
      <c r="AM47" s="41">
        <f t="shared" si="22"/>
        <v>-5.7187951660943735E-7</v>
      </c>
      <c r="AN47" s="41">
        <f t="shared" si="11"/>
        <v>8.6400955444716096E-8</v>
      </c>
      <c r="AO47" s="41">
        <f t="shared" si="23"/>
        <v>-4.8547856116472122E-7</v>
      </c>
      <c r="AP47" s="45"/>
      <c r="AQ47" s="55"/>
      <c r="AR47" s="48"/>
      <c r="AS47" s="48"/>
      <c r="AT47" s="51">
        <f t="shared" si="24"/>
        <v>43</v>
      </c>
      <c r="AU47" s="49">
        <f t="shared" si="25"/>
        <v>4.7580671281816142E-12</v>
      </c>
      <c r="AV47" s="49">
        <f t="shared" si="26"/>
        <v>4.3200477722358042E-12</v>
      </c>
      <c r="AW47" s="50">
        <f xml:space="preserve"> IF(ISERROR(ROUND((1000*NPV($AT$1,$AV48:$AV$124)-$AW$1*($AU48+NPV($AT$1,$AU49:$AU$124)))/AU48,3)), 0, ROUND((1000*NPV($AT$1,$AV48:$AV$124)-$AW$1*($AU48+NPV($AT$1,$AU49:$AU$124)))/AU48,3))</f>
        <v>895.73199999999997</v>
      </c>
      <c r="AX47" s="50">
        <f>IF(ISERROR(ROUND(MAX(0,1000*NPV($AT$2,$AV48:$AV$124)-$AW$2*($AU48+NPV($AT$2,$AU49:$AU$124)))/AU48,3)), 0, ROUND(MAX(0,1000*NPV($AT$2,$AV48:$AV$124)-$AW$2*($AU48+NPV($AT$2,$AU49:$AU$124)))/AU48,3))</f>
        <v>858.26400000000001</v>
      </c>
    </row>
    <row r="48" spans="1:50" ht="15" x14ac:dyDescent="0.25">
      <c r="A48">
        <v>23</v>
      </c>
      <c r="B48">
        <v>1.3121580844162001E-3</v>
      </c>
      <c r="C48">
        <f t="shared" si="31"/>
        <v>1.2334285993512279E-3</v>
      </c>
      <c r="D48" s="60">
        <v>58</v>
      </c>
      <c r="E48" s="5">
        <v>1832906.452839033</v>
      </c>
      <c r="F48" s="5">
        <v>54987.198282277794</v>
      </c>
      <c r="G48" s="8"/>
      <c r="H48" s="63"/>
      <c r="I48" s="51">
        <v>44</v>
      </c>
      <c r="J48" s="41"/>
      <c r="K48" s="41" t="str">
        <f t="shared" si="27"/>
        <v/>
      </c>
      <c r="L48" s="42">
        <f t="shared" si="28"/>
        <v>25</v>
      </c>
      <c r="M48" s="41">
        <f t="shared" si="29"/>
        <v>2000000</v>
      </c>
      <c r="N48" s="43">
        <f t="shared" si="1"/>
        <v>860.10900000000004</v>
      </c>
      <c r="O48" s="44">
        <f t="shared" si="2"/>
        <v>897.11699999999996</v>
      </c>
      <c r="P48" s="41">
        <f t="shared" si="3"/>
        <v>1720218</v>
      </c>
      <c r="Q48" s="41">
        <f t="shared" si="4"/>
        <v>1794234</v>
      </c>
      <c r="R48" s="44"/>
      <c r="S48" s="44">
        <f t="shared" si="12"/>
        <v>922.78625098277598</v>
      </c>
      <c r="T48" s="52">
        <f t="shared" si="30"/>
        <v>0</v>
      </c>
      <c r="U48" s="53">
        <f t="shared" si="13"/>
        <v>4.3801935594581E-13</v>
      </c>
      <c r="V48" s="53">
        <f t="shared" si="14"/>
        <v>4.041982393311241E-13</v>
      </c>
      <c r="W48" s="53">
        <f t="shared" si="15"/>
        <v>0</v>
      </c>
      <c r="X48" s="46">
        <f t="shared" si="5"/>
        <v>3.3821116614685898E-14</v>
      </c>
      <c r="Y48" s="54"/>
      <c r="Z48" s="41">
        <f t="shared" si="16"/>
        <v>7.8469590748010458E-7</v>
      </c>
      <c r="AA48" s="41">
        <f t="shared" si="17"/>
        <v>8.7603871189162008E-9</v>
      </c>
      <c r="AB48" s="41">
        <f t="shared" si="6"/>
        <v>6.0682997348034341E-8</v>
      </c>
      <c r="AC48" s="41">
        <f t="shared" si="7"/>
        <v>6.7642233229371793E-10</v>
      </c>
      <c r="AD48" s="54"/>
      <c r="AE48" s="41">
        <f t="shared" si="8"/>
        <v>0</v>
      </c>
      <c r="AF48" s="41"/>
      <c r="AG48" s="41">
        <f t="shared" si="9"/>
        <v>-8.4552791536714749E-13</v>
      </c>
      <c r="AH48" s="41">
        <f t="shared" si="18"/>
        <v>-8.0839647866224826E-7</v>
      </c>
      <c r="AI48" s="41">
        <f t="shared" si="19"/>
        <v>0</v>
      </c>
      <c r="AJ48" s="41">
        <f t="shared" si="20"/>
        <v>-8.0839732419016365E-7</v>
      </c>
      <c r="AK48" s="41">
        <f t="shared" si="10"/>
        <v>7.2401291013207023E-7</v>
      </c>
      <c r="AL48" s="41">
        <f t="shared" si="21"/>
        <v>3.1738251783960836E-8</v>
      </c>
      <c r="AM48" s="41">
        <f t="shared" si="22"/>
        <v>-5.2646162274132591E-8</v>
      </c>
      <c r="AN48" s="41">
        <f t="shared" si="11"/>
        <v>8.0839647866224829E-9</v>
      </c>
      <c r="AO48" s="41">
        <f t="shared" si="23"/>
        <v>-4.4562197487510109E-8</v>
      </c>
      <c r="AP48" s="45"/>
      <c r="AQ48" s="55"/>
      <c r="AR48" s="48"/>
      <c r="AS48" s="48"/>
      <c r="AT48" s="51">
        <f t="shared" si="24"/>
        <v>44</v>
      </c>
      <c r="AU48" s="49">
        <f t="shared" si="25"/>
        <v>4.3801935594581E-13</v>
      </c>
      <c r="AV48" s="49">
        <f t="shared" si="26"/>
        <v>4.041982393311241E-13</v>
      </c>
      <c r="AW48" s="50">
        <f xml:space="preserve"> IF(ISERROR(ROUND((1000*NPV($AT$1,$AV49:$AV$124)-$AW$1*($AU49+NPV($AT$1,$AU50:$AU$124)))/AU49,3)), 0, ROUND((1000*NPV($AT$1,$AV49:$AV$124)-$AW$1*($AU49+NPV($AT$1,$AU50:$AU$124)))/AU49,3))</f>
        <v>897.11699999999996</v>
      </c>
      <c r="AX48" s="50">
        <f>IF(ISERROR(ROUND(MAX(0,1000*NPV($AT$2,$AV49:$AV$124)-$AW$2*($AU49+NPV($AT$2,$AU50:$AU$124)))/AU49,3)), 0, ROUND(MAX(0,1000*NPV($AT$2,$AV49:$AV$124)-$AW$2*($AU49+NPV($AT$2,$AU50:$AU$124)))/AU49,3))</f>
        <v>860.10900000000004</v>
      </c>
    </row>
    <row r="49" spans="1:50" ht="15" x14ac:dyDescent="0.25">
      <c r="A49">
        <v>24</v>
      </c>
      <c r="B49">
        <v>1.3172739125596499E-3</v>
      </c>
      <c r="C49">
        <f t="shared" si="31"/>
        <v>1.2382374778060709E-3</v>
      </c>
      <c r="D49" s="60">
        <v>59</v>
      </c>
      <c r="E49" s="5">
        <v>1881080.548869363</v>
      </c>
      <c r="F49" s="5">
        <v>56432.421030284837</v>
      </c>
      <c r="G49" s="8"/>
      <c r="H49" s="63"/>
      <c r="I49" s="51">
        <v>45</v>
      </c>
      <c r="J49" s="41"/>
      <c r="K49" s="41" t="str">
        <f t="shared" si="27"/>
        <v/>
      </c>
      <c r="L49" s="42">
        <f t="shared" si="28"/>
        <v>25</v>
      </c>
      <c r="M49" s="41">
        <f t="shared" si="29"/>
        <v>2000000</v>
      </c>
      <c r="N49" s="43">
        <f t="shared" si="1"/>
        <v>861.92</v>
      </c>
      <c r="O49" s="44">
        <f t="shared" si="2"/>
        <v>898.47500000000002</v>
      </c>
      <c r="P49" s="41">
        <f t="shared" si="3"/>
        <v>1723840</v>
      </c>
      <c r="Q49" s="41">
        <f t="shared" si="4"/>
        <v>1796950</v>
      </c>
      <c r="R49" s="44"/>
      <c r="S49" s="44">
        <f t="shared" si="12"/>
        <v>935.93964830188906</v>
      </c>
      <c r="T49" s="52">
        <f t="shared" si="30"/>
        <v>0</v>
      </c>
      <c r="U49" s="53">
        <f t="shared" si="13"/>
        <v>3.3821116614685898E-14</v>
      </c>
      <c r="V49" s="53">
        <f t="shared" si="14"/>
        <v>3.1654523989526296E-14</v>
      </c>
      <c r="W49" s="53">
        <f t="shared" si="15"/>
        <v>0</v>
      </c>
      <c r="X49" s="46">
        <f t="shared" si="5"/>
        <v>2.1665926251596014E-15</v>
      </c>
      <c r="Y49" s="54"/>
      <c r="Z49" s="41">
        <f t="shared" si="16"/>
        <v>6.0682997348034341E-8</v>
      </c>
      <c r="AA49" s="41">
        <f t="shared" si="17"/>
        <v>6.7642233229371793E-10</v>
      </c>
      <c r="AB49" s="41">
        <f t="shared" si="6"/>
        <v>3.8932586177805461E-9</v>
      </c>
      <c r="AC49" s="41">
        <f t="shared" si="7"/>
        <v>4.3331852503192026E-11</v>
      </c>
      <c r="AD49" s="54"/>
      <c r="AE49" s="41">
        <f t="shared" si="8"/>
        <v>0</v>
      </c>
      <c r="AF49" s="41"/>
      <c r="AG49" s="41">
        <f t="shared" si="9"/>
        <v>-5.4164815628990036E-14</v>
      </c>
      <c r="AH49" s="41">
        <f t="shared" si="18"/>
        <v>-6.3309047979052587E-8</v>
      </c>
      <c r="AI49" s="41">
        <f t="shared" si="19"/>
        <v>0</v>
      </c>
      <c r="AJ49" s="41">
        <f t="shared" si="20"/>
        <v>-6.3309102143868216E-8</v>
      </c>
      <c r="AK49" s="41">
        <f t="shared" si="10"/>
        <v>5.6789738730253795E-8</v>
      </c>
      <c r="AL49" s="41">
        <f t="shared" si="21"/>
        <v>2.4543767872131226E-9</v>
      </c>
      <c r="AM49" s="41">
        <f t="shared" si="22"/>
        <v>-4.0649866264012983E-9</v>
      </c>
      <c r="AN49" s="41">
        <f t="shared" si="11"/>
        <v>6.3309047979052592E-10</v>
      </c>
      <c r="AO49" s="41">
        <f t="shared" si="23"/>
        <v>-3.4318961466107723E-9</v>
      </c>
      <c r="AP49" s="45"/>
      <c r="AQ49" s="45"/>
      <c r="AR49" s="48"/>
      <c r="AS49" s="48"/>
      <c r="AT49" s="51">
        <f t="shared" si="24"/>
        <v>45</v>
      </c>
      <c r="AU49" s="49">
        <f t="shared" si="25"/>
        <v>3.3821116614685898E-14</v>
      </c>
      <c r="AV49" s="49">
        <f t="shared" si="26"/>
        <v>3.1654523989526296E-14</v>
      </c>
      <c r="AW49" s="50">
        <f xml:space="preserve"> IF(ISERROR(ROUND((1000*NPV($AT$1,$AV50:$AV$124)-$AW$1*($AU50+NPV($AT$1,$AU51:$AU$124)))/AU50,3)), 0, ROUND((1000*NPV($AT$1,$AV50:$AV$124)-$AW$1*($AU50+NPV($AT$1,$AU51:$AU$124)))/AU50,3))</f>
        <v>898.47500000000002</v>
      </c>
      <c r="AX49" s="50">
        <f>IF(ISERROR(ROUND(MAX(0,1000*NPV($AT$2,$AV50:$AV$124)-$AW$2*($AU50+NPV($AT$2,$AU51:$AU$124)))/AU50,3)), 0, ROUND(MAX(0,1000*NPV($AT$2,$AV50:$AV$124)-$AW$2*($AU50+NPV($AT$2,$AU51:$AU$124)))/AU50,3))</f>
        <v>861.92</v>
      </c>
    </row>
    <row r="50" spans="1:50" ht="15" x14ac:dyDescent="0.25">
      <c r="A50">
        <v>25</v>
      </c>
      <c r="B50">
        <v>1.32409499276931E-3</v>
      </c>
      <c r="C50">
        <f t="shared" si="31"/>
        <v>1.2446492932031512E-3</v>
      </c>
      <c r="D50" s="60">
        <v>60</v>
      </c>
      <c r="E50" s="5">
        <v>1929598.6840457437</v>
      </c>
      <c r="F50" s="5">
        <v>57887.964888391318</v>
      </c>
      <c r="G50" s="8"/>
      <c r="H50" s="63"/>
      <c r="I50" s="51">
        <v>46</v>
      </c>
      <c r="J50" s="41"/>
      <c r="K50" s="41" t="str">
        <f t="shared" si="27"/>
        <v/>
      </c>
      <c r="L50" s="42">
        <f t="shared" si="28"/>
        <v>25</v>
      </c>
      <c r="M50" s="41">
        <f t="shared" si="29"/>
        <v>2000000</v>
      </c>
      <c r="N50" s="43">
        <f t="shared" si="1"/>
        <v>863.42899999999997</v>
      </c>
      <c r="O50" s="44">
        <f t="shared" si="2"/>
        <v>899.60599999999999</v>
      </c>
      <c r="P50" s="41">
        <f t="shared" si="3"/>
        <v>1726858</v>
      </c>
      <c r="Q50" s="41">
        <f t="shared" si="4"/>
        <v>1799212</v>
      </c>
      <c r="R50" s="44"/>
      <c r="S50" s="44">
        <f t="shared" si="12"/>
        <v>949.28749946526898</v>
      </c>
      <c r="T50" s="52">
        <f t="shared" si="30"/>
        <v>0</v>
      </c>
      <c r="U50" s="53">
        <f t="shared" si="13"/>
        <v>2.1665926251596014E-15</v>
      </c>
      <c r="V50" s="53">
        <f t="shared" si="14"/>
        <v>2.0567192954976507E-15</v>
      </c>
      <c r="W50" s="53">
        <f t="shared" si="15"/>
        <v>0</v>
      </c>
      <c r="X50" s="46">
        <f t="shared" si="5"/>
        <v>1.0987332966195076E-16</v>
      </c>
      <c r="Y50" s="54"/>
      <c r="Z50" s="41">
        <f t="shared" si="16"/>
        <v>3.8932586177805461E-9</v>
      </c>
      <c r="AA50" s="41">
        <f t="shared" si="17"/>
        <v>4.3331852503192026E-11</v>
      </c>
      <c r="AB50" s="41">
        <f t="shared" si="6"/>
        <v>1.9768541320773775E-10</v>
      </c>
      <c r="AC50" s="41">
        <f t="shared" si="7"/>
        <v>2.197466593239015E-12</v>
      </c>
      <c r="AD50" s="54"/>
      <c r="AE50" s="41">
        <f t="shared" si="8"/>
        <v>0</v>
      </c>
      <c r="AF50" s="41"/>
      <c r="AG50" s="41">
        <f t="shared" si="9"/>
        <v>-2.746833241548769E-15</v>
      </c>
      <c r="AH50" s="41">
        <f t="shared" si="18"/>
        <v>-4.1134385909953013E-9</v>
      </c>
      <c r="AI50" s="41">
        <f t="shared" si="19"/>
        <v>0</v>
      </c>
      <c r="AJ50" s="41">
        <f t="shared" si="20"/>
        <v>-4.1134413378285429E-9</v>
      </c>
      <c r="AK50" s="41">
        <f t="shared" si="10"/>
        <v>3.6955732045728084E-9</v>
      </c>
      <c r="AL50" s="41">
        <f t="shared" si="21"/>
        <v>1.5746361881134954E-10</v>
      </c>
      <c r="AM50" s="41">
        <f t="shared" si="22"/>
        <v>-2.6040451444438506E-10</v>
      </c>
      <c r="AN50" s="41">
        <f t="shared" si="11"/>
        <v>4.1134385909953012E-11</v>
      </c>
      <c r="AO50" s="41">
        <f t="shared" si="23"/>
        <v>-2.1927012853443204E-10</v>
      </c>
      <c r="AP50" s="45"/>
      <c r="AQ50" s="45"/>
      <c r="AR50" s="48"/>
      <c r="AS50" s="48"/>
      <c r="AT50" s="51">
        <f t="shared" si="24"/>
        <v>46</v>
      </c>
      <c r="AU50" s="49">
        <f t="shared" si="25"/>
        <v>2.1665926251596014E-15</v>
      </c>
      <c r="AV50" s="49">
        <f t="shared" si="26"/>
        <v>2.0567192954976507E-15</v>
      </c>
      <c r="AW50" s="50">
        <f xml:space="preserve"> IF(ISERROR(ROUND((1000*NPV($AT$1,$AV51:$AV$124)-$AW$1*($AU51+NPV($AT$1,$AU52:$AU$124)))/AU51,3)), 0, ROUND((1000*NPV($AT$1,$AV51:$AV$124)-$AW$1*($AU51+NPV($AT$1,$AU52:$AU$124)))/AU51,3))</f>
        <v>899.60599999999999</v>
      </c>
      <c r="AX50" s="50">
        <f>IF(ISERROR(ROUND(MAX(0,1000*NPV($AT$2,$AV51:$AV$124)-$AW$2*($AU51+NPV($AT$2,$AU52:$AU$124)))/AU51,3)), 0, ROUND(MAX(0,1000*NPV($AT$2,$AV51:$AV$124)-$AW$2*($AU51+NPV($AT$2,$AU52:$AU$124)))/AU51,3))</f>
        <v>863.42899999999997</v>
      </c>
    </row>
    <row r="51" spans="1:50" ht="15" x14ac:dyDescent="0.25">
      <c r="A51">
        <v>26</v>
      </c>
      <c r="B51">
        <v>1.2447593427817899E-3</v>
      </c>
      <c r="C51">
        <f t="shared" si="31"/>
        <v>1.1700737822148825E-3</v>
      </c>
      <c r="D51" s="60">
        <v>61</v>
      </c>
      <c r="E51" s="5">
        <v>1978509.98976276</v>
      </c>
      <c r="F51" s="5">
        <v>59355.30388843175</v>
      </c>
      <c r="G51" s="8"/>
      <c r="H51" s="63"/>
      <c r="I51" s="51">
        <v>47</v>
      </c>
      <c r="J51" s="41"/>
      <c r="K51" s="41" t="str">
        <f t="shared" si="27"/>
        <v/>
      </c>
      <c r="L51" s="42">
        <f t="shared" si="28"/>
        <v>25</v>
      </c>
      <c r="M51" s="41">
        <f t="shared" si="29"/>
        <v>2000000</v>
      </c>
      <c r="N51" s="43">
        <f t="shared" si="1"/>
        <v>864.67200000000003</v>
      </c>
      <c r="O51" s="44">
        <f t="shared" si="2"/>
        <v>900.53800000000001</v>
      </c>
      <c r="P51" s="41">
        <f t="shared" si="3"/>
        <v>1729344</v>
      </c>
      <c r="Q51" s="41">
        <f t="shared" si="4"/>
        <v>1801076</v>
      </c>
      <c r="R51" s="44"/>
      <c r="S51" s="44">
        <f t="shared" si="12"/>
        <v>960.64062269764304</v>
      </c>
      <c r="T51" s="52">
        <f t="shared" si="30"/>
        <v>0</v>
      </c>
      <c r="U51" s="53">
        <f t="shared" si="13"/>
        <v>1.0987332966195076E-16</v>
      </c>
      <c r="V51" s="53">
        <f t="shared" si="14"/>
        <v>1.0554878382431979E-16</v>
      </c>
      <c r="W51" s="53">
        <f t="shared" si="15"/>
        <v>0</v>
      </c>
      <c r="X51" s="46">
        <f t="shared" si="5"/>
        <v>4.3245458376309703E-18</v>
      </c>
      <c r="Y51" s="54"/>
      <c r="Z51" s="41">
        <f t="shared" si="16"/>
        <v>1.9768541320773775E-10</v>
      </c>
      <c r="AA51" s="41">
        <f t="shared" si="17"/>
        <v>2.197466593239015E-12</v>
      </c>
      <c r="AB51" s="41">
        <f t="shared" si="6"/>
        <v>7.7888357190570374E-12</v>
      </c>
      <c r="AC51" s="41">
        <f t="shared" si="7"/>
        <v>8.6490916752619403E-14</v>
      </c>
      <c r="AD51" s="54"/>
      <c r="AE51" s="41">
        <f t="shared" si="8"/>
        <v>0</v>
      </c>
      <c r="AF51" s="41"/>
      <c r="AG51" s="41">
        <f t="shared" si="9"/>
        <v>-1.0811364594077426E-16</v>
      </c>
      <c r="AH51" s="41">
        <f t="shared" si="18"/>
        <v>-2.1109756764863957E-10</v>
      </c>
      <c r="AI51" s="41">
        <f t="shared" si="19"/>
        <v>0</v>
      </c>
      <c r="AJ51" s="41">
        <f t="shared" si="20"/>
        <v>-2.1109767576228551E-10</v>
      </c>
      <c r="AK51" s="41">
        <f t="shared" si="10"/>
        <v>1.8989657748868072E-10</v>
      </c>
      <c r="AL51" s="41">
        <f t="shared" si="21"/>
        <v>7.9953151920390716E-12</v>
      </c>
      <c r="AM51" s="41">
        <f t="shared" si="22"/>
        <v>-1.3205783081565717E-11</v>
      </c>
      <c r="AN51" s="41">
        <f t="shared" si="11"/>
        <v>2.1109756764863958E-12</v>
      </c>
      <c r="AO51" s="41">
        <f t="shared" si="23"/>
        <v>-1.1094807405079322E-11</v>
      </c>
      <c r="AP51" s="45"/>
      <c r="AQ51" s="45"/>
      <c r="AR51" s="48"/>
      <c r="AS51" s="48"/>
      <c r="AT51" s="51">
        <f t="shared" si="24"/>
        <v>47</v>
      </c>
      <c r="AU51" s="49">
        <f t="shared" si="25"/>
        <v>1.0987332966195076E-16</v>
      </c>
      <c r="AV51" s="49">
        <f t="shared" si="26"/>
        <v>1.0554878382431979E-16</v>
      </c>
      <c r="AW51" s="50">
        <f xml:space="preserve"> IF(ISERROR(ROUND((1000*NPV($AT$1,$AV52:$AV$124)-$AW$1*($AU52+NPV($AT$1,$AU53:$AU$124)))/AU52,3)), 0, ROUND((1000*NPV($AT$1,$AV52:$AV$124)-$AW$1*($AU52+NPV($AT$1,$AU53:$AU$124)))/AU52,3))</f>
        <v>900.53800000000001</v>
      </c>
      <c r="AX51" s="50">
        <f>IF(ISERROR(ROUND(MAX(0,1000*NPV($AT$2,$AV52:$AV$124)-$AW$2*($AU52+NPV($AT$2,$AU53:$AU$124)))/AU52,3)), 0, ROUND(MAX(0,1000*NPV($AT$2,$AV52:$AV$124)-$AW$2*($AU52+NPV($AT$2,$AU53:$AU$124)))/AU52,3))</f>
        <v>864.67200000000003</v>
      </c>
    </row>
    <row r="52" spans="1:50" ht="15" x14ac:dyDescent="0.25">
      <c r="A52">
        <v>27</v>
      </c>
      <c r="B52">
        <v>1.2724679951190399E-3</v>
      </c>
      <c r="C52">
        <f t="shared" si="31"/>
        <v>1.1961199154118974E-3</v>
      </c>
      <c r="D52" s="60">
        <v>62</v>
      </c>
      <c r="E52" s="5">
        <v>2028037.868049019</v>
      </c>
      <c r="F52" s="5">
        <v>60841.140143679222</v>
      </c>
      <c r="G52" s="8"/>
      <c r="H52" s="63"/>
      <c r="I52" s="51">
        <v>48</v>
      </c>
      <c r="J52" s="41"/>
      <c r="K52" s="41" t="str">
        <f t="shared" si="27"/>
        <v/>
      </c>
      <c r="L52" s="42">
        <f t="shared" si="28"/>
        <v>25</v>
      </c>
      <c r="M52" s="41">
        <f t="shared" si="29"/>
        <v>2000000</v>
      </c>
      <c r="N52" s="43">
        <f t="shared" si="1"/>
        <v>865.68100000000004</v>
      </c>
      <c r="O52" s="44">
        <f t="shared" si="2"/>
        <v>901.29399999999998</v>
      </c>
      <c r="P52" s="41">
        <f t="shared" si="3"/>
        <v>1731362</v>
      </c>
      <c r="Q52" s="41">
        <f t="shared" si="4"/>
        <v>1802588</v>
      </c>
      <c r="R52" s="44"/>
      <c r="S52" s="44">
        <f t="shared" si="12"/>
        <v>970.15319337886092</v>
      </c>
      <c r="T52" s="52">
        <f t="shared" si="30"/>
        <v>0</v>
      </c>
      <c r="U52" s="53">
        <f t="shared" si="13"/>
        <v>4.3245458376309703E-18</v>
      </c>
      <c r="V52" s="53">
        <f t="shared" si="14"/>
        <v>4.1954719542909466E-18</v>
      </c>
      <c r="W52" s="53">
        <f t="shared" si="15"/>
        <v>0</v>
      </c>
      <c r="X52" s="46">
        <f t="shared" si="5"/>
        <v>1.2907388334002372E-19</v>
      </c>
      <c r="Y52" s="54"/>
      <c r="Z52" s="41">
        <f t="shared" si="16"/>
        <v>7.7888357190570374E-12</v>
      </c>
      <c r="AA52" s="41">
        <f t="shared" si="17"/>
        <v>8.6490916752619403E-14</v>
      </c>
      <c r="AB52" s="41">
        <f t="shared" si="6"/>
        <v>2.3266703322212668E-13</v>
      </c>
      <c r="AC52" s="41">
        <f t="shared" si="7"/>
        <v>2.5814776668004744E-15</v>
      </c>
      <c r="AD52" s="54"/>
      <c r="AE52" s="41">
        <f t="shared" si="8"/>
        <v>0</v>
      </c>
      <c r="AF52" s="41"/>
      <c r="AG52" s="41">
        <f t="shared" si="9"/>
        <v>-3.2268470835005931E-18</v>
      </c>
      <c r="AH52" s="41">
        <f t="shared" si="18"/>
        <v>-8.3909439085818939E-12</v>
      </c>
      <c r="AI52" s="41">
        <f t="shared" si="19"/>
        <v>0</v>
      </c>
      <c r="AJ52" s="41">
        <f t="shared" si="20"/>
        <v>-8.3909471354289779E-12</v>
      </c>
      <c r="AK52" s="41">
        <f t="shared" si="10"/>
        <v>7.556168685834911E-12</v>
      </c>
      <c r="AL52" s="41">
        <f t="shared" si="21"/>
        <v>3.1501306543238626E-13</v>
      </c>
      <c r="AM52" s="41">
        <f>SUM(AJ52:AL52)</f>
        <v>-5.1976538416168068E-13</v>
      </c>
      <c r="AN52" s="41">
        <f t="shared" si="11"/>
        <v>8.3909439085818928E-14</v>
      </c>
      <c r="AO52" s="41">
        <f t="shared" si="23"/>
        <v>-4.3585594507586178E-13</v>
      </c>
      <c r="AP52" s="45"/>
      <c r="AQ52" s="45"/>
      <c r="AR52" s="48"/>
      <c r="AS52" s="48"/>
      <c r="AT52" s="51">
        <f t="shared" si="24"/>
        <v>48</v>
      </c>
      <c r="AU52" s="49">
        <f t="shared" si="25"/>
        <v>4.3245458376309703E-18</v>
      </c>
      <c r="AV52" s="49">
        <f t="shared" si="26"/>
        <v>4.1954719542909466E-18</v>
      </c>
      <c r="AW52" s="50">
        <f xml:space="preserve"> IF(ISERROR(ROUND((1000*NPV($AT$1,$AV53:$AV$124)-$AW$1*($AU53+NPV($AT$1,$AU54:$AU$124)))/AU53,3)), 0, ROUND((1000*NPV($AT$1,$AV53:$AV$124)-$AW$1*($AU53+NPV($AT$1,$AU54:$AU$124)))/AU53,3))</f>
        <v>901.29399999999998</v>
      </c>
      <c r="AX52" s="50">
        <f>IF(ISERROR(ROUND(MAX(0,1000*NPV($AT$2,$AV53:$AV$124)-$AW$2*($AU53+NPV($AT$2,$AU54:$AU$124)))/AU53,3)), 0, ROUND(MAX(0,1000*NPV($AT$2,$AV53:$AV$124)-$AW$2*($AU53+NPV($AT$2,$AU54:$AU$124)))/AU53,3))</f>
        <v>865.68100000000004</v>
      </c>
    </row>
    <row r="53" spans="1:50" ht="15" x14ac:dyDescent="0.25">
      <c r="A53">
        <v>28</v>
      </c>
      <c r="B53">
        <v>1.30537269745901E-3</v>
      </c>
      <c r="C53">
        <f t="shared" si="31"/>
        <v>1.2270503356114693E-3</v>
      </c>
      <c r="D53" s="60">
        <v>63</v>
      </c>
      <c r="E53" s="5">
        <v>2078195.0620236748</v>
      </c>
      <c r="F53" s="5">
        <v>62345.855875312584</v>
      </c>
      <c r="G53" s="8"/>
      <c r="H53" s="63"/>
      <c r="I53" s="51">
        <v>49</v>
      </c>
      <c r="J53" s="41"/>
      <c r="K53" s="41" t="str">
        <f t="shared" si="27"/>
        <v/>
      </c>
      <c r="L53" s="42">
        <f t="shared" si="28"/>
        <v>25</v>
      </c>
      <c r="M53" s="41">
        <f t="shared" si="29"/>
        <v>2000000</v>
      </c>
      <c r="N53" s="43">
        <f t="shared" si="1"/>
        <v>866.48500000000001</v>
      </c>
      <c r="O53" s="44">
        <f t="shared" si="2"/>
        <v>901.89700000000005</v>
      </c>
      <c r="P53" s="41">
        <f t="shared" si="3"/>
        <v>1732970</v>
      </c>
      <c r="Q53" s="41">
        <f t="shared" si="4"/>
        <v>1803794</v>
      </c>
      <c r="R53" s="44"/>
      <c r="S53" s="44">
        <f t="shared" si="12"/>
        <v>977.98508640559601</v>
      </c>
      <c r="T53" s="52">
        <f t="shared" si="30"/>
        <v>0</v>
      </c>
      <c r="U53" s="53">
        <f t="shared" si="13"/>
        <v>1.2907388334002372E-19</v>
      </c>
      <c r="V53" s="53">
        <f t="shared" si="14"/>
        <v>1.262323329509989E-19</v>
      </c>
      <c r="W53" s="53">
        <f t="shared" si="15"/>
        <v>0</v>
      </c>
      <c r="X53" s="46">
        <f t="shared" si="5"/>
        <v>2.8415503890248219E-21</v>
      </c>
      <c r="Y53" s="54"/>
      <c r="Z53" s="41">
        <f t="shared" si="16"/>
        <v>2.3266703322212668E-13</v>
      </c>
      <c r="AA53" s="41">
        <f t="shared" si="17"/>
        <v>2.5814776668004744E-15</v>
      </c>
      <c r="AB53" s="41">
        <f t="shared" si="6"/>
        <v>5.1255715424206393E-15</v>
      </c>
      <c r="AC53" s="41">
        <f t="shared" si="7"/>
        <v>5.6831007780496438E-17</v>
      </c>
      <c r="AD53" s="54"/>
      <c r="AE53" s="41">
        <f t="shared" si="8"/>
        <v>0</v>
      </c>
      <c r="AF53" s="41"/>
      <c r="AG53" s="41">
        <f t="shared" si="9"/>
        <v>-7.1038759725620547E-20</v>
      </c>
      <c r="AH53" s="41">
        <f t="shared" si="18"/>
        <v>-2.524646659019978E-13</v>
      </c>
      <c r="AI53" s="41">
        <f t="shared" si="19"/>
        <v>0</v>
      </c>
      <c r="AJ53" s="41">
        <f t="shared" si="20"/>
        <v>-2.5246473694075752E-13</v>
      </c>
      <c r="AK53" s="41">
        <f t="shared" si="10"/>
        <v>2.2754146167970602E-13</v>
      </c>
      <c r="AL53" s="41">
        <f t="shared" si="21"/>
        <v>9.4099404355570856E-15</v>
      </c>
      <c r="AM53" s="41">
        <f t="shared" si="22"/>
        <v>-1.5513334825494414E-14</v>
      </c>
      <c r="AN53" s="41">
        <f t="shared" si="11"/>
        <v>2.5246466590199779E-15</v>
      </c>
      <c r="AO53" s="41">
        <f t="shared" si="23"/>
        <v>-1.2988688166474437E-14</v>
      </c>
      <c r="AP53" s="45"/>
      <c r="AQ53" s="45"/>
      <c r="AR53" s="48"/>
      <c r="AS53" s="48"/>
      <c r="AT53" s="51">
        <f t="shared" si="24"/>
        <v>49</v>
      </c>
      <c r="AU53" s="49">
        <f t="shared" si="25"/>
        <v>1.2907388334002372E-19</v>
      </c>
      <c r="AV53" s="49">
        <f t="shared" si="26"/>
        <v>1.262323329509989E-19</v>
      </c>
      <c r="AW53" s="50">
        <f xml:space="preserve"> IF(ISERROR(ROUND((1000*NPV($AT$1,$AV54:$AV$124)-$AW$1*($AU54+NPV($AT$1,$AU55:$AU$124)))/AU54,3)), 0, ROUND((1000*NPV($AT$1,$AV54:$AV$124)-$AW$1*($AU54+NPV($AT$1,$AU55:$AU$124)))/AU54,3))</f>
        <v>901.89700000000005</v>
      </c>
      <c r="AX53" s="50">
        <f>IF(ISERROR(ROUND(MAX(0,1000*NPV($AT$2,$AV54:$AV$124)-$AW$2*($AU54+NPV($AT$2,$AU55:$AU$124)))/AU54,3)), 0, ROUND(MAX(0,1000*NPV($AT$2,$AV54:$AV$124)-$AW$2*($AU54+NPV($AT$2,$AU55:$AU$124)))/AU54,3))</f>
        <v>866.48500000000001</v>
      </c>
    </row>
    <row r="54" spans="1:50" ht="15" x14ac:dyDescent="0.25">
      <c r="A54">
        <v>29</v>
      </c>
      <c r="B54">
        <v>1.3408889032565699E-3</v>
      </c>
      <c r="C54">
        <f t="shared" si="31"/>
        <v>1.2604355690611756E-3</v>
      </c>
      <c r="D54" s="60">
        <v>64</v>
      </c>
      <c r="E54" s="5">
        <v>2129092.4263611678</v>
      </c>
      <c r="F54" s="5">
        <v>63872.776752633741</v>
      </c>
      <c r="G54" s="8"/>
      <c r="H54" s="63"/>
      <c r="I54" s="51">
        <v>50</v>
      </c>
      <c r="J54" s="41"/>
      <c r="K54" s="41" t="str">
        <f t="shared" si="27"/>
        <v/>
      </c>
      <c r="L54" s="42">
        <f t="shared" si="28"/>
        <v>25</v>
      </c>
      <c r="M54" s="41">
        <f t="shared" si="29"/>
        <v>2000000</v>
      </c>
      <c r="N54" s="43">
        <f t="shared" si="1"/>
        <v>867.11599999999999</v>
      </c>
      <c r="O54" s="44">
        <f t="shared" si="2"/>
        <v>902.36900000000003</v>
      </c>
      <c r="P54" s="41">
        <f t="shared" si="3"/>
        <v>1734232</v>
      </c>
      <c r="Q54" s="41">
        <f t="shared" si="4"/>
        <v>1804738</v>
      </c>
      <c r="R54" s="44"/>
      <c r="S54" s="44">
        <f t="shared" si="12"/>
        <v>984.30001473502</v>
      </c>
      <c r="T54" s="52">
        <f t="shared" si="30"/>
        <v>0</v>
      </c>
      <c r="U54" s="53">
        <f t="shared" si="13"/>
        <v>2.8415503890248219E-21</v>
      </c>
      <c r="V54" s="53">
        <f t="shared" si="14"/>
        <v>2.796938089787434E-21</v>
      </c>
      <c r="W54" s="53">
        <f t="shared" si="15"/>
        <v>0</v>
      </c>
      <c r="X54" s="46">
        <f t="shared" si="5"/>
        <v>4.4612299237387863E-23</v>
      </c>
      <c r="Y54" s="54"/>
      <c r="Z54" s="41">
        <f t="shared" si="16"/>
        <v>5.1255715424206393E-15</v>
      </c>
      <c r="AA54" s="41">
        <f t="shared" si="17"/>
        <v>5.6831007780496438E-17</v>
      </c>
      <c r="AB54" s="41">
        <f t="shared" si="6"/>
        <v>8.0513511701084899E-17</v>
      </c>
      <c r="AC54" s="41">
        <f t="shared" si="7"/>
        <v>8.9224598474775731E-19</v>
      </c>
      <c r="AD54" s="54"/>
      <c r="AE54" s="41">
        <f t="shared" si="8"/>
        <v>0</v>
      </c>
      <c r="AF54" s="41"/>
      <c r="AG54" s="41">
        <f t="shared" si="9"/>
        <v>-1.1153074809346966E-21</v>
      </c>
      <c r="AH54" s="41">
        <f t="shared" si="18"/>
        <v>-5.5938761795748679E-15</v>
      </c>
      <c r="AI54" s="41">
        <f t="shared" si="19"/>
        <v>0</v>
      </c>
      <c r="AJ54" s="41">
        <f t="shared" si="20"/>
        <v>-5.5938772948823491E-15</v>
      </c>
      <c r="AK54" s="41">
        <f t="shared" si="10"/>
        <v>5.0450580307195543E-15</v>
      </c>
      <c r="AL54" s="41">
        <f t="shared" si="21"/>
        <v>2.0729610200804541E-16</v>
      </c>
      <c r="AM54" s="41">
        <f t="shared" si="22"/>
        <v>-3.415231621547494E-16</v>
      </c>
      <c r="AN54" s="41">
        <f t="shared" si="11"/>
        <v>5.5938761795748683E-17</v>
      </c>
      <c r="AO54" s="41">
        <f t="shared" si="23"/>
        <v>-2.8558440035900073E-16</v>
      </c>
      <c r="AP54" s="45"/>
      <c r="AQ54" s="45"/>
      <c r="AR54" s="48"/>
      <c r="AS54" s="48"/>
      <c r="AT54" s="51">
        <f t="shared" si="24"/>
        <v>50</v>
      </c>
      <c r="AU54" s="49">
        <f t="shared" si="25"/>
        <v>2.8415503890248219E-21</v>
      </c>
      <c r="AV54" s="49">
        <f t="shared" si="26"/>
        <v>2.796938089787434E-21</v>
      </c>
      <c r="AW54" s="50">
        <f xml:space="preserve"> IF(ISERROR(ROUND((1000*NPV($AT$1,$AV55:$AV$124)-$AW$1*($AU55+NPV($AT$1,$AU56:$AU$124)))/AU55,3)), 0, ROUND((1000*NPV($AT$1,$AV55:$AV$124)-$AW$1*($AU55+NPV($AT$1,$AU56:$AU$124)))/AU55,3))</f>
        <v>902.36900000000003</v>
      </c>
      <c r="AX54" s="50">
        <f>IF(ISERROR(ROUND(MAX(0,1000*NPV($AT$2,$AV55:$AV$124)-$AW$2*($AU55+NPV($AT$2,$AU56:$AU$124)))/AU55,3)), 0, ROUND(MAX(0,1000*NPV($AT$2,$AV55:$AV$124)-$AW$2*($AU55+NPV($AT$2,$AU56:$AU$124)))/AU55,3))</f>
        <v>867.11599999999999</v>
      </c>
    </row>
    <row r="55" spans="1:50" ht="15" x14ac:dyDescent="0.25">
      <c r="A55">
        <v>30</v>
      </c>
      <c r="B55">
        <v>1.38683866228873E-3</v>
      </c>
      <c r="C55">
        <f t="shared" si="31"/>
        <v>1.3036283425514061E-3</v>
      </c>
      <c r="D55" s="60">
        <v>65</v>
      </c>
      <c r="E55" s="5">
        <v>2179524.7762407036</v>
      </c>
      <c r="F55" s="5">
        <v>65385.74685136159</v>
      </c>
      <c r="G55" s="8"/>
      <c r="H55" s="63"/>
      <c r="I55" s="51">
        <v>51</v>
      </c>
      <c r="J55" s="41"/>
      <c r="K55" s="41" t="str">
        <f t="shared" si="27"/>
        <v/>
      </c>
      <c r="L55" s="42">
        <f t="shared" si="28"/>
        <v>25</v>
      </c>
      <c r="M55" s="41">
        <f t="shared" si="29"/>
        <v>2000000</v>
      </c>
      <c r="N55" s="43">
        <f t="shared" si="1"/>
        <v>867.59699999999998</v>
      </c>
      <c r="O55" s="44">
        <f t="shared" si="2"/>
        <v>902.72900000000004</v>
      </c>
      <c r="P55" s="41">
        <f t="shared" si="3"/>
        <v>1735194</v>
      </c>
      <c r="Q55" s="41">
        <f t="shared" si="4"/>
        <v>1805458</v>
      </c>
      <c r="R55" s="44"/>
      <c r="S55" s="44">
        <f t="shared" si="12"/>
        <v>989.28842282960704</v>
      </c>
      <c r="T55" s="52">
        <f t="shared" si="30"/>
        <v>0</v>
      </c>
      <c r="U55" s="53">
        <f t="shared" si="13"/>
        <v>4.4612299237387863E-23</v>
      </c>
      <c r="V55" s="53">
        <f t="shared" si="14"/>
        <v>4.4134431151357925E-23</v>
      </c>
      <c r="W55" s="53">
        <f t="shared" si="15"/>
        <v>0</v>
      </c>
      <c r="X55" s="46">
        <f t="shared" si="5"/>
        <v>4.7786808602993815E-25</v>
      </c>
      <c r="Y55" s="54"/>
      <c r="Z55" s="41">
        <f t="shared" si="16"/>
        <v>8.0513511701084899E-17</v>
      </c>
      <c r="AA55" s="41">
        <f t="shared" si="17"/>
        <v>8.9224598474775731E-19</v>
      </c>
      <c r="AB55" s="41">
        <f t="shared" si="6"/>
        <v>8.627707588674401E-19</v>
      </c>
      <c r="AC55" s="41">
        <f t="shared" si="7"/>
        <v>9.5573617205987624E-21</v>
      </c>
      <c r="AD55" s="54"/>
      <c r="AE55" s="41">
        <f t="shared" si="8"/>
        <v>0</v>
      </c>
      <c r="AF55" s="41"/>
      <c r="AG55" s="41">
        <f t="shared" si="9"/>
        <v>-1.1946702150748454E-23</v>
      </c>
      <c r="AH55" s="41">
        <f t="shared" si="18"/>
        <v>-8.8268862302715845E-17</v>
      </c>
      <c r="AI55" s="41">
        <f t="shared" si="19"/>
        <v>0</v>
      </c>
      <c r="AJ55" s="41">
        <f t="shared" si="20"/>
        <v>-8.8268874249417999E-17</v>
      </c>
      <c r="AK55" s="41">
        <f t="shared" si="10"/>
        <v>7.9650740942217462E-17</v>
      </c>
      <c r="AL55" s="41">
        <f t="shared" si="21"/>
        <v>3.2562303074333062E-18</v>
      </c>
      <c r="AM55" s="41">
        <f t="shared" si="22"/>
        <v>-5.3619029997672306E-18</v>
      </c>
      <c r="AN55" s="41">
        <f t="shared" si="11"/>
        <v>8.8268862302715854E-19</v>
      </c>
      <c r="AO55" s="41">
        <f t="shared" si="23"/>
        <v>-4.4792143767400721E-18</v>
      </c>
      <c r="AP55" s="45"/>
      <c r="AQ55" s="45"/>
      <c r="AR55" s="48"/>
      <c r="AS55" s="48"/>
      <c r="AT55" s="51">
        <f t="shared" si="24"/>
        <v>51</v>
      </c>
      <c r="AU55" s="49">
        <f t="shared" si="25"/>
        <v>4.4612299237387863E-23</v>
      </c>
      <c r="AV55" s="49">
        <f t="shared" si="26"/>
        <v>4.4134431151357925E-23</v>
      </c>
      <c r="AW55" s="50">
        <f xml:space="preserve"> IF(ISERROR(ROUND((1000*NPV($AT$1,$AV56:$AV$124)-$AW$1*($AU56+NPV($AT$1,$AU57:$AU$124)))/AU56,3)), 0, ROUND((1000*NPV($AT$1,$AV56:$AV$124)-$AW$1*($AU56+NPV($AT$1,$AU57:$AU$124)))/AU56,3))</f>
        <v>902.72900000000004</v>
      </c>
      <c r="AX55" s="50">
        <f>IF(ISERROR(ROUND(MAX(0,1000*NPV($AT$2,$AV56:$AV$124)-$AW$2*($AU56+NPV($AT$2,$AU57:$AU$124)))/AU56,3)), 0, ROUND(MAX(0,1000*NPV($AT$2,$AV56:$AV$124)-$AW$2*($AU56+NPV($AT$2,$AU57:$AU$124)))/AU56,3))</f>
        <v>867.59699999999998</v>
      </c>
    </row>
    <row r="56" spans="1:50" ht="15" x14ac:dyDescent="0.25">
      <c r="A56">
        <v>31</v>
      </c>
      <c r="B56">
        <v>1.45533874037562E-3</v>
      </c>
      <c r="C56">
        <f t="shared" si="31"/>
        <v>1.3680184159530827E-3</v>
      </c>
      <c r="D56" s="60"/>
      <c r="E56" s="5"/>
      <c r="F56" s="5"/>
      <c r="G56" s="8"/>
      <c r="I56" s="51">
        <v>52</v>
      </c>
      <c r="J56" s="41"/>
      <c r="K56" s="41" t="str">
        <f t="shared" si="27"/>
        <v/>
      </c>
      <c r="L56" s="42">
        <f t="shared" si="28"/>
        <v>25</v>
      </c>
      <c r="M56" s="41">
        <f t="shared" si="29"/>
        <v>2000000</v>
      </c>
      <c r="N56" s="43">
        <f t="shared" si="1"/>
        <v>867.94799999999998</v>
      </c>
      <c r="O56" s="44">
        <f t="shared" si="2"/>
        <v>902.99199999999996</v>
      </c>
      <c r="P56" s="41">
        <f t="shared" si="3"/>
        <v>1735896</v>
      </c>
      <c r="Q56" s="41">
        <f t="shared" si="4"/>
        <v>1805984</v>
      </c>
      <c r="R56" s="44"/>
      <c r="S56" s="44">
        <f t="shared" si="12"/>
        <v>993.120413271654</v>
      </c>
      <c r="T56" s="52">
        <f t="shared" si="30"/>
        <v>0</v>
      </c>
      <c r="U56" s="53">
        <f t="shared" si="13"/>
        <v>4.7786808602993815E-25</v>
      </c>
      <c r="V56" s="53">
        <f t="shared" si="14"/>
        <v>4.7458055108738645E-25</v>
      </c>
      <c r="W56" s="53">
        <f t="shared" si="15"/>
        <v>0</v>
      </c>
      <c r="X56" s="46">
        <f t="shared" si="5"/>
        <v>3.2875349425516921E-27</v>
      </c>
      <c r="Y56" s="54"/>
      <c r="Z56" s="41">
        <f t="shared" si="16"/>
        <v>8.627707588674401E-19</v>
      </c>
      <c r="AA56" s="41">
        <f t="shared" si="17"/>
        <v>9.5573617205987624E-21</v>
      </c>
      <c r="AB56" s="41">
        <f t="shared" si="6"/>
        <v>5.9372355056892754E-21</v>
      </c>
      <c r="AC56" s="41">
        <f t="shared" si="7"/>
        <v>6.5750698851033839E-23</v>
      </c>
      <c r="AD56" s="54"/>
      <c r="AE56" s="41">
        <f t="shared" si="8"/>
        <v>0</v>
      </c>
      <c r="AF56" s="41"/>
      <c r="AG56" s="41">
        <f t="shared" si="9"/>
        <v>-8.2188373563792303E-26</v>
      </c>
      <c r="AH56" s="41">
        <f t="shared" si="18"/>
        <v>-9.4916110217477292E-19</v>
      </c>
      <c r="AI56" s="41">
        <f t="shared" si="19"/>
        <v>0</v>
      </c>
      <c r="AJ56" s="41">
        <f t="shared" si="20"/>
        <v>-9.4916118436314651E-19</v>
      </c>
      <c r="AK56" s="41">
        <f t="shared" si="10"/>
        <v>8.568335233617508E-19</v>
      </c>
      <c r="AL56" s="41">
        <f t="shared" si="21"/>
        <v>3.4893124823521551E-20</v>
      </c>
      <c r="AM56" s="41">
        <f t="shared" si="22"/>
        <v>-5.7434536177874166E-20</v>
      </c>
      <c r="AN56" s="41">
        <f t="shared" si="11"/>
        <v>9.491611021747728E-21</v>
      </c>
      <c r="AO56" s="41">
        <f t="shared" si="23"/>
        <v>-4.7942925156126436E-20</v>
      </c>
      <c r="AP56" s="45"/>
      <c r="AQ56" s="45"/>
      <c r="AR56" s="48"/>
      <c r="AS56" s="48"/>
      <c r="AT56" s="51">
        <f t="shared" si="24"/>
        <v>52</v>
      </c>
      <c r="AU56" s="49">
        <f t="shared" si="25"/>
        <v>4.7786808602993815E-25</v>
      </c>
      <c r="AV56" s="49">
        <f t="shared" si="26"/>
        <v>4.7458055108738645E-25</v>
      </c>
      <c r="AW56" s="50">
        <f xml:space="preserve"> IF(ISERROR(ROUND((1000*NPV($AT$1,$AV57:$AV$124)-$AW$1*($AU57+NPV($AT$1,$AU58:$AU$124)))/AU57,3)), 0, ROUND((1000*NPV($AT$1,$AV57:$AV$124)-$AW$1*($AU57+NPV($AT$1,$AU58:$AU$124)))/AU57,3))</f>
        <v>902.99199999999996</v>
      </c>
      <c r="AX56" s="50">
        <f>IF(ISERROR(ROUND(MAX(0,1000*NPV($AT$2,$AV57:$AV$124)-$AW$2*($AU57+NPV($AT$2,$AU58:$AU$124)))/AU57,3)), 0, ROUND(MAX(0,1000*NPV($AT$2,$AV57:$AV$124)-$AW$2*($AU57+NPV($AT$2,$AU58:$AU$124)))/AU57,3))</f>
        <v>867.94799999999998</v>
      </c>
    </row>
    <row r="57" spans="1:50" ht="15" x14ac:dyDescent="0.25">
      <c r="A57">
        <v>32</v>
      </c>
      <c r="B57">
        <v>1.5377369758987601E-3</v>
      </c>
      <c r="C57">
        <f t="shared" si="31"/>
        <v>1.4454727573448344E-3</v>
      </c>
      <c r="D57" s="60"/>
      <c r="E57" s="5"/>
      <c r="F57" s="5"/>
      <c r="I57" s="51">
        <v>53</v>
      </c>
      <c r="J57" s="41"/>
      <c r="K57" s="41" t="str">
        <f t="shared" si="27"/>
        <v/>
      </c>
      <c r="L57" s="42">
        <f t="shared" si="28"/>
        <v>25</v>
      </c>
      <c r="M57" s="41">
        <f t="shared" si="29"/>
        <v>2000000</v>
      </c>
      <c r="N57" s="43">
        <f t="shared" si="1"/>
        <v>868.19</v>
      </c>
      <c r="O57" s="44">
        <f t="shared" si="2"/>
        <v>903.173</v>
      </c>
      <c r="P57" s="41">
        <f t="shared" si="3"/>
        <v>1736380</v>
      </c>
      <c r="Q57" s="41">
        <f t="shared" si="4"/>
        <v>1806346</v>
      </c>
      <c r="R57" s="44"/>
      <c r="S57" s="44">
        <f t="shared" si="12"/>
        <v>995.93422858952795</v>
      </c>
      <c r="T57" s="52">
        <f t="shared" si="30"/>
        <v>0</v>
      </c>
      <c r="U57" s="53">
        <f t="shared" si="13"/>
        <v>3.2875349425516921E-27</v>
      </c>
      <c r="V57" s="53">
        <f t="shared" si="14"/>
        <v>3.2741685769713372E-27</v>
      </c>
      <c r="W57" s="53">
        <f t="shared" si="15"/>
        <v>0</v>
      </c>
      <c r="X57" s="46">
        <f t="shared" si="5"/>
        <v>1.3366365580354877E-29</v>
      </c>
      <c r="Y57" s="54"/>
      <c r="Z57" s="41">
        <f t="shared" si="16"/>
        <v>5.9372355056892754E-21</v>
      </c>
      <c r="AA57" s="41">
        <f t="shared" si="17"/>
        <v>6.5750698851033839E-23</v>
      </c>
      <c r="AB57" s="41">
        <f t="shared" si="6"/>
        <v>2.4144281000611709E-23</v>
      </c>
      <c r="AC57" s="41">
        <f t="shared" si="7"/>
        <v>2.6732731160709751E-25</v>
      </c>
      <c r="AD57" s="54"/>
      <c r="AE57" s="41">
        <f t="shared" si="8"/>
        <v>0</v>
      </c>
      <c r="AF57" s="41"/>
      <c r="AG57" s="41">
        <f t="shared" si="9"/>
        <v>-3.3415913950887191E-28</v>
      </c>
      <c r="AH57" s="41">
        <f t="shared" si="18"/>
        <v>-6.5483371539426742E-21</v>
      </c>
      <c r="AI57" s="41">
        <f t="shared" si="19"/>
        <v>0</v>
      </c>
      <c r="AJ57" s="41">
        <f t="shared" si="20"/>
        <v>-6.5483374881018135E-21</v>
      </c>
      <c r="AK57" s="41">
        <f t="shared" si="10"/>
        <v>5.9130912246886636E-21</v>
      </c>
      <c r="AL57" s="41">
        <f t="shared" si="21"/>
        <v>2.4011944818161236E-22</v>
      </c>
      <c r="AM57" s="41">
        <f t="shared" si="22"/>
        <v>-3.9512681523153756E-22</v>
      </c>
      <c r="AN57" s="41">
        <f t="shared" si="11"/>
        <v>6.5483371539426737E-23</v>
      </c>
      <c r="AO57" s="41">
        <f t="shared" si="23"/>
        <v>-3.2964344369211083E-22</v>
      </c>
      <c r="AP57" s="45"/>
      <c r="AQ57" s="45"/>
      <c r="AR57" s="48"/>
      <c r="AS57" s="48"/>
      <c r="AT57" s="51">
        <f t="shared" si="24"/>
        <v>53</v>
      </c>
      <c r="AU57" s="49">
        <f t="shared" si="25"/>
        <v>3.2875349425516921E-27</v>
      </c>
      <c r="AV57" s="49">
        <f t="shared" si="26"/>
        <v>3.2741685769713372E-27</v>
      </c>
      <c r="AW57" s="50">
        <f xml:space="preserve"> IF(ISERROR(ROUND((1000*NPV($AT$1,$AV58:$AV$124)-$AW$1*($AU58+NPV($AT$1,$AU59:$AU$124)))/AU58,3)), 0, ROUND((1000*NPV($AT$1,$AV58:$AV$124)-$AW$1*($AU58+NPV($AT$1,$AU59:$AU$124)))/AU58,3))</f>
        <v>903.173</v>
      </c>
      <c r="AX57" s="50">
        <f>IF(ISERROR(ROUND(MAX(0,1000*NPV($AT$2,$AV58:$AV$124)-$AW$2*($AU58+NPV($AT$2,$AU59:$AU$124)))/AU58,3)), 0, ROUND(MAX(0,1000*NPV($AT$2,$AV58:$AV$124)-$AW$2*($AU58+NPV($AT$2,$AU59:$AU$124)))/AU58,3))</f>
        <v>868.19</v>
      </c>
    </row>
    <row r="58" spans="1:50" ht="15" x14ac:dyDescent="0.25">
      <c r="A58">
        <v>33</v>
      </c>
      <c r="B58">
        <v>1.61999112063216E-3</v>
      </c>
      <c r="C58">
        <f t="shared" si="31"/>
        <v>1.5227916533942303E-3</v>
      </c>
      <c r="D58" s="60"/>
      <c r="E58" s="5"/>
      <c r="F58" s="5"/>
      <c r="G58" s="11"/>
      <c r="I58" s="51">
        <v>54</v>
      </c>
      <c r="J58" s="41"/>
      <c r="K58" s="41" t="str">
        <f t="shared" si="27"/>
        <v/>
      </c>
      <c r="L58" s="42">
        <f t="shared" si="28"/>
        <v>25</v>
      </c>
      <c r="M58" s="41">
        <f t="shared" si="29"/>
        <v>2000000</v>
      </c>
      <c r="N58" s="43">
        <f t="shared" si="1"/>
        <v>868.45399999999995</v>
      </c>
      <c r="O58" s="44">
        <f t="shared" si="2"/>
        <v>903.37099999999998</v>
      </c>
      <c r="P58" s="41">
        <f t="shared" si="3"/>
        <v>1736908</v>
      </c>
      <c r="Q58" s="41">
        <f t="shared" si="4"/>
        <v>1806742</v>
      </c>
      <c r="R58" s="44"/>
      <c r="S58" s="44">
        <f t="shared" si="12"/>
        <v>997.87281936828697</v>
      </c>
      <c r="T58" s="52">
        <f t="shared" si="30"/>
        <v>0</v>
      </c>
      <c r="U58" s="53">
        <f t="shared" si="13"/>
        <v>1.3366365580354877E-29</v>
      </c>
      <c r="V58" s="53">
        <f t="shared" si="14"/>
        <v>1.333793290637595E-29</v>
      </c>
      <c r="W58" s="53">
        <f t="shared" si="15"/>
        <v>0</v>
      </c>
      <c r="X58" s="46">
        <f t="shared" si="5"/>
        <v>2.8432673978926759E-32</v>
      </c>
      <c r="Y58" s="54"/>
      <c r="Z58" s="41">
        <f t="shared" si="16"/>
        <v>2.4144281000611709E-23</v>
      </c>
      <c r="AA58" s="41">
        <f t="shared" si="17"/>
        <v>2.6732731160709751E-25</v>
      </c>
      <c r="AB58" s="41">
        <f t="shared" si="6"/>
        <v>5.137050625003409E-26</v>
      </c>
      <c r="AC58" s="41">
        <f t="shared" si="7"/>
        <v>5.6865347957853517E-28</v>
      </c>
      <c r="AD58" s="54"/>
      <c r="AE58" s="41">
        <f t="shared" si="8"/>
        <v>0</v>
      </c>
      <c r="AF58" s="41"/>
      <c r="AG58" s="41">
        <f t="shared" si="9"/>
        <v>-7.1081684947316897E-31</v>
      </c>
      <c r="AH58" s="41">
        <f t="shared" si="18"/>
        <v>-2.6675865812751899E-23</v>
      </c>
      <c r="AI58" s="41">
        <f t="shared" si="19"/>
        <v>0</v>
      </c>
      <c r="AJ58" s="41">
        <f t="shared" si="20"/>
        <v>-2.6675866523568748E-23</v>
      </c>
      <c r="AK58" s="41">
        <f t="shared" si="10"/>
        <v>2.4092910494361677E-23</v>
      </c>
      <c r="AL58" s="41">
        <f t="shared" si="21"/>
        <v>9.7646433248875234E-25</v>
      </c>
      <c r="AM58" s="41">
        <f t="shared" si="22"/>
        <v>-1.6064916967183193E-24</v>
      </c>
      <c r="AN58" s="41">
        <f t="shared" si="11"/>
        <v>2.6675865812751897E-25</v>
      </c>
      <c r="AO58" s="41">
        <f t="shared" si="23"/>
        <v>-1.3397330385908002E-24</v>
      </c>
      <c r="AP58" s="45"/>
      <c r="AQ58" s="45"/>
      <c r="AR58" s="48"/>
      <c r="AS58" s="48"/>
      <c r="AT58" s="51">
        <f t="shared" si="24"/>
        <v>54</v>
      </c>
      <c r="AU58" s="49">
        <f t="shared" si="25"/>
        <v>1.3366365580354877E-29</v>
      </c>
      <c r="AV58" s="49">
        <f t="shared" si="26"/>
        <v>1.333793290637595E-29</v>
      </c>
      <c r="AW58" s="50">
        <f xml:space="preserve"> IF(ISERROR(ROUND((1000*NPV($AT$1,$AV59:$AV$124)-$AW$1*($AU59+NPV($AT$1,$AU60:$AU$124)))/AU59,3)), 0, ROUND((1000*NPV($AT$1,$AV59:$AV$124)-$AW$1*($AU59+NPV($AT$1,$AU60:$AU$124)))/AU59,3))</f>
        <v>903.37099999999998</v>
      </c>
      <c r="AX58" s="50">
        <f>IF(ISERROR(ROUND(MAX(0,1000*NPV($AT$2,$AV59:$AV$124)-$AW$2*($AU59+NPV($AT$2,$AU60:$AU$124)))/AU59,3)), 0, ROUND(MAX(0,1000*NPV($AT$2,$AV59:$AV$124)-$AW$2*($AU59+NPV($AT$2,$AU60:$AU$124)))/AU59,3))</f>
        <v>868.45399999999995</v>
      </c>
    </row>
    <row r="59" spans="1:50" ht="15" x14ac:dyDescent="0.25">
      <c r="A59">
        <v>34</v>
      </c>
      <c r="B59">
        <v>1.7223752285900899E-3</v>
      </c>
      <c r="C59">
        <f t="shared" si="31"/>
        <v>1.6190327148746845E-3</v>
      </c>
      <c r="D59" s="60"/>
      <c r="E59" s="5"/>
      <c r="F59" s="5"/>
      <c r="I59" s="51">
        <v>55</v>
      </c>
      <c r="J59" s="41"/>
      <c r="K59" s="41" t="str">
        <f t="shared" si="27"/>
        <v/>
      </c>
      <c r="L59" s="42">
        <f t="shared" si="28"/>
        <v>25</v>
      </c>
      <c r="M59" s="41">
        <f t="shared" si="29"/>
        <v>2000000</v>
      </c>
      <c r="N59" s="43">
        <f t="shared" si="1"/>
        <v>0</v>
      </c>
      <c r="O59" s="44">
        <f t="shared" si="2"/>
        <v>0</v>
      </c>
      <c r="P59" s="41">
        <f t="shared" si="3"/>
        <v>0</v>
      </c>
      <c r="Q59" s="41">
        <f t="shared" si="4"/>
        <v>0</v>
      </c>
      <c r="R59" s="44"/>
      <c r="S59" s="44">
        <f t="shared" si="12"/>
        <v>1000</v>
      </c>
      <c r="T59" s="52">
        <f t="shared" si="30"/>
        <v>0</v>
      </c>
      <c r="U59" s="53">
        <f t="shared" si="13"/>
        <v>2.8432673978926759E-32</v>
      </c>
      <c r="V59" s="53">
        <f t="shared" si="14"/>
        <v>2.8432673978926759E-32</v>
      </c>
      <c r="W59" s="53">
        <f t="shared" si="15"/>
        <v>0</v>
      </c>
      <c r="X59" s="46">
        <f t="shared" si="5"/>
        <v>0</v>
      </c>
      <c r="Y59" s="54"/>
      <c r="Z59" s="41">
        <f t="shared" si="16"/>
        <v>5.137050625003409E-26</v>
      </c>
      <c r="AA59" s="41">
        <f t="shared" si="17"/>
        <v>5.6865347957853517E-28</v>
      </c>
      <c r="AB59" s="41">
        <f t="shared" si="6"/>
        <v>0</v>
      </c>
      <c r="AC59" s="41">
        <f t="shared" si="7"/>
        <v>0</v>
      </c>
      <c r="AD59" s="54"/>
      <c r="AE59" s="41">
        <f t="shared" si="8"/>
        <v>0</v>
      </c>
      <c r="AF59" s="41"/>
      <c r="AG59" s="41">
        <f t="shared" si="9"/>
        <v>0</v>
      </c>
      <c r="AH59" s="41">
        <f t="shared" si="18"/>
        <v>-5.6865347957853515E-26</v>
      </c>
      <c r="AI59" s="41">
        <f t="shared" si="19"/>
        <v>0</v>
      </c>
      <c r="AJ59" s="41">
        <f t="shared" si="20"/>
        <v>-5.6865347957853515E-26</v>
      </c>
      <c r="AK59" s="41">
        <f t="shared" si="10"/>
        <v>5.137050625003409E-26</v>
      </c>
      <c r="AL59" s="41">
        <f t="shared" si="21"/>
        <v>2.0775663891845049E-27</v>
      </c>
      <c r="AM59" s="41">
        <f t="shared" si="22"/>
        <v>-3.4172753186349199E-27</v>
      </c>
      <c r="AN59" s="41">
        <f t="shared" si="11"/>
        <v>5.6865347957853517E-28</v>
      </c>
      <c r="AO59" s="41">
        <f t="shared" si="23"/>
        <v>-2.8486218390563847E-27</v>
      </c>
      <c r="AP59" s="45"/>
      <c r="AQ59" s="45"/>
      <c r="AR59" s="48"/>
      <c r="AS59" s="48"/>
      <c r="AT59" s="51">
        <f t="shared" si="24"/>
        <v>55</v>
      </c>
      <c r="AU59" s="49">
        <f t="shared" si="25"/>
        <v>2.8432673978926759E-32</v>
      </c>
      <c r="AV59" s="49">
        <f t="shared" si="26"/>
        <v>2.8432673978926759E-32</v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1:50" ht="15" x14ac:dyDescent="0.25">
      <c r="A60">
        <v>35</v>
      </c>
      <c r="B60">
        <v>1.8295553875716799E-3</v>
      </c>
      <c r="C60">
        <f t="shared" si="31"/>
        <v>1.7197820643173791E-3</v>
      </c>
      <c r="D60" s="60"/>
      <c r="E60" s="5"/>
      <c r="F60" s="5"/>
      <c r="I60" s="51"/>
      <c r="J60" s="41"/>
      <c r="K60" s="41" t="str">
        <f t="shared" si="27"/>
        <v/>
      </c>
      <c r="L60" s="42" t="str">
        <f t="shared" si="28"/>
        <v/>
      </c>
      <c r="M60" s="41" t="str">
        <f t="shared" si="29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 t="shared" si="12"/>
        <v/>
      </c>
      <c r="T60" s="52">
        <f t="shared" si="30"/>
        <v>0</v>
      </c>
      <c r="U60" s="53" t="str">
        <f t="shared" si="13"/>
        <v/>
      </c>
      <c r="V60" s="53" t="str">
        <f t="shared" si="14"/>
        <v/>
      </c>
      <c r="W60" s="53" t="str">
        <f t="shared" si="15"/>
        <v/>
      </c>
      <c r="X60" s="46" t="str">
        <f t="shared" si="5"/>
        <v/>
      </c>
      <c r="Y60" s="54"/>
      <c r="Z60" s="41" t="str">
        <f t="shared" si="16"/>
        <v/>
      </c>
      <c r="AA60" s="41" t="str">
        <f t="shared" si="17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/>
      <c r="AG60" s="41" t="str">
        <f t="shared" si="9"/>
        <v/>
      </c>
      <c r="AH60" s="41" t="str">
        <f t="shared" si="18"/>
        <v/>
      </c>
      <c r="AI60" s="41" t="str">
        <f t="shared" si="19"/>
        <v/>
      </c>
      <c r="AJ60" s="41">
        <f t="shared" si="20"/>
        <v>0</v>
      </c>
      <c r="AK60" s="41" t="str">
        <f t="shared" si="10"/>
        <v/>
      </c>
      <c r="AL60" s="41">
        <f t="shared" si="21"/>
        <v>0</v>
      </c>
      <c r="AM60" s="41">
        <f t="shared" si="22"/>
        <v>0</v>
      </c>
      <c r="AN60" s="41" t="str">
        <f t="shared" si="11"/>
        <v/>
      </c>
      <c r="AO60" s="41">
        <f t="shared" si="23"/>
        <v>0</v>
      </c>
      <c r="AP60" s="45"/>
      <c r="AQ60" s="45"/>
      <c r="AR60" s="48"/>
      <c r="AS60" s="48"/>
      <c r="AT60" s="51">
        <f t="shared" si="24"/>
        <v>56</v>
      </c>
      <c r="AU60" s="49" t="str">
        <f t="shared" si="25"/>
        <v/>
      </c>
      <c r="AV60" s="49" t="str">
        <f t="shared" si="26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1.9061096513621799E-3</v>
      </c>
      <c r="C61">
        <f t="shared" si="31"/>
        <v>1.7917430722804489E-3</v>
      </c>
      <c r="D61" s="60"/>
      <c r="E61" s="5"/>
      <c r="F61" s="5"/>
      <c r="I61" s="51"/>
      <c r="J61" s="41"/>
      <c r="K61" s="41" t="str">
        <f t="shared" si="27"/>
        <v/>
      </c>
      <c r="L61" s="42" t="str">
        <f t="shared" si="28"/>
        <v/>
      </c>
      <c r="M61" s="41" t="str">
        <f t="shared" si="29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 t="shared" si="12"/>
        <v/>
      </c>
      <c r="T61" s="52">
        <f t="shared" si="30"/>
        <v>0</v>
      </c>
      <c r="U61" s="53" t="str">
        <f t="shared" si="13"/>
        <v/>
      </c>
      <c r="V61" s="53" t="str">
        <f t="shared" si="14"/>
        <v/>
      </c>
      <c r="W61" s="53" t="str">
        <f t="shared" si="15"/>
        <v/>
      </c>
      <c r="X61" s="46" t="str">
        <f t="shared" si="5"/>
        <v/>
      </c>
      <c r="Y61" s="54"/>
      <c r="Z61" s="41" t="str">
        <f t="shared" si="16"/>
        <v/>
      </c>
      <c r="AA61" s="41" t="str">
        <f t="shared" si="17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18"/>
        <v/>
      </c>
      <c r="AI61" s="41" t="str">
        <f t="shared" si="19"/>
        <v/>
      </c>
      <c r="AJ61" s="41">
        <f t="shared" si="20"/>
        <v>0</v>
      </c>
      <c r="AK61" s="41" t="str">
        <f t="shared" si="10"/>
        <v/>
      </c>
      <c r="AL61" s="41">
        <f t="shared" si="21"/>
        <v>0</v>
      </c>
      <c r="AM61" s="41">
        <f t="shared" si="22"/>
        <v>0</v>
      </c>
      <c r="AN61" s="41" t="str">
        <f t="shared" si="11"/>
        <v/>
      </c>
      <c r="AO61" s="41">
        <f t="shared" si="23"/>
        <v>0</v>
      </c>
      <c r="AP61" s="45"/>
      <c r="AQ61" s="45"/>
      <c r="AR61" s="48"/>
      <c r="AS61" s="48"/>
      <c r="AT61" s="51">
        <f t="shared" si="24"/>
        <v>57</v>
      </c>
      <c r="AU61" s="49" t="str">
        <f t="shared" si="25"/>
        <v/>
      </c>
      <c r="AV61" s="49" t="str">
        <f t="shared" si="26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2.0729855547864098E-3</v>
      </c>
      <c r="C62">
        <f t="shared" si="31"/>
        <v>1.9486064214992251E-3</v>
      </c>
      <c r="D62" s="60"/>
      <c r="E62" s="5"/>
      <c r="F62" s="5"/>
      <c r="I62" s="51"/>
      <c r="J62" s="41"/>
      <c r="K62" s="41" t="str">
        <f t="shared" si="27"/>
        <v/>
      </c>
      <c r="L62" s="42" t="str">
        <f t="shared" si="28"/>
        <v/>
      </c>
      <c r="M62" s="41" t="str">
        <f t="shared" si="29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 t="shared" si="12"/>
        <v/>
      </c>
      <c r="T62" s="52">
        <f t="shared" si="30"/>
        <v>0</v>
      </c>
      <c r="U62" s="53" t="str">
        <f t="shared" si="13"/>
        <v/>
      </c>
      <c r="V62" s="53" t="str">
        <f t="shared" si="14"/>
        <v/>
      </c>
      <c r="W62" s="53" t="str">
        <f t="shared" si="15"/>
        <v/>
      </c>
      <c r="X62" s="46" t="str">
        <f t="shared" si="5"/>
        <v/>
      </c>
      <c r="Y62" s="54"/>
      <c r="Z62" s="41" t="str">
        <f t="shared" si="16"/>
        <v/>
      </c>
      <c r="AA62" s="41" t="str">
        <f t="shared" si="17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18"/>
        <v/>
      </c>
      <c r="AI62" s="41" t="str">
        <f t="shared" si="19"/>
        <v/>
      </c>
      <c r="AJ62" s="41">
        <f t="shared" si="20"/>
        <v>0</v>
      </c>
      <c r="AK62" s="41" t="str">
        <f t="shared" si="10"/>
        <v/>
      </c>
      <c r="AL62" s="41">
        <f t="shared" si="21"/>
        <v>0</v>
      </c>
      <c r="AM62" s="41">
        <f t="shared" si="22"/>
        <v>0</v>
      </c>
      <c r="AN62" s="41" t="str">
        <f t="shared" si="11"/>
        <v/>
      </c>
      <c r="AO62" s="41">
        <f t="shared" si="23"/>
        <v>0</v>
      </c>
      <c r="AP62" s="45"/>
      <c r="AQ62" s="45"/>
      <c r="AR62" s="48"/>
      <c r="AS62" s="48"/>
      <c r="AT62" s="51">
        <f t="shared" si="24"/>
        <v>58</v>
      </c>
      <c r="AU62" s="49" t="str">
        <f t="shared" si="25"/>
        <v/>
      </c>
      <c r="AV62" s="49" t="str">
        <f t="shared" si="26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2.2671550699864301E-3</v>
      </c>
      <c r="C63">
        <f t="shared" si="31"/>
        <v>2.1311257657872442E-3</v>
      </c>
      <c r="D63" s="60"/>
      <c r="E63" s="5"/>
      <c r="F63" s="5"/>
      <c r="I63" s="51"/>
      <c r="J63" s="41"/>
      <c r="K63" s="41" t="str">
        <f t="shared" si="27"/>
        <v/>
      </c>
      <c r="L63" s="42" t="str">
        <f t="shared" si="28"/>
        <v/>
      </c>
      <c r="M63" s="41" t="str">
        <f t="shared" si="29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 t="shared" si="12"/>
        <v/>
      </c>
      <c r="T63" s="52">
        <f t="shared" si="30"/>
        <v>0</v>
      </c>
      <c r="U63" s="53" t="str">
        <f t="shared" si="13"/>
        <v/>
      </c>
      <c r="V63" s="53" t="str">
        <f t="shared" si="14"/>
        <v/>
      </c>
      <c r="W63" s="53" t="str">
        <f t="shared" si="15"/>
        <v/>
      </c>
      <c r="X63" s="46" t="str">
        <f t="shared" si="5"/>
        <v/>
      </c>
      <c r="Y63" s="54"/>
      <c r="Z63" s="41" t="str">
        <f t="shared" si="16"/>
        <v/>
      </c>
      <c r="AA63" s="41" t="str">
        <f t="shared" si="17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18"/>
        <v/>
      </c>
      <c r="AI63" s="41" t="str">
        <f t="shared" si="19"/>
        <v/>
      </c>
      <c r="AJ63" s="41">
        <f t="shared" si="20"/>
        <v>0</v>
      </c>
      <c r="AK63" s="41" t="str">
        <f t="shared" si="10"/>
        <v/>
      </c>
      <c r="AL63" s="41">
        <f t="shared" si="21"/>
        <v>0</v>
      </c>
      <c r="AM63" s="41">
        <f t="shared" si="22"/>
        <v>0</v>
      </c>
      <c r="AN63" s="41" t="str">
        <f t="shared" si="11"/>
        <v/>
      </c>
      <c r="AO63" s="41">
        <f t="shared" si="23"/>
        <v>0</v>
      </c>
      <c r="AP63" s="45"/>
      <c r="AQ63" s="45"/>
      <c r="AR63" s="48"/>
      <c r="AS63" s="48"/>
      <c r="AT63" s="51">
        <f t="shared" si="24"/>
        <v>59</v>
      </c>
      <c r="AU63" s="49" t="str">
        <f t="shared" si="25"/>
        <v/>
      </c>
      <c r="AV63" s="49" t="str">
        <f t="shared" si="26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2.4666126053971599E-3</v>
      </c>
      <c r="C64">
        <f t="shared" si="31"/>
        <v>2.3186158490733303E-3</v>
      </c>
      <c r="D64" s="60"/>
      <c r="E64" s="5"/>
      <c r="F64" s="5"/>
      <c r="I64" s="51"/>
      <c r="J64" s="41"/>
      <c r="K64" s="41" t="str">
        <f t="shared" si="27"/>
        <v/>
      </c>
      <c r="L64" s="42" t="str">
        <f t="shared" si="28"/>
        <v/>
      </c>
      <c r="M64" s="41" t="str">
        <f t="shared" si="29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 t="shared" si="12"/>
        <v/>
      </c>
      <c r="T64" s="52">
        <f t="shared" si="30"/>
        <v>0</v>
      </c>
      <c r="U64" s="53" t="str">
        <f t="shared" si="13"/>
        <v/>
      </c>
      <c r="V64" s="53" t="str">
        <f t="shared" si="14"/>
        <v/>
      </c>
      <c r="W64" s="53" t="str">
        <f t="shared" si="15"/>
        <v/>
      </c>
      <c r="X64" s="46" t="str">
        <f t="shared" si="5"/>
        <v/>
      </c>
      <c r="Y64" s="54"/>
      <c r="Z64" s="41" t="str">
        <f t="shared" si="16"/>
        <v/>
      </c>
      <c r="AA64" s="41" t="str">
        <f t="shared" si="17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18"/>
        <v/>
      </c>
      <c r="AI64" s="41" t="str">
        <f t="shared" si="19"/>
        <v/>
      </c>
      <c r="AJ64" s="41">
        <f t="shared" si="20"/>
        <v>0</v>
      </c>
      <c r="AK64" s="41" t="str">
        <f t="shared" si="10"/>
        <v/>
      </c>
      <c r="AL64" s="41">
        <f t="shared" si="21"/>
        <v>0</v>
      </c>
      <c r="AM64" s="41">
        <f t="shared" si="22"/>
        <v>0</v>
      </c>
      <c r="AN64" s="41" t="str">
        <f t="shared" si="11"/>
        <v/>
      </c>
      <c r="AO64" s="41">
        <f t="shared" si="23"/>
        <v>0</v>
      </c>
      <c r="AP64" s="45"/>
      <c r="AQ64" s="45"/>
      <c r="AR64" s="48"/>
      <c r="AS64" s="48"/>
      <c r="AT64" s="51">
        <f t="shared" si="24"/>
        <v>60</v>
      </c>
      <c r="AU64" s="49" t="str">
        <f t="shared" si="25"/>
        <v/>
      </c>
      <c r="AV64" s="49" t="str">
        <f t="shared" si="26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2.6746803676074302E-3</v>
      </c>
      <c r="C65">
        <f t="shared" si="31"/>
        <v>2.5141995455509841E-3</v>
      </c>
      <c r="D65" s="60"/>
      <c r="E65" s="5"/>
      <c r="F65" s="5"/>
      <c r="I65" s="51"/>
      <c r="J65" s="41"/>
      <c r="K65" s="41" t="str">
        <f t="shared" si="27"/>
        <v/>
      </c>
      <c r="L65" s="42" t="str">
        <f t="shared" si="28"/>
        <v/>
      </c>
      <c r="M65" s="41" t="str">
        <f t="shared" si="29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 t="shared" si="12"/>
        <v/>
      </c>
      <c r="T65" s="52">
        <f t="shared" si="30"/>
        <v>0</v>
      </c>
      <c r="U65" s="53" t="str">
        <f t="shared" si="13"/>
        <v/>
      </c>
      <c r="V65" s="53" t="str">
        <f t="shared" si="14"/>
        <v/>
      </c>
      <c r="W65" s="53" t="str">
        <f t="shared" si="15"/>
        <v/>
      </c>
      <c r="X65" s="46" t="str">
        <f t="shared" si="5"/>
        <v/>
      </c>
      <c r="Y65" s="54"/>
      <c r="Z65" s="41" t="str">
        <f t="shared" si="16"/>
        <v/>
      </c>
      <c r="AA65" s="41" t="str">
        <f t="shared" si="17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18"/>
        <v/>
      </c>
      <c r="AI65" s="41" t="str">
        <f t="shared" si="19"/>
        <v/>
      </c>
      <c r="AJ65" s="41">
        <f t="shared" si="20"/>
        <v>0</v>
      </c>
      <c r="AK65" s="41" t="str">
        <f t="shared" si="10"/>
        <v/>
      </c>
      <c r="AL65" s="41">
        <f t="shared" si="21"/>
        <v>0</v>
      </c>
      <c r="AM65" s="41">
        <f t="shared" si="22"/>
        <v>0</v>
      </c>
      <c r="AN65" s="41" t="str">
        <f t="shared" si="11"/>
        <v/>
      </c>
      <c r="AO65" s="41">
        <f t="shared" si="23"/>
        <v>0</v>
      </c>
      <c r="AP65" s="45"/>
      <c r="AQ65" s="45"/>
      <c r="AR65" s="48"/>
      <c r="AS65" s="48"/>
      <c r="AT65" s="51">
        <f t="shared" si="24"/>
        <v>61</v>
      </c>
      <c r="AU65" s="49" t="str">
        <f t="shared" si="25"/>
        <v/>
      </c>
      <c r="AV65" s="49" t="str">
        <f t="shared" si="26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2.91716333331404E-3</v>
      </c>
      <c r="C66">
        <f t="shared" si="31"/>
        <v>2.7421335333151975E-3</v>
      </c>
      <c r="D66" s="60"/>
      <c r="E66" s="5"/>
      <c r="F66" s="5"/>
      <c r="I66" s="51"/>
      <c r="J66" s="41"/>
      <c r="K66" s="41" t="str">
        <f t="shared" si="27"/>
        <v/>
      </c>
      <c r="L66" s="42" t="str">
        <f t="shared" si="28"/>
        <v/>
      </c>
      <c r="M66" s="41" t="str">
        <f t="shared" si="29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 t="shared" si="12"/>
        <v/>
      </c>
      <c r="T66" s="52">
        <f t="shared" si="30"/>
        <v>0</v>
      </c>
      <c r="U66" s="53" t="str">
        <f t="shared" si="13"/>
        <v/>
      </c>
      <c r="V66" s="53" t="str">
        <f t="shared" si="14"/>
        <v/>
      </c>
      <c r="W66" s="53" t="str">
        <f t="shared" si="15"/>
        <v/>
      </c>
      <c r="X66" s="46" t="str">
        <f t="shared" si="5"/>
        <v/>
      </c>
      <c r="Y66" s="54"/>
      <c r="Z66" s="41" t="str">
        <f t="shared" si="16"/>
        <v/>
      </c>
      <c r="AA66" s="41" t="str">
        <f t="shared" si="17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18"/>
        <v/>
      </c>
      <c r="AI66" s="41" t="str">
        <f t="shared" si="19"/>
        <v/>
      </c>
      <c r="AJ66" s="41">
        <f t="shared" si="20"/>
        <v>0</v>
      </c>
      <c r="AK66" s="41" t="str">
        <f t="shared" si="10"/>
        <v/>
      </c>
      <c r="AL66" s="41">
        <f t="shared" si="21"/>
        <v>0</v>
      </c>
      <c r="AM66" s="41">
        <f t="shared" si="22"/>
        <v>0</v>
      </c>
      <c r="AN66" s="41" t="str">
        <f t="shared" si="11"/>
        <v/>
      </c>
      <c r="AO66" s="41">
        <f t="shared" si="23"/>
        <v>0</v>
      </c>
      <c r="AP66" s="45"/>
      <c r="AQ66" s="45"/>
      <c r="AR66" s="48"/>
      <c r="AS66" s="48"/>
      <c r="AT66" s="51">
        <f t="shared" si="24"/>
        <v>62</v>
      </c>
      <c r="AU66" s="49" t="str">
        <f t="shared" si="25"/>
        <v/>
      </c>
      <c r="AV66" s="49" t="str">
        <f t="shared" si="26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3.1578635799037699E-3</v>
      </c>
      <c r="C67">
        <f t="shared" si="31"/>
        <v>2.9683917651095433E-3</v>
      </c>
      <c r="D67" s="60"/>
      <c r="E67" s="5"/>
      <c r="F67" s="5"/>
      <c r="I67" s="51"/>
      <c r="J67" s="41"/>
      <c r="K67" s="41" t="str">
        <f t="shared" si="27"/>
        <v/>
      </c>
      <c r="L67" s="42" t="str">
        <f t="shared" si="28"/>
        <v/>
      </c>
      <c r="M67" s="41" t="str">
        <f t="shared" si="29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 t="shared" si="12"/>
        <v/>
      </c>
      <c r="T67" s="52">
        <f t="shared" si="30"/>
        <v>0</v>
      </c>
      <c r="U67" s="53" t="str">
        <f t="shared" si="13"/>
        <v/>
      </c>
      <c r="V67" s="53" t="str">
        <f t="shared" si="14"/>
        <v/>
      </c>
      <c r="W67" s="53" t="str">
        <f t="shared" si="15"/>
        <v/>
      </c>
      <c r="X67" s="46" t="str">
        <f t="shared" si="5"/>
        <v/>
      </c>
      <c r="Y67" s="54"/>
      <c r="Z67" s="41" t="str">
        <f t="shared" si="16"/>
        <v/>
      </c>
      <c r="AA67" s="41" t="str">
        <f t="shared" si="17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18"/>
        <v/>
      </c>
      <c r="AI67" s="41" t="str">
        <f t="shared" si="19"/>
        <v/>
      </c>
      <c r="AJ67" s="41">
        <f t="shared" si="20"/>
        <v>0</v>
      </c>
      <c r="AK67" s="41" t="str">
        <f t="shared" si="10"/>
        <v/>
      </c>
      <c r="AL67" s="41">
        <f t="shared" si="21"/>
        <v>0</v>
      </c>
      <c r="AM67" s="41">
        <f t="shared" si="22"/>
        <v>0</v>
      </c>
      <c r="AN67" s="41" t="str">
        <f t="shared" si="11"/>
        <v/>
      </c>
      <c r="AO67" s="41">
        <f t="shared" si="23"/>
        <v>0</v>
      </c>
      <c r="AP67" s="45"/>
      <c r="AQ67" s="45"/>
      <c r="AR67" s="48"/>
      <c r="AS67" s="48"/>
      <c r="AT67" s="51">
        <f t="shared" si="24"/>
        <v>63</v>
      </c>
      <c r="AU67" s="49" t="str">
        <f t="shared" si="25"/>
        <v/>
      </c>
      <c r="AV67" s="49" t="str">
        <f t="shared" si="26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3.4323323492904101E-3</v>
      </c>
      <c r="C68">
        <f t="shared" si="31"/>
        <v>3.2263924083329853E-3</v>
      </c>
      <c r="D68" s="60"/>
      <c r="E68" s="5"/>
      <c r="F68" s="5"/>
      <c r="I68" s="51"/>
      <c r="J68" s="41"/>
      <c r="K68" s="41" t="str">
        <f t="shared" si="27"/>
        <v/>
      </c>
      <c r="L68" s="42" t="str">
        <f t="shared" si="28"/>
        <v/>
      </c>
      <c r="M68" s="41" t="str">
        <f t="shared" si="29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 t="shared" si="12"/>
        <v/>
      </c>
      <c r="T68" s="52">
        <f t="shared" si="30"/>
        <v>0</v>
      </c>
      <c r="U68" s="53" t="str">
        <f t="shared" si="13"/>
        <v/>
      </c>
      <c r="V68" s="53" t="str">
        <f t="shared" si="14"/>
        <v/>
      </c>
      <c r="W68" s="53" t="str">
        <f t="shared" si="15"/>
        <v/>
      </c>
      <c r="X68" s="46" t="str">
        <f t="shared" si="5"/>
        <v/>
      </c>
      <c r="Y68" s="54"/>
      <c r="Z68" s="41" t="str">
        <f t="shared" si="16"/>
        <v/>
      </c>
      <c r="AA68" s="41" t="str">
        <f t="shared" si="17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18"/>
        <v/>
      </c>
      <c r="AI68" s="41" t="str">
        <f t="shared" si="19"/>
        <v/>
      </c>
      <c r="AJ68" s="41">
        <f t="shared" si="20"/>
        <v>0</v>
      </c>
      <c r="AK68" s="41" t="str">
        <f t="shared" si="10"/>
        <v/>
      </c>
      <c r="AL68" s="41">
        <f t="shared" si="21"/>
        <v>0</v>
      </c>
      <c r="AM68" s="41">
        <f t="shared" si="22"/>
        <v>0</v>
      </c>
      <c r="AN68" s="41" t="str">
        <f t="shared" si="11"/>
        <v/>
      </c>
      <c r="AO68" s="41">
        <f t="shared" si="23"/>
        <v>0</v>
      </c>
      <c r="AP68" s="45"/>
      <c r="AQ68" s="45"/>
      <c r="AR68" s="48"/>
      <c r="AS68" s="48"/>
      <c r="AT68" s="51">
        <f t="shared" si="24"/>
        <v>64</v>
      </c>
      <c r="AU68" s="49" t="str">
        <f t="shared" si="25"/>
        <v/>
      </c>
      <c r="AV68" s="49" t="str">
        <f t="shared" si="26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3.7277862310600698E-3</v>
      </c>
      <c r="C69">
        <f t="shared" si="31"/>
        <v>3.5041190571964654E-3</v>
      </c>
      <c r="D69" s="60"/>
      <c r="E69" s="5"/>
      <c r="F69" s="5"/>
      <c r="I69" s="51"/>
      <c r="J69" s="41"/>
      <c r="K69" s="41" t="str">
        <f t="shared" si="27"/>
        <v/>
      </c>
      <c r="L69" s="42" t="str">
        <f t="shared" si="28"/>
        <v/>
      </c>
      <c r="M69" s="41" t="str">
        <f t="shared" si="29"/>
        <v/>
      </c>
      <c r="N69" s="43">
        <f t="shared" ref="N69:N123" si="32">AX69</f>
        <v>0</v>
      </c>
      <c r="O69" s="44">
        <f t="shared" ref="O69:O123" si="33">AW69</f>
        <v>0</v>
      </c>
      <c r="P69" s="41" t="str">
        <f t="shared" ref="P69:P124" si="34">IF(I69&lt;&gt;"", M69*N69/1000, "")</f>
        <v/>
      </c>
      <c r="Q69" s="41" t="str">
        <f t="shared" ref="Q69:Q124" si="35">IF(I69&lt;&gt;"", M69*O69/1000, "")</f>
        <v/>
      </c>
      <c r="R69" s="44"/>
      <c r="S69" s="44" t="str">
        <f t="shared" si="12"/>
        <v/>
      </c>
      <c r="T69" s="52">
        <f t="shared" si="30"/>
        <v>0</v>
      </c>
      <c r="U69" s="53" t="str">
        <f t="shared" si="13"/>
        <v/>
      </c>
      <c r="V69" s="53" t="str">
        <f t="shared" si="14"/>
        <v/>
      </c>
      <c r="W69" s="53" t="str">
        <f t="shared" si="15"/>
        <v/>
      </c>
      <c r="X69" s="46" t="str">
        <f t="shared" ref="X69:X124" si="36">IF(I69&lt;&gt;"", U69-SUM(V69:W69), "")</f>
        <v/>
      </c>
      <c r="Y69" s="54"/>
      <c r="Z69" s="41" t="str">
        <f t="shared" si="16"/>
        <v/>
      </c>
      <c r="AA69" s="41" t="str">
        <f t="shared" si="17"/>
        <v/>
      </c>
      <c r="AB69" s="41" t="str">
        <f t="shared" ref="AB69:AB124" si="37">IF(I69&lt;&gt;"", Q69*X69, "" )</f>
        <v/>
      </c>
      <c r="AC69" s="41" t="str">
        <f t="shared" ref="AC69:AC124" si="38">IF(I69&lt;&gt;"", $H$14*M69*X69, "")</f>
        <v/>
      </c>
      <c r="AD69" s="54"/>
      <c r="AE69" s="41" t="str">
        <f t="shared" ref="AE69:AE124" si="39">IF(I69&lt;&gt;"", $X69*J69, "")</f>
        <v/>
      </c>
      <c r="AF69" s="41"/>
      <c r="AG69" s="41" t="str">
        <f t="shared" ref="AG69:AG124" si="40">IF(I69&lt;&gt;"", -$X69*L69, "")</f>
        <v/>
      </c>
      <c r="AH69" s="41" t="str">
        <f t="shared" si="18"/>
        <v/>
      </c>
      <c r="AI69" s="41" t="str">
        <f t="shared" si="19"/>
        <v/>
      </c>
      <c r="AJ69" s="41">
        <f t="shared" ref="AJ69:AJ124" si="41">SUM(AE69:AI69)</f>
        <v>0</v>
      </c>
      <c r="AK69" s="41" t="str">
        <f t="shared" ref="AK69:AK124" si="42">IF(I69&lt;&gt;"", Z69-AB69, "")</f>
        <v/>
      </c>
      <c r="AL69" s="41">
        <f t="shared" si="21"/>
        <v>0</v>
      </c>
      <c r="AM69" s="41">
        <f t="shared" ref="AM69:AM124" si="43">SUM(AJ69:AL69)</f>
        <v>0</v>
      </c>
      <c r="AN69" s="41" t="str">
        <f t="shared" ref="AN69:AN124" si="44">IF(I69&lt;&gt;"", AA69-AC69, "")</f>
        <v/>
      </c>
      <c r="AO69" s="41">
        <f t="shared" ref="AO69:AO78" si="45">SUM(AM69:AN69)</f>
        <v>0</v>
      </c>
      <c r="AP69" s="45"/>
      <c r="AQ69" s="45"/>
      <c r="AR69" s="48"/>
      <c r="AS69" s="48"/>
      <c r="AT69" s="51">
        <f t="shared" si="24"/>
        <v>65</v>
      </c>
      <c r="AU69" s="49" t="str">
        <f t="shared" si="25"/>
        <v/>
      </c>
      <c r="AV69" s="49" t="str">
        <f t="shared" si="26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4.0498596046726299E-3</v>
      </c>
      <c r="C70">
        <f t="shared" si="31"/>
        <v>3.8068680283922718E-3</v>
      </c>
      <c r="D70" s="60"/>
      <c r="E70" s="5"/>
      <c r="F70" s="5"/>
      <c r="I70" s="51"/>
      <c r="J70" s="41"/>
      <c r="K70" s="41" t="str">
        <f t="shared" si="27"/>
        <v/>
      </c>
      <c r="L70" s="42" t="str">
        <f t="shared" si="28"/>
        <v/>
      </c>
      <c r="M70" s="41" t="str">
        <f t="shared" si="29"/>
        <v/>
      </c>
      <c r="N70" s="43">
        <f t="shared" si="32"/>
        <v>0</v>
      </c>
      <c r="O70" s="44">
        <f t="shared" si="33"/>
        <v>0</v>
      </c>
      <c r="P70" s="41" t="str">
        <f t="shared" si="34"/>
        <v/>
      </c>
      <c r="Q70" s="41" t="str">
        <f t="shared" si="35"/>
        <v/>
      </c>
      <c r="R70" s="44"/>
      <c r="S70" s="44" t="str">
        <f t="shared" ref="S70:S124" si="46">IF(I70&lt;&gt;"",_xlfn.XLOOKUP($D$4+I70,$A$26:$A$145,$B$26:$B$145,0) * 1000,"")</f>
        <v/>
      </c>
      <c r="T70" s="52">
        <f t="shared" si="30"/>
        <v>0</v>
      </c>
      <c r="U70" s="53" t="str">
        <f t="shared" ref="U70:U124" si="47">IF(I70&lt;&gt;"", X69, "")</f>
        <v/>
      </c>
      <c r="V70" s="53" t="str">
        <f t="shared" ref="V70:V124" si="48">IF(I70&lt;&gt;"", S70*U70/1000, "")</f>
        <v/>
      </c>
      <c r="W70" s="53" t="str">
        <f t="shared" ref="W70:W124" si="49">IF(I70&lt;&gt;"", MIN(T70*U70,U70-V70), "")</f>
        <v/>
      </c>
      <c r="X70" s="46" t="str">
        <f t="shared" si="36"/>
        <v/>
      </c>
      <c r="Y70" s="54"/>
      <c r="Z70" s="41" t="str">
        <f t="shared" ref="Z70:Z124" si="50">IF(I70&lt;&gt;"",AB69,"")</f>
        <v/>
      </c>
      <c r="AA70" s="41" t="str">
        <f t="shared" ref="AA70:AA124" si="51">IF(I70&lt;&gt;"", AC69, "")</f>
        <v/>
      </c>
      <c r="AB70" s="41" t="str">
        <f t="shared" si="37"/>
        <v/>
      </c>
      <c r="AC70" s="41" t="str">
        <f t="shared" si="38"/>
        <v/>
      </c>
      <c r="AD70" s="54"/>
      <c r="AE70" s="41" t="str">
        <f t="shared" si="39"/>
        <v/>
      </c>
      <c r="AF70" s="41"/>
      <c r="AG70" s="41" t="str">
        <f t="shared" si="40"/>
        <v/>
      </c>
      <c r="AH70" s="41" t="str">
        <f t="shared" ref="AH70:AH124" si="52">IF(I70&lt;&gt;"",-M70*V70,"")</f>
        <v/>
      </c>
      <c r="AI70" s="41" t="str">
        <f t="shared" ref="AI70:AI124" si="53">IF(I70 &lt;&gt; "", -P70*W70, "")</f>
        <v/>
      </c>
      <c r="AJ70" s="41">
        <f t="shared" si="41"/>
        <v>0</v>
      </c>
      <c r="AK70" s="41" t="str">
        <f t="shared" si="42"/>
        <v/>
      </c>
      <c r="AL70" s="41">
        <f t="shared" ref="AL70:AL124" si="54">$D$6*SUM(Z70:AA70,AE70:AF70)</f>
        <v>0</v>
      </c>
      <c r="AM70" s="41">
        <f t="shared" si="43"/>
        <v>0</v>
      </c>
      <c r="AN70" s="41" t="str">
        <f t="shared" si="44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5">AT69+1</f>
        <v>66</v>
      </c>
      <c r="AU70" s="49" t="str">
        <f t="shared" ref="AU70:AU124" si="56">IF(I70&lt;&gt;"", AU69-AV69, "")</f>
        <v/>
      </c>
      <c r="AV70" s="49" t="str">
        <f t="shared" ref="AV70:AV124" si="57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4.2849307627195196E-3</v>
      </c>
      <c r="C71">
        <f t="shared" si="31"/>
        <v>4.0278349169563486E-3</v>
      </c>
      <c r="D71" s="60"/>
      <c r="E71" s="5"/>
      <c r="F71" s="5"/>
      <c r="I71" s="51"/>
      <c r="J71" s="41"/>
      <c r="K71" s="41" t="str">
        <f t="shared" ref="K71:K124" si="58">IF(J71&lt;&gt;"",J71*$C$17,"")</f>
        <v/>
      </c>
      <c r="L71" s="42" t="str">
        <f t="shared" ref="L71:L124" si="59">IF(I71&lt;&gt;"",$C$21,"")</f>
        <v/>
      </c>
      <c r="M71" s="41" t="str">
        <f t="shared" ref="M71:M124" si="60">IF(I71&lt;&gt;"",$E$11,"")</f>
        <v/>
      </c>
      <c r="N71" s="43">
        <f t="shared" si="32"/>
        <v>0</v>
      </c>
      <c r="O71" s="44">
        <f t="shared" si="33"/>
        <v>0</v>
      </c>
      <c r="P71" s="41" t="str">
        <f t="shared" si="34"/>
        <v/>
      </c>
      <c r="Q71" s="41" t="str">
        <f t="shared" si="35"/>
        <v/>
      </c>
      <c r="R71" s="44"/>
      <c r="S71" s="44" t="str">
        <f t="shared" si="46"/>
        <v/>
      </c>
      <c r="T71" s="52">
        <f t="shared" si="30"/>
        <v>0</v>
      </c>
      <c r="U71" s="53" t="str">
        <f t="shared" si="47"/>
        <v/>
      </c>
      <c r="V71" s="53" t="str">
        <f t="shared" si="48"/>
        <v/>
      </c>
      <c r="W71" s="53" t="str">
        <f t="shared" si="49"/>
        <v/>
      </c>
      <c r="X71" s="46" t="str">
        <f t="shared" si="36"/>
        <v/>
      </c>
      <c r="Y71" s="54"/>
      <c r="Z71" s="41" t="str">
        <f t="shared" si="50"/>
        <v/>
      </c>
      <c r="AA71" s="41" t="str">
        <f t="shared" si="51"/>
        <v/>
      </c>
      <c r="AB71" s="41" t="str">
        <f t="shared" si="37"/>
        <v/>
      </c>
      <c r="AC71" s="41" t="str">
        <f t="shared" si="38"/>
        <v/>
      </c>
      <c r="AD71" s="54"/>
      <c r="AE71" s="41" t="str">
        <f t="shared" si="39"/>
        <v/>
      </c>
      <c r="AF71" s="41"/>
      <c r="AG71" s="41" t="str">
        <f t="shared" si="40"/>
        <v/>
      </c>
      <c r="AH71" s="41" t="str">
        <f t="shared" si="52"/>
        <v/>
      </c>
      <c r="AI71" s="41" t="str">
        <f t="shared" si="53"/>
        <v/>
      </c>
      <c r="AJ71" s="41">
        <f t="shared" si="41"/>
        <v>0</v>
      </c>
      <c r="AK71" s="41" t="str">
        <f t="shared" si="42"/>
        <v/>
      </c>
      <c r="AL71" s="41">
        <f t="shared" si="54"/>
        <v>0</v>
      </c>
      <c r="AM71" s="41">
        <f t="shared" si="43"/>
        <v>0</v>
      </c>
      <c r="AN71" s="41" t="str">
        <f t="shared" si="44"/>
        <v/>
      </c>
      <c r="AO71" s="41">
        <f t="shared" si="45"/>
        <v>0</v>
      </c>
      <c r="AP71" s="45"/>
      <c r="AQ71" s="45"/>
      <c r="AR71" s="48"/>
      <c r="AS71" s="48"/>
      <c r="AT71" s="51">
        <f t="shared" si="55"/>
        <v>67</v>
      </c>
      <c r="AU71" s="49" t="str">
        <f t="shared" si="56"/>
        <v/>
      </c>
      <c r="AV71" s="49" t="str">
        <f t="shared" si="57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4.6767122311041102E-3</v>
      </c>
      <c r="C72">
        <f t="shared" si="31"/>
        <v>4.3961094972378633E-3</v>
      </c>
      <c r="D72" s="60"/>
      <c r="E72" s="5"/>
      <c r="F72" s="5"/>
      <c r="I72" s="51"/>
      <c r="J72" s="41"/>
      <c r="K72" s="41" t="str">
        <f t="shared" si="58"/>
        <v/>
      </c>
      <c r="L72" s="42" t="str">
        <f t="shared" si="59"/>
        <v/>
      </c>
      <c r="M72" s="41" t="str">
        <f t="shared" si="60"/>
        <v/>
      </c>
      <c r="N72" s="43">
        <f>AX72</f>
        <v>0</v>
      </c>
      <c r="O72" s="44">
        <f t="shared" si="33"/>
        <v>0</v>
      </c>
      <c r="P72" s="41" t="str">
        <f t="shared" si="34"/>
        <v/>
      </c>
      <c r="Q72" s="41" t="str">
        <f t="shared" si="35"/>
        <v/>
      </c>
      <c r="R72" s="44"/>
      <c r="S72" s="44" t="str">
        <f t="shared" si="46"/>
        <v/>
      </c>
      <c r="T72" s="52">
        <f t="shared" si="30"/>
        <v>0</v>
      </c>
      <c r="U72" s="53" t="str">
        <f t="shared" si="47"/>
        <v/>
      </c>
      <c r="V72" s="53" t="str">
        <f t="shared" si="48"/>
        <v/>
      </c>
      <c r="W72" s="53" t="str">
        <f t="shared" si="49"/>
        <v/>
      </c>
      <c r="X72" s="46" t="str">
        <f t="shared" si="36"/>
        <v/>
      </c>
      <c r="Y72" s="54"/>
      <c r="Z72" s="41" t="str">
        <f t="shared" si="50"/>
        <v/>
      </c>
      <c r="AA72" s="41" t="str">
        <f t="shared" si="51"/>
        <v/>
      </c>
      <c r="AB72" s="41" t="str">
        <f t="shared" si="37"/>
        <v/>
      </c>
      <c r="AC72" s="41" t="str">
        <f t="shared" si="38"/>
        <v/>
      </c>
      <c r="AD72" s="54"/>
      <c r="AE72" s="41" t="str">
        <f t="shared" si="39"/>
        <v/>
      </c>
      <c r="AF72" s="41"/>
      <c r="AG72" s="41" t="str">
        <f t="shared" si="40"/>
        <v/>
      </c>
      <c r="AH72" s="41" t="str">
        <f t="shared" si="52"/>
        <v/>
      </c>
      <c r="AI72" s="41" t="str">
        <f t="shared" si="53"/>
        <v/>
      </c>
      <c r="AJ72" s="41">
        <f t="shared" si="41"/>
        <v>0</v>
      </c>
      <c r="AK72" s="41" t="str">
        <f t="shared" si="42"/>
        <v/>
      </c>
      <c r="AL72" s="41">
        <f t="shared" si="54"/>
        <v>0</v>
      </c>
      <c r="AM72" s="41">
        <f t="shared" si="43"/>
        <v>0</v>
      </c>
      <c r="AN72" s="41" t="str">
        <f t="shared" si="44"/>
        <v/>
      </c>
      <c r="AO72" s="41">
        <f t="shared" si="45"/>
        <v>0</v>
      </c>
      <c r="AP72" s="45"/>
      <c r="AQ72" s="45"/>
      <c r="AR72" s="48"/>
      <c r="AS72" s="48"/>
      <c r="AT72" s="51">
        <f t="shared" si="55"/>
        <v>68</v>
      </c>
      <c r="AU72" s="49" t="str">
        <f t="shared" si="56"/>
        <v/>
      </c>
      <c r="AV72" s="49" t="str">
        <f t="shared" si="57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5.1269094746230204E-3</v>
      </c>
      <c r="C73">
        <f t="shared" si="31"/>
        <v>4.8192949061456386E-3</v>
      </c>
      <c r="D73" s="60"/>
      <c r="E73" s="5"/>
      <c r="F73" s="5"/>
      <c r="I73" s="51"/>
      <c r="J73" s="41"/>
      <c r="K73" s="41" t="str">
        <f t="shared" si="58"/>
        <v/>
      </c>
      <c r="L73" s="42" t="str">
        <f t="shared" si="59"/>
        <v/>
      </c>
      <c r="M73" s="41" t="str">
        <f t="shared" si="60"/>
        <v/>
      </c>
      <c r="N73" s="43">
        <f t="shared" si="32"/>
        <v>0</v>
      </c>
      <c r="O73" s="44">
        <f t="shared" si="33"/>
        <v>0</v>
      </c>
      <c r="P73" s="41" t="str">
        <f t="shared" si="34"/>
        <v/>
      </c>
      <c r="Q73" s="41" t="str">
        <f t="shared" si="35"/>
        <v/>
      </c>
      <c r="R73" s="44"/>
      <c r="S73" s="44" t="str">
        <f t="shared" si="46"/>
        <v/>
      </c>
      <c r="T73" s="52">
        <f t="shared" si="30"/>
        <v>0</v>
      </c>
      <c r="U73" s="53" t="str">
        <f t="shared" si="47"/>
        <v/>
      </c>
      <c r="V73" s="53" t="str">
        <f t="shared" si="48"/>
        <v/>
      </c>
      <c r="W73" s="53" t="str">
        <f t="shared" si="49"/>
        <v/>
      </c>
      <c r="X73" s="46" t="str">
        <f t="shared" si="36"/>
        <v/>
      </c>
      <c r="Y73" s="54"/>
      <c r="Z73" s="41" t="str">
        <f t="shared" si="50"/>
        <v/>
      </c>
      <c r="AA73" s="41" t="str">
        <f t="shared" si="51"/>
        <v/>
      </c>
      <c r="AB73" s="41" t="str">
        <f t="shared" si="37"/>
        <v/>
      </c>
      <c r="AC73" s="41" t="str">
        <f t="shared" si="38"/>
        <v/>
      </c>
      <c r="AD73" s="54"/>
      <c r="AE73" s="41" t="str">
        <f t="shared" si="39"/>
        <v/>
      </c>
      <c r="AF73" s="41"/>
      <c r="AG73" s="41" t="str">
        <f t="shared" si="40"/>
        <v/>
      </c>
      <c r="AH73" s="41" t="str">
        <f t="shared" si="52"/>
        <v/>
      </c>
      <c r="AI73" s="41" t="str">
        <f t="shared" si="53"/>
        <v/>
      </c>
      <c r="AJ73" s="41">
        <f t="shared" si="41"/>
        <v>0</v>
      </c>
      <c r="AK73" s="41" t="str">
        <f t="shared" si="42"/>
        <v/>
      </c>
      <c r="AL73" s="41">
        <f t="shared" si="54"/>
        <v>0</v>
      </c>
      <c r="AM73" s="41">
        <f t="shared" si="43"/>
        <v>0</v>
      </c>
      <c r="AN73" s="41" t="str">
        <f t="shared" si="44"/>
        <v/>
      </c>
      <c r="AO73" s="41">
        <f t="shared" si="45"/>
        <v>0</v>
      </c>
      <c r="AP73" s="45"/>
      <c r="AQ73" s="45"/>
      <c r="AR73" s="48"/>
      <c r="AS73" s="48"/>
      <c r="AT73" s="51">
        <f t="shared" si="55"/>
        <v>69</v>
      </c>
      <c r="AU73" s="49" t="str">
        <f t="shared" si="56"/>
        <v/>
      </c>
      <c r="AV73" s="49" t="str">
        <f t="shared" si="57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5.6038957116913996E-3</v>
      </c>
      <c r="C74">
        <f t="shared" si="31"/>
        <v>5.2676619689899151E-3</v>
      </c>
      <c r="D74" s="60"/>
      <c r="E74" s="5"/>
      <c r="F74" s="5"/>
      <c r="I74" s="51"/>
      <c r="J74" s="41"/>
      <c r="K74" s="41" t="str">
        <f t="shared" si="58"/>
        <v/>
      </c>
      <c r="L74" s="42" t="str">
        <f t="shared" si="59"/>
        <v/>
      </c>
      <c r="M74" s="41" t="str">
        <f t="shared" si="60"/>
        <v/>
      </c>
      <c r="N74" s="43">
        <f t="shared" si="32"/>
        <v>0</v>
      </c>
      <c r="O74" s="44">
        <f t="shared" si="33"/>
        <v>0</v>
      </c>
      <c r="P74" s="41" t="str">
        <f t="shared" si="34"/>
        <v/>
      </c>
      <c r="Q74" s="41" t="str">
        <f t="shared" si="35"/>
        <v/>
      </c>
      <c r="R74" s="44"/>
      <c r="S74" s="44" t="str">
        <f t="shared" si="46"/>
        <v/>
      </c>
      <c r="T74" s="52">
        <f t="shared" si="30"/>
        <v>0</v>
      </c>
      <c r="U74" s="53" t="str">
        <f t="shared" si="47"/>
        <v/>
      </c>
      <c r="V74" s="53" t="str">
        <f t="shared" si="48"/>
        <v/>
      </c>
      <c r="W74" s="53" t="str">
        <f t="shared" si="49"/>
        <v/>
      </c>
      <c r="X74" s="46" t="str">
        <f t="shared" si="36"/>
        <v/>
      </c>
      <c r="Y74" s="54"/>
      <c r="Z74" s="41" t="str">
        <f t="shared" si="50"/>
        <v/>
      </c>
      <c r="AA74" s="41" t="str">
        <f t="shared" si="51"/>
        <v/>
      </c>
      <c r="AB74" s="41" t="str">
        <f t="shared" si="37"/>
        <v/>
      </c>
      <c r="AC74" s="41" t="str">
        <f t="shared" si="38"/>
        <v/>
      </c>
      <c r="AD74" s="54"/>
      <c r="AE74" s="41" t="str">
        <f t="shared" si="39"/>
        <v/>
      </c>
      <c r="AF74" s="41"/>
      <c r="AG74" s="41" t="str">
        <f t="shared" si="40"/>
        <v/>
      </c>
      <c r="AH74" s="41" t="str">
        <f t="shared" si="52"/>
        <v/>
      </c>
      <c r="AI74" s="41" t="str">
        <f t="shared" si="53"/>
        <v/>
      </c>
      <c r="AJ74" s="41">
        <f t="shared" si="41"/>
        <v>0</v>
      </c>
      <c r="AK74" s="41" t="str">
        <f t="shared" si="42"/>
        <v/>
      </c>
      <c r="AL74" s="41">
        <f t="shared" si="54"/>
        <v>0</v>
      </c>
      <c r="AM74" s="41">
        <f t="shared" si="43"/>
        <v>0</v>
      </c>
      <c r="AN74" s="41" t="str">
        <f t="shared" si="44"/>
        <v/>
      </c>
      <c r="AO74" s="41">
        <f t="shared" si="45"/>
        <v>0</v>
      </c>
      <c r="AP74" s="45"/>
      <c r="AQ74" s="45"/>
      <c r="AR74" s="48"/>
      <c r="AS74" s="48"/>
      <c r="AT74" s="51">
        <f t="shared" si="55"/>
        <v>70</v>
      </c>
      <c r="AU74" s="49" t="str">
        <f t="shared" si="56"/>
        <v/>
      </c>
      <c r="AV74" s="49" t="str">
        <f t="shared" si="57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6.12642839455446E-3</v>
      </c>
      <c r="C75">
        <f t="shared" si="31"/>
        <v>5.7588426908811918E-3</v>
      </c>
      <c r="D75" s="60"/>
      <c r="E75" s="5"/>
      <c r="F75" s="5"/>
      <c r="I75" s="51"/>
      <c r="J75" s="41"/>
      <c r="K75" s="41" t="str">
        <f t="shared" si="58"/>
        <v/>
      </c>
      <c r="L75" s="42" t="str">
        <f t="shared" si="59"/>
        <v/>
      </c>
      <c r="M75" s="41" t="str">
        <f t="shared" si="60"/>
        <v/>
      </c>
      <c r="N75" s="43">
        <f t="shared" si="32"/>
        <v>0</v>
      </c>
      <c r="O75" s="44">
        <f t="shared" si="33"/>
        <v>0</v>
      </c>
      <c r="P75" s="41" t="str">
        <f t="shared" si="34"/>
        <v/>
      </c>
      <c r="Q75" s="41" t="str">
        <f t="shared" si="35"/>
        <v/>
      </c>
      <c r="R75" s="44"/>
      <c r="S75" s="44" t="str">
        <f t="shared" si="46"/>
        <v/>
      </c>
      <c r="T75" s="52">
        <f t="shared" si="30"/>
        <v>0</v>
      </c>
      <c r="U75" s="53" t="str">
        <f t="shared" si="47"/>
        <v/>
      </c>
      <c r="V75" s="53" t="str">
        <f t="shared" si="48"/>
        <v/>
      </c>
      <c r="W75" s="53" t="str">
        <f t="shared" si="49"/>
        <v/>
      </c>
      <c r="X75" s="46" t="str">
        <f t="shared" si="36"/>
        <v/>
      </c>
      <c r="Y75" s="54"/>
      <c r="Z75" s="41" t="str">
        <f t="shared" si="50"/>
        <v/>
      </c>
      <c r="AA75" s="41" t="str">
        <f t="shared" si="51"/>
        <v/>
      </c>
      <c r="AB75" s="41" t="str">
        <f t="shared" si="37"/>
        <v/>
      </c>
      <c r="AC75" s="41" t="str">
        <f t="shared" si="38"/>
        <v/>
      </c>
      <c r="AD75" s="54"/>
      <c r="AE75" s="41" t="str">
        <f t="shared" si="39"/>
        <v/>
      </c>
      <c r="AF75" s="41"/>
      <c r="AG75" s="41" t="str">
        <f t="shared" si="40"/>
        <v/>
      </c>
      <c r="AH75" s="41" t="str">
        <f t="shared" si="52"/>
        <v/>
      </c>
      <c r="AI75" s="41" t="str">
        <f t="shared" si="53"/>
        <v/>
      </c>
      <c r="AJ75" s="41">
        <f t="shared" si="41"/>
        <v>0</v>
      </c>
      <c r="AK75" s="41" t="str">
        <f t="shared" si="42"/>
        <v/>
      </c>
      <c r="AL75" s="41">
        <f t="shared" si="54"/>
        <v>0</v>
      </c>
      <c r="AM75" s="41">
        <f t="shared" si="43"/>
        <v>0</v>
      </c>
      <c r="AN75" s="41" t="str">
        <f t="shared" si="44"/>
        <v/>
      </c>
      <c r="AO75" s="41">
        <f t="shared" si="45"/>
        <v>0</v>
      </c>
      <c r="AP75" s="45"/>
      <c r="AQ75" s="45"/>
      <c r="AR75" s="48"/>
      <c r="AS75" s="48"/>
      <c r="AT75" s="51">
        <f t="shared" si="55"/>
        <v>71</v>
      </c>
      <c r="AU75" s="49" t="str">
        <f t="shared" si="56"/>
        <v/>
      </c>
      <c r="AV75" s="49" t="str">
        <f t="shared" si="57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6.68637460018362E-3</v>
      </c>
      <c r="C76">
        <f t="shared" si="31"/>
        <v>6.2851921241726021E-3</v>
      </c>
      <c r="D76" s="60"/>
      <c r="E76" s="5"/>
      <c r="F76" s="5"/>
      <c r="I76" s="51"/>
      <c r="J76" s="41"/>
      <c r="K76" s="41" t="str">
        <f t="shared" si="58"/>
        <v/>
      </c>
      <c r="L76" s="42" t="str">
        <f t="shared" si="59"/>
        <v/>
      </c>
      <c r="M76" s="41" t="str">
        <f t="shared" si="60"/>
        <v/>
      </c>
      <c r="N76" s="43">
        <f t="shared" si="32"/>
        <v>0</v>
      </c>
      <c r="O76" s="44">
        <f t="shared" si="33"/>
        <v>0</v>
      </c>
      <c r="P76" s="41" t="str">
        <f t="shared" si="34"/>
        <v/>
      </c>
      <c r="Q76" s="41" t="str">
        <f t="shared" si="35"/>
        <v/>
      </c>
      <c r="R76" s="44"/>
      <c r="S76" s="44" t="str">
        <f t="shared" si="46"/>
        <v/>
      </c>
      <c r="T76" s="52">
        <f t="shared" si="30"/>
        <v>0</v>
      </c>
      <c r="U76" s="53" t="str">
        <f t="shared" si="47"/>
        <v/>
      </c>
      <c r="V76" s="53" t="str">
        <f t="shared" si="48"/>
        <v/>
      </c>
      <c r="W76" s="53" t="str">
        <f t="shared" si="49"/>
        <v/>
      </c>
      <c r="X76" s="46" t="str">
        <f t="shared" si="36"/>
        <v/>
      </c>
      <c r="Y76" s="54"/>
      <c r="Z76" s="41" t="str">
        <f t="shared" si="50"/>
        <v/>
      </c>
      <c r="AA76" s="41" t="str">
        <f t="shared" si="51"/>
        <v/>
      </c>
      <c r="AB76" s="41" t="str">
        <f t="shared" si="37"/>
        <v/>
      </c>
      <c r="AC76" s="41" t="str">
        <f t="shared" si="38"/>
        <v/>
      </c>
      <c r="AD76" s="54"/>
      <c r="AE76" s="41" t="str">
        <f t="shared" si="39"/>
        <v/>
      </c>
      <c r="AF76" s="41"/>
      <c r="AG76" s="41" t="str">
        <f t="shared" si="40"/>
        <v/>
      </c>
      <c r="AH76" s="41" t="str">
        <f t="shared" si="52"/>
        <v/>
      </c>
      <c r="AI76" s="41" t="str">
        <f t="shared" si="53"/>
        <v/>
      </c>
      <c r="AJ76" s="41">
        <f t="shared" si="41"/>
        <v>0</v>
      </c>
      <c r="AK76" s="41" t="str">
        <f t="shared" si="42"/>
        <v/>
      </c>
      <c r="AL76" s="41">
        <f t="shared" si="54"/>
        <v>0</v>
      </c>
      <c r="AM76" s="41">
        <f t="shared" si="43"/>
        <v>0</v>
      </c>
      <c r="AN76" s="41" t="str">
        <f t="shared" si="44"/>
        <v/>
      </c>
      <c r="AO76" s="41">
        <f t="shared" si="45"/>
        <v>0</v>
      </c>
      <c r="AP76" s="45"/>
      <c r="AQ76" s="45"/>
      <c r="AR76" s="48"/>
      <c r="AS76" s="48"/>
      <c r="AT76" s="51">
        <f t="shared" si="55"/>
        <v>72</v>
      </c>
      <c r="AU76" s="49" t="str">
        <f t="shared" si="56"/>
        <v/>
      </c>
      <c r="AV76" s="49" t="str">
        <f t="shared" si="57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7.3307890802976096E-3</v>
      </c>
      <c r="C77">
        <f t="shared" si="31"/>
        <v>6.8909417354797529E-3</v>
      </c>
      <c r="D77" s="60"/>
      <c r="E77" s="5"/>
      <c r="F77" s="5"/>
      <c r="I77" s="51"/>
      <c r="J77" s="41"/>
      <c r="K77" s="41" t="str">
        <f t="shared" si="58"/>
        <v/>
      </c>
      <c r="L77" s="42" t="str">
        <f t="shared" si="59"/>
        <v/>
      </c>
      <c r="M77" s="41" t="str">
        <f t="shared" si="60"/>
        <v/>
      </c>
      <c r="N77" s="43">
        <f t="shared" si="32"/>
        <v>0</v>
      </c>
      <c r="O77" s="44">
        <f t="shared" si="33"/>
        <v>0</v>
      </c>
      <c r="P77" s="41" t="str">
        <f t="shared" si="34"/>
        <v/>
      </c>
      <c r="Q77" s="41" t="str">
        <f t="shared" si="35"/>
        <v/>
      </c>
      <c r="R77" s="44"/>
      <c r="S77" s="44" t="str">
        <f t="shared" si="46"/>
        <v/>
      </c>
      <c r="T77" s="52">
        <f t="shared" si="30"/>
        <v>0</v>
      </c>
      <c r="U77" s="53" t="str">
        <f t="shared" si="47"/>
        <v/>
      </c>
      <c r="V77" s="53" t="str">
        <f t="shared" si="48"/>
        <v/>
      </c>
      <c r="W77" s="53" t="str">
        <f t="shared" si="49"/>
        <v/>
      </c>
      <c r="X77" s="46" t="str">
        <f t="shared" si="36"/>
        <v/>
      </c>
      <c r="Y77" s="54"/>
      <c r="Z77" s="41" t="str">
        <f t="shared" si="50"/>
        <v/>
      </c>
      <c r="AA77" s="41" t="str">
        <f t="shared" si="51"/>
        <v/>
      </c>
      <c r="AB77" s="41" t="str">
        <f t="shared" si="37"/>
        <v/>
      </c>
      <c r="AC77" s="41" t="str">
        <f t="shared" si="38"/>
        <v/>
      </c>
      <c r="AD77" s="54"/>
      <c r="AE77" s="41" t="str">
        <f t="shared" si="39"/>
        <v/>
      </c>
      <c r="AF77" s="41"/>
      <c r="AG77" s="41" t="str">
        <f t="shared" si="40"/>
        <v/>
      </c>
      <c r="AH77" s="41" t="str">
        <f t="shared" si="52"/>
        <v/>
      </c>
      <c r="AI77" s="41" t="str">
        <f t="shared" si="53"/>
        <v/>
      </c>
      <c r="AJ77" s="41">
        <f t="shared" si="41"/>
        <v>0</v>
      </c>
      <c r="AK77" s="41" t="str">
        <f t="shared" si="42"/>
        <v/>
      </c>
      <c r="AL77" s="41">
        <f t="shared" si="54"/>
        <v>0</v>
      </c>
      <c r="AM77" s="41">
        <f t="shared" si="43"/>
        <v>0</v>
      </c>
      <c r="AN77" s="41" t="str">
        <f t="shared" si="44"/>
        <v/>
      </c>
      <c r="AO77" s="41">
        <f t="shared" si="45"/>
        <v>0</v>
      </c>
      <c r="AP77" s="45"/>
      <c r="AQ77" s="45"/>
      <c r="AR77" s="48"/>
      <c r="AS77" s="48"/>
      <c r="AT77" s="51">
        <f t="shared" si="55"/>
        <v>73</v>
      </c>
      <c r="AU77" s="49" t="str">
        <f t="shared" si="56"/>
        <v/>
      </c>
      <c r="AV77" s="49" t="str">
        <f t="shared" si="57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8.0661172085565395E-3</v>
      </c>
      <c r="C78">
        <f t="shared" si="31"/>
        <v>7.5821501760431464E-3</v>
      </c>
      <c r="D78" s="60"/>
      <c r="E78" s="5"/>
      <c r="F78" s="5"/>
      <c r="I78" s="51"/>
      <c r="J78" s="41"/>
      <c r="K78" s="41" t="str">
        <f t="shared" si="58"/>
        <v/>
      </c>
      <c r="L78" s="42" t="str">
        <f t="shared" si="59"/>
        <v/>
      </c>
      <c r="M78" s="41" t="str">
        <f t="shared" si="60"/>
        <v/>
      </c>
      <c r="N78" s="43">
        <f>AX78</f>
        <v>0</v>
      </c>
      <c r="O78" s="44">
        <f t="shared" si="33"/>
        <v>0</v>
      </c>
      <c r="P78" s="41" t="str">
        <f t="shared" si="34"/>
        <v/>
      </c>
      <c r="Q78" s="41" t="str">
        <f t="shared" si="35"/>
        <v/>
      </c>
      <c r="R78" s="44"/>
      <c r="S78" s="44" t="str">
        <f t="shared" si="46"/>
        <v/>
      </c>
      <c r="T78" s="52">
        <f t="shared" si="30"/>
        <v>0</v>
      </c>
      <c r="U78" s="53" t="str">
        <f t="shared" si="47"/>
        <v/>
      </c>
      <c r="V78" s="53" t="str">
        <f t="shared" si="48"/>
        <v/>
      </c>
      <c r="W78" s="53" t="str">
        <f t="shared" si="49"/>
        <v/>
      </c>
      <c r="X78" s="46" t="str">
        <f t="shared" si="36"/>
        <v/>
      </c>
      <c r="Y78" s="54"/>
      <c r="Z78" s="41" t="str">
        <f t="shared" si="50"/>
        <v/>
      </c>
      <c r="AA78" s="41" t="str">
        <f t="shared" si="51"/>
        <v/>
      </c>
      <c r="AB78" s="41" t="str">
        <f t="shared" si="37"/>
        <v/>
      </c>
      <c r="AC78" s="41" t="str">
        <f t="shared" si="38"/>
        <v/>
      </c>
      <c r="AD78" s="54"/>
      <c r="AE78" s="41" t="str">
        <f t="shared" si="39"/>
        <v/>
      </c>
      <c r="AF78" s="41"/>
      <c r="AG78" s="41" t="str">
        <f t="shared" si="40"/>
        <v/>
      </c>
      <c r="AH78" s="41" t="str">
        <f t="shared" si="52"/>
        <v/>
      </c>
      <c r="AI78" s="41" t="str">
        <f t="shared" si="53"/>
        <v/>
      </c>
      <c r="AJ78" s="41">
        <f t="shared" si="41"/>
        <v>0</v>
      </c>
      <c r="AK78" s="41" t="str">
        <f t="shared" si="42"/>
        <v/>
      </c>
      <c r="AL78" s="41">
        <f t="shared" si="54"/>
        <v>0</v>
      </c>
      <c r="AM78" s="41">
        <f t="shared" si="43"/>
        <v>0</v>
      </c>
      <c r="AN78" s="41" t="str">
        <f t="shared" si="44"/>
        <v/>
      </c>
      <c r="AO78" s="41">
        <f t="shared" si="45"/>
        <v>0</v>
      </c>
      <c r="AP78" s="45"/>
      <c r="AQ78" s="45"/>
      <c r="AR78" s="48"/>
      <c r="AS78" s="48"/>
      <c r="AT78" s="51">
        <f t="shared" si="55"/>
        <v>74</v>
      </c>
      <c r="AU78" s="49" t="str">
        <f t="shared" si="56"/>
        <v/>
      </c>
      <c r="AV78" s="49" t="str">
        <f t="shared" si="57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8.8766917414528895E-3</v>
      </c>
      <c r="C79">
        <f t="shared" si="31"/>
        <v>8.3440902369657163E-3</v>
      </c>
      <c r="D79" s="60"/>
      <c r="E79" s="5"/>
      <c r="F79" s="5"/>
      <c r="I79" s="51"/>
      <c r="J79" s="41"/>
      <c r="K79" s="41" t="str">
        <f t="shared" si="58"/>
        <v/>
      </c>
      <c r="L79" s="42" t="str">
        <f t="shared" si="59"/>
        <v/>
      </c>
      <c r="M79" s="41" t="str">
        <f t="shared" si="60"/>
        <v/>
      </c>
      <c r="N79" s="43">
        <f t="shared" si="32"/>
        <v>0</v>
      </c>
      <c r="O79" s="44">
        <f t="shared" si="33"/>
        <v>0</v>
      </c>
      <c r="P79" s="41" t="str">
        <f t="shared" si="34"/>
        <v/>
      </c>
      <c r="Q79" s="41" t="str">
        <f t="shared" si="35"/>
        <v/>
      </c>
      <c r="R79" s="44"/>
      <c r="S79" s="44" t="str">
        <f t="shared" si="46"/>
        <v/>
      </c>
      <c r="T79" s="52">
        <f t="shared" si="30"/>
        <v>0</v>
      </c>
      <c r="U79" s="53" t="str">
        <f t="shared" si="47"/>
        <v/>
      </c>
      <c r="V79" s="53" t="str">
        <f t="shared" si="48"/>
        <v/>
      </c>
      <c r="W79" s="53" t="str">
        <f t="shared" si="49"/>
        <v/>
      </c>
      <c r="X79" s="46" t="str">
        <f t="shared" si="36"/>
        <v/>
      </c>
      <c r="Y79" s="54"/>
      <c r="Z79" s="41" t="str">
        <f t="shared" si="50"/>
        <v/>
      </c>
      <c r="AA79" s="41" t="str">
        <f t="shared" si="51"/>
        <v/>
      </c>
      <c r="AB79" s="41" t="str">
        <f t="shared" si="37"/>
        <v/>
      </c>
      <c r="AC79" s="41" t="str">
        <f t="shared" si="38"/>
        <v/>
      </c>
      <c r="AD79" s="54"/>
      <c r="AE79" s="41" t="str">
        <f t="shared" si="39"/>
        <v/>
      </c>
      <c r="AF79" s="41"/>
      <c r="AG79" s="41" t="str">
        <f t="shared" si="40"/>
        <v/>
      </c>
      <c r="AH79" s="41" t="str">
        <f t="shared" si="52"/>
        <v/>
      </c>
      <c r="AI79" s="41" t="str">
        <f t="shared" si="53"/>
        <v/>
      </c>
      <c r="AJ79" s="41">
        <f t="shared" si="41"/>
        <v>0</v>
      </c>
      <c r="AK79" s="41" t="str">
        <f t="shared" si="42"/>
        <v/>
      </c>
      <c r="AL79" s="41">
        <f t="shared" si="54"/>
        <v>0</v>
      </c>
      <c r="AM79" s="41">
        <f t="shared" si="43"/>
        <v>0</v>
      </c>
      <c r="AN79" s="41" t="str">
        <f t="shared" si="44"/>
        <v/>
      </c>
      <c r="AO79" s="41">
        <f>SUM(AM79:AN79)</f>
        <v>0</v>
      </c>
      <c r="AP79" s="45"/>
      <c r="AQ79" s="45"/>
      <c r="AR79" s="48"/>
      <c r="AS79" s="48"/>
      <c r="AT79" s="51">
        <f t="shared" si="55"/>
        <v>75</v>
      </c>
      <c r="AU79" s="49" t="str">
        <f t="shared" si="56"/>
        <v/>
      </c>
      <c r="AV79" s="49" t="str">
        <f t="shared" si="57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9.7993793794930503E-3</v>
      </c>
      <c r="C80">
        <f t="shared" si="31"/>
        <v>9.2114166167234675E-3</v>
      </c>
      <c r="D80" s="60"/>
      <c r="E80" s="5"/>
      <c r="F80" s="5"/>
      <c r="I80" s="51"/>
      <c r="J80" s="41"/>
      <c r="K80" s="41" t="str">
        <f t="shared" si="58"/>
        <v/>
      </c>
      <c r="L80" s="42" t="str">
        <f t="shared" si="59"/>
        <v/>
      </c>
      <c r="M80" s="41" t="str">
        <f t="shared" si="60"/>
        <v/>
      </c>
      <c r="N80" s="43">
        <f t="shared" si="32"/>
        <v>0</v>
      </c>
      <c r="O80" s="44">
        <f t="shared" si="33"/>
        <v>0</v>
      </c>
      <c r="P80" s="41" t="str">
        <f t="shared" si="34"/>
        <v/>
      </c>
      <c r="Q80" s="41" t="str">
        <f t="shared" si="35"/>
        <v/>
      </c>
      <c r="R80" s="45"/>
      <c r="S80" s="44" t="str">
        <f t="shared" si="46"/>
        <v/>
      </c>
      <c r="T80" s="52">
        <f t="shared" si="30"/>
        <v>0</v>
      </c>
      <c r="U80" s="53" t="str">
        <f t="shared" si="47"/>
        <v/>
      </c>
      <c r="V80" s="53" t="str">
        <f t="shared" si="48"/>
        <v/>
      </c>
      <c r="W80" s="53" t="str">
        <f t="shared" si="49"/>
        <v/>
      </c>
      <c r="X80" s="46" t="str">
        <f t="shared" si="36"/>
        <v/>
      </c>
      <c r="Y80" s="45"/>
      <c r="Z80" s="41" t="str">
        <f t="shared" si="50"/>
        <v/>
      </c>
      <c r="AA80" s="41" t="str">
        <f t="shared" si="51"/>
        <v/>
      </c>
      <c r="AB80" s="41" t="str">
        <f t="shared" si="37"/>
        <v/>
      </c>
      <c r="AC80" s="41" t="str">
        <f t="shared" si="38"/>
        <v/>
      </c>
      <c r="AD80" s="45"/>
      <c r="AE80" s="41" t="str">
        <f t="shared" si="39"/>
        <v/>
      </c>
      <c r="AF80" s="41"/>
      <c r="AG80" s="41" t="str">
        <f t="shared" si="40"/>
        <v/>
      </c>
      <c r="AH80" s="41" t="str">
        <f t="shared" si="52"/>
        <v/>
      </c>
      <c r="AI80" s="41" t="str">
        <f t="shared" si="53"/>
        <v/>
      </c>
      <c r="AJ80" s="41">
        <f t="shared" si="41"/>
        <v>0</v>
      </c>
      <c r="AK80" s="41" t="str">
        <f t="shared" si="42"/>
        <v/>
      </c>
      <c r="AL80" s="41">
        <f t="shared" si="54"/>
        <v>0</v>
      </c>
      <c r="AM80" s="41">
        <f t="shared" si="43"/>
        <v>0</v>
      </c>
      <c r="AN80" s="41" t="str">
        <f t="shared" si="44"/>
        <v/>
      </c>
      <c r="AO80" s="41">
        <f t="shared" ref="AO80:AO124" si="61">SUM(AM80:AN80)</f>
        <v>0</v>
      </c>
      <c r="AP80" s="45"/>
      <c r="AQ80" s="48"/>
      <c r="AR80" s="48"/>
      <c r="AS80" s="48"/>
      <c r="AT80" s="51">
        <f t="shared" si="55"/>
        <v>76</v>
      </c>
      <c r="AU80" s="49" t="str">
        <f t="shared" si="56"/>
        <v/>
      </c>
      <c r="AV80" s="49" t="str">
        <f t="shared" si="57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1.0336299107361601E-2</v>
      </c>
      <c r="C81">
        <f t="shared" si="31"/>
        <v>9.7161211609199036E-3</v>
      </c>
      <c r="D81" s="60"/>
      <c r="E81" s="5"/>
      <c r="F81" s="5"/>
      <c r="I81" s="51"/>
      <c r="J81" s="41"/>
      <c r="K81" s="41" t="str">
        <f t="shared" si="58"/>
        <v/>
      </c>
      <c r="L81" s="42" t="str">
        <f t="shared" si="59"/>
        <v/>
      </c>
      <c r="M81" s="41" t="str">
        <f t="shared" si="60"/>
        <v/>
      </c>
      <c r="N81" s="43">
        <f t="shared" si="32"/>
        <v>0</v>
      </c>
      <c r="O81" s="44">
        <f t="shared" si="33"/>
        <v>0</v>
      </c>
      <c r="P81" s="41" t="str">
        <f t="shared" si="34"/>
        <v/>
      </c>
      <c r="Q81" s="41" t="str">
        <f t="shared" si="35"/>
        <v/>
      </c>
      <c r="R81" s="45"/>
      <c r="S81" s="44" t="str">
        <f t="shared" si="46"/>
        <v/>
      </c>
      <c r="T81" s="52">
        <f t="shared" ref="T81:T124" si="62">$C$13</f>
        <v>0</v>
      </c>
      <c r="U81" s="53" t="str">
        <f t="shared" si="47"/>
        <v/>
      </c>
      <c r="V81" s="53" t="str">
        <f t="shared" si="48"/>
        <v/>
      </c>
      <c r="W81" s="53" t="str">
        <f t="shared" si="49"/>
        <v/>
      </c>
      <c r="X81" s="46" t="str">
        <f t="shared" si="36"/>
        <v/>
      </c>
      <c r="Y81" s="45"/>
      <c r="Z81" s="41" t="str">
        <f t="shared" si="50"/>
        <v/>
      </c>
      <c r="AA81" s="41" t="str">
        <f t="shared" si="51"/>
        <v/>
      </c>
      <c r="AB81" s="41" t="str">
        <f t="shared" si="37"/>
        <v/>
      </c>
      <c r="AC81" s="41" t="str">
        <f t="shared" si="38"/>
        <v/>
      </c>
      <c r="AD81" s="48"/>
      <c r="AE81" s="41" t="str">
        <f t="shared" si="39"/>
        <v/>
      </c>
      <c r="AF81" s="41"/>
      <c r="AG81" s="41" t="str">
        <f t="shared" si="40"/>
        <v/>
      </c>
      <c r="AH81" s="41" t="str">
        <f t="shared" si="52"/>
        <v/>
      </c>
      <c r="AI81" s="41" t="str">
        <f t="shared" si="53"/>
        <v/>
      </c>
      <c r="AJ81" s="41">
        <f t="shared" si="41"/>
        <v>0</v>
      </c>
      <c r="AK81" s="41" t="str">
        <f t="shared" si="42"/>
        <v/>
      </c>
      <c r="AL81" s="41">
        <f t="shared" si="54"/>
        <v>0</v>
      </c>
      <c r="AM81" s="41">
        <f t="shared" si="43"/>
        <v>0</v>
      </c>
      <c r="AN81" s="41" t="str">
        <f t="shared" si="44"/>
        <v/>
      </c>
      <c r="AO81" s="41">
        <f t="shared" si="61"/>
        <v>0</v>
      </c>
      <c r="AP81" s="45"/>
      <c r="AQ81" s="48"/>
      <c r="AR81" s="48"/>
      <c r="AS81" s="48"/>
      <c r="AT81" s="51">
        <f t="shared" si="55"/>
        <v>77</v>
      </c>
      <c r="AU81" s="49" t="str">
        <f t="shared" si="56"/>
        <v/>
      </c>
      <c r="AV81" s="49" t="str">
        <f t="shared" si="57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1.13746504410627E-2</v>
      </c>
      <c r="C82">
        <f t="shared" si="31"/>
        <v>1.0692171414598937E-2</v>
      </c>
      <c r="D82" s="60"/>
      <c r="E82" s="5"/>
      <c r="F82" s="5"/>
      <c r="I82" s="51"/>
      <c r="J82" s="41"/>
      <c r="K82" s="41" t="str">
        <f t="shared" si="58"/>
        <v/>
      </c>
      <c r="L82" s="42" t="str">
        <f t="shared" si="59"/>
        <v/>
      </c>
      <c r="M82" s="41" t="str">
        <f t="shared" si="60"/>
        <v/>
      </c>
      <c r="N82" s="43">
        <f t="shared" si="32"/>
        <v>0</v>
      </c>
      <c r="O82" s="44">
        <f t="shared" si="33"/>
        <v>0</v>
      </c>
      <c r="P82" s="41" t="str">
        <f t="shared" si="34"/>
        <v/>
      </c>
      <c r="Q82" s="41" t="str">
        <f t="shared" si="35"/>
        <v/>
      </c>
      <c r="R82" s="45"/>
      <c r="S82" s="44" t="str">
        <f t="shared" si="46"/>
        <v/>
      </c>
      <c r="T82" s="52">
        <f t="shared" si="62"/>
        <v>0</v>
      </c>
      <c r="U82" s="53" t="str">
        <f t="shared" si="47"/>
        <v/>
      </c>
      <c r="V82" s="53" t="str">
        <f t="shared" si="48"/>
        <v/>
      </c>
      <c r="W82" s="53" t="str">
        <f t="shared" si="49"/>
        <v/>
      </c>
      <c r="X82" s="46" t="str">
        <f t="shared" si="36"/>
        <v/>
      </c>
      <c r="Y82" s="45"/>
      <c r="Z82" s="41" t="str">
        <f t="shared" si="50"/>
        <v/>
      </c>
      <c r="AA82" s="41" t="str">
        <f t="shared" si="51"/>
        <v/>
      </c>
      <c r="AB82" s="41" t="str">
        <f t="shared" si="37"/>
        <v/>
      </c>
      <c r="AC82" s="41" t="str">
        <f t="shared" si="38"/>
        <v/>
      </c>
      <c r="AD82" s="48"/>
      <c r="AE82" s="41" t="str">
        <f t="shared" si="39"/>
        <v/>
      </c>
      <c r="AF82" s="41"/>
      <c r="AG82" s="41" t="str">
        <f t="shared" si="40"/>
        <v/>
      </c>
      <c r="AH82" s="41" t="str">
        <f t="shared" si="52"/>
        <v/>
      </c>
      <c r="AI82" s="41" t="str">
        <f t="shared" si="53"/>
        <v/>
      </c>
      <c r="AJ82" s="41">
        <f t="shared" si="41"/>
        <v>0</v>
      </c>
      <c r="AK82" s="41" t="str">
        <f t="shared" si="42"/>
        <v/>
      </c>
      <c r="AL82" s="41">
        <f t="shared" si="54"/>
        <v>0</v>
      </c>
      <c r="AM82" s="41">
        <f t="shared" si="43"/>
        <v>0</v>
      </c>
      <c r="AN82" s="41" t="str">
        <f t="shared" si="44"/>
        <v/>
      </c>
      <c r="AO82" s="41">
        <f t="shared" si="61"/>
        <v>0</v>
      </c>
      <c r="AP82" s="45"/>
      <c r="AQ82" s="48"/>
      <c r="AR82" s="48"/>
      <c r="AS82" s="48"/>
      <c r="AT82" s="51">
        <f t="shared" si="55"/>
        <v>78</v>
      </c>
      <c r="AU82" s="49" t="str">
        <f t="shared" si="56"/>
        <v/>
      </c>
      <c r="AV82" s="49" t="str">
        <f t="shared" si="57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1.2484891473270801E-2</v>
      </c>
      <c r="C83">
        <f t="shared" si="31"/>
        <v>1.1735797984874553E-2</v>
      </c>
      <c r="D83" s="60"/>
      <c r="E83" s="5"/>
      <c r="F83" s="5"/>
      <c r="I83" s="51"/>
      <c r="J83" s="41"/>
      <c r="K83" s="41" t="str">
        <f t="shared" si="58"/>
        <v/>
      </c>
      <c r="L83" s="42" t="str">
        <f t="shared" si="59"/>
        <v/>
      </c>
      <c r="M83" s="41" t="str">
        <f t="shared" si="60"/>
        <v/>
      </c>
      <c r="N83" s="43">
        <f t="shared" si="32"/>
        <v>0</v>
      </c>
      <c r="O83" s="44">
        <f t="shared" si="33"/>
        <v>0</v>
      </c>
      <c r="P83" s="41" t="str">
        <f t="shared" si="34"/>
        <v/>
      </c>
      <c r="Q83" s="41" t="str">
        <f t="shared" si="35"/>
        <v/>
      </c>
      <c r="R83" s="45"/>
      <c r="S83" s="44" t="str">
        <f t="shared" si="46"/>
        <v/>
      </c>
      <c r="T83" s="52">
        <f t="shared" si="62"/>
        <v>0</v>
      </c>
      <c r="U83" s="53" t="str">
        <f t="shared" si="47"/>
        <v/>
      </c>
      <c r="V83" s="53" t="str">
        <f t="shared" si="48"/>
        <v/>
      </c>
      <c r="W83" s="53" t="str">
        <f t="shared" si="49"/>
        <v/>
      </c>
      <c r="X83" s="46" t="str">
        <f t="shared" si="36"/>
        <v/>
      </c>
      <c r="Y83" s="45"/>
      <c r="Z83" s="41" t="str">
        <f t="shared" si="50"/>
        <v/>
      </c>
      <c r="AA83" s="41" t="str">
        <f t="shared" si="51"/>
        <v/>
      </c>
      <c r="AB83" s="41" t="str">
        <f t="shared" si="37"/>
        <v/>
      </c>
      <c r="AC83" s="41" t="str">
        <f t="shared" si="38"/>
        <v/>
      </c>
      <c r="AD83" s="48"/>
      <c r="AE83" s="41" t="str">
        <f t="shared" si="39"/>
        <v/>
      </c>
      <c r="AF83" s="41"/>
      <c r="AG83" s="41" t="str">
        <f t="shared" si="40"/>
        <v/>
      </c>
      <c r="AH83" s="41" t="str">
        <f t="shared" si="52"/>
        <v/>
      </c>
      <c r="AI83" s="41" t="str">
        <f t="shared" si="53"/>
        <v/>
      </c>
      <c r="AJ83" s="41">
        <f t="shared" si="41"/>
        <v>0</v>
      </c>
      <c r="AK83" s="41" t="str">
        <f t="shared" si="42"/>
        <v/>
      </c>
      <c r="AL83" s="41">
        <f t="shared" si="54"/>
        <v>0</v>
      </c>
      <c r="AM83" s="41">
        <f t="shared" si="43"/>
        <v>0</v>
      </c>
      <c r="AN83" s="41" t="str">
        <f t="shared" si="44"/>
        <v/>
      </c>
      <c r="AO83" s="41">
        <f t="shared" si="61"/>
        <v>0</v>
      </c>
      <c r="AP83" s="45"/>
      <c r="AQ83" s="48"/>
      <c r="AR83" s="48"/>
      <c r="AS83" s="48"/>
      <c r="AT83" s="51">
        <f t="shared" si="55"/>
        <v>79</v>
      </c>
      <c r="AU83" s="49" t="str">
        <f t="shared" si="56"/>
        <v/>
      </c>
      <c r="AV83" s="49" t="str">
        <f t="shared" si="57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1.37056305100539E-2</v>
      </c>
      <c r="C84">
        <f t="shared" si="31"/>
        <v>1.2883292679450665E-2</v>
      </c>
      <c r="D84" s="60"/>
      <c r="E84" s="5"/>
      <c r="F84" s="5"/>
      <c r="I84" s="51"/>
      <c r="J84" s="41"/>
      <c r="K84" s="41" t="str">
        <f t="shared" si="58"/>
        <v/>
      </c>
      <c r="L84" s="42" t="str">
        <f t="shared" si="59"/>
        <v/>
      </c>
      <c r="M84" s="41" t="str">
        <f t="shared" si="60"/>
        <v/>
      </c>
      <c r="N84" s="43">
        <f t="shared" si="32"/>
        <v>0</v>
      </c>
      <c r="O84" s="44">
        <f t="shared" si="33"/>
        <v>0</v>
      </c>
      <c r="P84" s="41" t="str">
        <f t="shared" si="34"/>
        <v/>
      </c>
      <c r="Q84" s="41" t="str">
        <f t="shared" si="35"/>
        <v/>
      </c>
      <c r="R84" s="45"/>
      <c r="S84" s="44" t="str">
        <f t="shared" si="46"/>
        <v/>
      </c>
      <c r="T84" s="52">
        <f t="shared" si="62"/>
        <v>0</v>
      </c>
      <c r="U84" s="53" t="str">
        <f t="shared" si="47"/>
        <v/>
      </c>
      <c r="V84" s="53" t="str">
        <f t="shared" si="48"/>
        <v/>
      </c>
      <c r="W84" s="53" t="str">
        <f t="shared" si="49"/>
        <v/>
      </c>
      <c r="X84" s="46" t="str">
        <f t="shared" si="36"/>
        <v/>
      </c>
      <c r="Y84" s="45"/>
      <c r="Z84" s="41" t="str">
        <f t="shared" si="50"/>
        <v/>
      </c>
      <c r="AA84" s="41" t="str">
        <f t="shared" si="51"/>
        <v/>
      </c>
      <c r="AB84" s="41" t="str">
        <f t="shared" si="37"/>
        <v/>
      </c>
      <c r="AC84" s="41" t="str">
        <f t="shared" si="38"/>
        <v/>
      </c>
      <c r="AD84" s="48"/>
      <c r="AE84" s="41" t="str">
        <f t="shared" si="39"/>
        <v/>
      </c>
      <c r="AF84" s="41"/>
      <c r="AG84" s="41" t="str">
        <f t="shared" si="40"/>
        <v/>
      </c>
      <c r="AH84" s="41" t="str">
        <f t="shared" si="52"/>
        <v/>
      </c>
      <c r="AI84" s="41" t="str">
        <f t="shared" si="53"/>
        <v/>
      </c>
      <c r="AJ84" s="41">
        <f t="shared" si="41"/>
        <v>0</v>
      </c>
      <c r="AK84" s="41" t="str">
        <f t="shared" si="42"/>
        <v/>
      </c>
      <c r="AL84" s="41">
        <f t="shared" si="54"/>
        <v>0</v>
      </c>
      <c r="AM84" s="41">
        <f t="shared" si="43"/>
        <v>0</v>
      </c>
      <c r="AN84" s="41" t="str">
        <f t="shared" si="44"/>
        <v/>
      </c>
      <c r="AO84" s="41">
        <f t="shared" si="61"/>
        <v>0</v>
      </c>
      <c r="AP84" s="45"/>
      <c r="AQ84" s="48"/>
      <c r="AR84" s="48"/>
      <c r="AS84" s="48"/>
      <c r="AT84" s="51">
        <f t="shared" si="55"/>
        <v>80</v>
      </c>
      <c r="AU84" s="49" t="str">
        <f t="shared" si="56"/>
        <v/>
      </c>
      <c r="AV84" s="49" t="str">
        <f t="shared" si="57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1.51670107226932E-2</v>
      </c>
      <c r="C85">
        <f t="shared" si="31"/>
        <v>1.4256990079331608E-2</v>
      </c>
      <c r="D85" s="60"/>
      <c r="E85" s="5"/>
      <c r="F85" s="5"/>
      <c r="I85" s="51"/>
      <c r="J85" s="41"/>
      <c r="K85" s="41" t="str">
        <f t="shared" si="58"/>
        <v/>
      </c>
      <c r="L85" s="42" t="str">
        <f t="shared" si="59"/>
        <v/>
      </c>
      <c r="M85" s="41" t="str">
        <f t="shared" si="60"/>
        <v/>
      </c>
      <c r="N85" s="43">
        <f t="shared" si="32"/>
        <v>0</v>
      </c>
      <c r="O85" s="44">
        <f t="shared" si="33"/>
        <v>0</v>
      </c>
      <c r="P85" s="41" t="str">
        <f t="shared" si="34"/>
        <v/>
      </c>
      <c r="Q85" s="41" t="str">
        <f t="shared" si="35"/>
        <v/>
      </c>
      <c r="R85" s="45"/>
      <c r="S85" s="44" t="str">
        <f t="shared" si="46"/>
        <v/>
      </c>
      <c r="T85" s="52">
        <f t="shared" si="62"/>
        <v>0</v>
      </c>
      <c r="U85" s="53" t="str">
        <f t="shared" si="47"/>
        <v/>
      </c>
      <c r="V85" s="53" t="str">
        <f t="shared" si="48"/>
        <v/>
      </c>
      <c r="W85" s="53" t="str">
        <f t="shared" si="49"/>
        <v/>
      </c>
      <c r="X85" s="46" t="str">
        <f t="shared" si="36"/>
        <v/>
      </c>
      <c r="Y85" s="45"/>
      <c r="Z85" s="41" t="str">
        <f t="shared" si="50"/>
        <v/>
      </c>
      <c r="AA85" s="41" t="str">
        <f t="shared" si="51"/>
        <v/>
      </c>
      <c r="AB85" s="41" t="str">
        <f t="shared" si="37"/>
        <v/>
      </c>
      <c r="AC85" s="41" t="str">
        <f t="shared" si="38"/>
        <v/>
      </c>
      <c r="AD85" s="48"/>
      <c r="AE85" s="41" t="str">
        <f t="shared" si="39"/>
        <v/>
      </c>
      <c r="AF85" s="41"/>
      <c r="AG85" s="41" t="str">
        <f t="shared" si="40"/>
        <v/>
      </c>
      <c r="AH85" s="41" t="str">
        <f t="shared" si="52"/>
        <v/>
      </c>
      <c r="AI85" s="41" t="str">
        <f t="shared" si="53"/>
        <v/>
      </c>
      <c r="AJ85" s="41">
        <f t="shared" si="41"/>
        <v>0</v>
      </c>
      <c r="AK85" s="41" t="str">
        <f t="shared" si="42"/>
        <v/>
      </c>
      <c r="AL85" s="41">
        <f t="shared" si="54"/>
        <v>0</v>
      </c>
      <c r="AM85" s="41">
        <f t="shared" si="43"/>
        <v>0</v>
      </c>
      <c r="AN85" s="41" t="str">
        <f t="shared" si="44"/>
        <v/>
      </c>
      <c r="AO85" s="41">
        <f t="shared" si="61"/>
        <v>0</v>
      </c>
      <c r="AP85" s="45"/>
      <c r="AQ85" s="48"/>
      <c r="AR85" s="48"/>
      <c r="AS85" s="48"/>
      <c r="AT85" s="51">
        <f t="shared" si="55"/>
        <v>81</v>
      </c>
      <c r="AU85" s="49" t="str">
        <f t="shared" si="56"/>
        <v/>
      </c>
      <c r="AV85" s="49" t="str">
        <f t="shared" si="57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1.6723858851841699E-2</v>
      </c>
      <c r="C86">
        <f t="shared" si="31"/>
        <v>1.5720427320731197E-2</v>
      </c>
      <c r="D86" s="60"/>
      <c r="E86" s="5"/>
      <c r="F86" s="5"/>
      <c r="I86" s="51"/>
      <c r="J86" s="41"/>
      <c r="K86" s="41" t="str">
        <f t="shared" si="58"/>
        <v/>
      </c>
      <c r="L86" s="42" t="str">
        <f t="shared" si="59"/>
        <v/>
      </c>
      <c r="M86" s="41" t="str">
        <f t="shared" si="60"/>
        <v/>
      </c>
      <c r="N86" s="43">
        <f t="shared" si="32"/>
        <v>0</v>
      </c>
      <c r="O86" s="44">
        <f t="shared" si="33"/>
        <v>0</v>
      </c>
      <c r="P86" s="41" t="str">
        <f t="shared" si="34"/>
        <v/>
      </c>
      <c r="Q86" s="41" t="str">
        <f t="shared" si="35"/>
        <v/>
      </c>
      <c r="R86" s="45"/>
      <c r="S86" s="44" t="str">
        <f t="shared" si="46"/>
        <v/>
      </c>
      <c r="T86" s="52">
        <f t="shared" si="62"/>
        <v>0</v>
      </c>
      <c r="U86" s="53" t="str">
        <f t="shared" si="47"/>
        <v/>
      </c>
      <c r="V86" s="53" t="str">
        <f t="shared" si="48"/>
        <v/>
      </c>
      <c r="W86" s="53" t="str">
        <f t="shared" si="49"/>
        <v/>
      </c>
      <c r="X86" s="46" t="str">
        <f t="shared" si="36"/>
        <v/>
      </c>
      <c r="Y86" s="45"/>
      <c r="Z86" s="41" t="str">
        <f t="shared" si="50"/>
        <v/>
      </c>
      <c r="AA86" s="41" t="str">
        <f t="shared" si="51"/>
        <v/>
      </c>
      <c r="AB86" s="41" t="str">
        <f t="shared" si="37"/>
        <v/>
      </c>
      <c r="AC86" s="41" t="str">
        <f t="shared" si="38"/>
        <v/>
      </c>
      <c r="AD86" s="45"/>
      <c r="AE86" s="41" t="str">
        <f t="shared" si="39"/>
        <v/>
      </c>
      <c r="AF86" s="41"/>
      <c r="AG86" s="41" t="str">
        <f t="shared" si="40"/>
        <v/>
      </c>
      <c r="AH86" s="41" t="str">
        <f t="shared" si="52"/>
        <v/>
      </c>
      <c r="AI86" s="41" t="str">
        <f t="shared" si="53"/>
        <v/>
      </c>
      <c r="AJ86" s="41">
        <f t="shared" si="41"/>
        <v>0</v>
      </c>
      <c r="AK86" s="41" t="str">
        <f t="shared" si="42"/>
        <v/>
      </c>
      <c r="AL86" s="41">
        <f t="shared" si="54"/>
        <v>0</v>
      </c>
      <c r="AM86" s="41">
        <f t="shared" si="43"/>
        <v>0</v>
      </c>
      <c r="AN86" s="41" t="str">
        <f t="shared" si="44"/>
        <v/>
      </c>
      <c r="AO86" s="41">
        <f t="shared" si="61"/>
        <v>0</v>
      </c>
      <c r="AP86" s="45"/>
      <c r="AQ86" s="48"/>
      <c r="AR86" s="48"/>
      <c r="AS86" s="48"/>
      <c r="AT86" s="51">
        <f t="shared" si="55"/>
        <v>82</v>
      </c>
      <c r="AU86" s="49" t="str">
        <f t="shared" si="56"/>
        <v/>
      </c>
      <c r="AV86" s="49" t="str">
        <f t="shared" si="57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1.8271388730635298E-2</v>
      </c>
      <c r="C87">
        <f t="shared" si="31"/>
        <v>1.7175105406797179E-2</v>
      </c>
      <c r="D87" s="60"/>
      <c r="E87" s="5"/>
      <c r="F87" s="5"/>
      <c r="I87" s="51"/>
      <c r="J87" s="41"/>
      <c r="K87" s="41" t="str">
        <f t="shared" si="58"/>
        <v/>
      </c>
      <c r="L87" s="42" t="str">
        <f t="shared" si="59"/>
        <v/>
      </c>
      <c r="M87" s="41" t="str">
        <f t="shared" si="60"/>
        <v/>
      </c>
      <c r="N87" s="43">
        <f t="shared" si="32"/>
        <v>0</v>
      </c>
      <c r="O87" s="44">
        <f t="shared" si="33"/>
        <v>0</v>
      </c>
      <c r="P87" s="41" t="str">
        <f t="shared" si="34"/>
        <v/>
      </c>
      <c r="Q87" s="41" t="str">
        <f t="shared" si="35"/>
        <v/>
      </c>
      <c r="R87" s="45"/>
      <c r="S87" s="44" t="str">
        <f t="shared" si="46"/>
        <v/>
      </c>
      <c r="T87" s="52">
        <f t="shared" si="62"/>
        <v>0</v>
      </c>
      <c r="U87" s="53" t="str">
        <f t="shared" si="47"/>
        <v/>
      </c>
      <c r="V87" s="53" t="str">
        <f t="shared" si="48"/>
        <v/>
      </c>
      <c r="W87" s="53" t="str">
        <f t="shared" si="49"/>
        <v/>
      </c>
      <c r="X87" s="46" t="str">
        <f t="shared" si="36"/>
        <v/>
      </c>
      <c r="Y87" s="45"/>
      <c r="Z87" s="41" t="str">
        <f t="shared" si="50"/>
        <v/>
      </c>
      <c r="AA87" s="41" t="str">
        <f t="shared" si="51"/>
        <v/>
      </c>
      <c r="AB87" s="41" t="str">
        <f t="shared" si="37"/>
        <v/>
      </c>
      <c r="AC87" s="41" t="str">
        <f t="shared" si="38"/>
        <v/>
      </c>
      <c r="AD87" s="45"/>
      <c r="AE87" s="41" t="str">
        <f t="shared" si="39"/>
        <v/>
      </c>
      <c r="AF87" s="41"/>
      <c r="AG87" s="41" t="str">
        <f t="shared" si="40"/>
        <v/>
      </c>
      <c r="AH87" s="41" t="str">
        <f t="shared" si="52"/>
        <v/>
      </c>
      <c r="AI87" s="41" t="str">
        <f t="shared" si="53"/>
        <v/>
      </c>
      <c r="AJ87" s="41">
        <f t="shared" si="41"/>
        <v>0</v>
      </c>
      <c r="AK87" s="41" t="str">
        <f t="shared" si="42"/>
        <v/>
      </c>
      <c r="AL87" s="41">
        <f t="shared" si="54"/>
        <v>0</v>
      </c>
      <c r="AM87" s="41">
        <f t="shared" si="43"/>
        <v>0</v>
      </c>
      <c r="AN87" s="41" t="str">
        <f t="shared" si="44"/>
        <v/>
      </c>
      <c r="AO87" s="41">
        <f t="shared" si="61"/>
        <v>0</v>
      </c>
      <c r="AP87" s="45"/>
      <c r="AQ87" s="48"/>
      <c r="AR87" s="48"/>
      <c r="AS87" s="48"/>
      <c r="AT87" s="51">
        <f t="shared" si="55"/>
        <v>83</v>
      </c>
      <c r="AU87" s="49" t="str">
        <f t="shared" si="56"/>
        <v/>
      </c>
      <c r="AV87" s="49" t="str">
        <f t="shared" si="57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1.9974050593396301E-2</v>
      </c>
      <c r="C88">
        <f t="shared" si="31"/>
        <v>1.877560755779252E-2</v>
      </c>
      <c r="D88" s="60"/>
      <c r="E88" s="5"/>
      <c r="F88" s="5"/>
      <c r="I88" s="51"/>
      <c r="J88" s="41"/>
      <c r="K88" s="41" t="str">
        <f t="shared" si="58"/>
        <v/>
      </c>
      <c r="L88" s="42" t="str">
        <f t="shared" si="59"/>
        <v/>
      </c>
      <c r="M88" s="41" t="str">
        <f t="shared" si="60"/>
        <v/>
      </c>
      <c r="N88" s="43">
        <f t="shared" si="32"/>
        <v>0</v>
      </c>
      <c r="O88" s="44">
        <f t="shared" si="33"/>
        <v>0</v>
      </c>
      <c r="P88" s="41" t="str">
        <f t="shared" si="34"/>
        <v/>
      </c>
      <c r="Q88" s="41" t="str">
        <f t="shared" si="35"/>
        <v/>
      </c>
      <c r="R88" s="45"/>
      <c r="S88" s="44" t="str">
        <f t="shared" si="46"/>
        <v/>
      </c>
      <c r="T88" s="52">
        <f t="shared" si="62"/>
        <v>0</v>
      </c>
      <c r="U88" s="53" t="str">
        <f t="shared" si="47"/>
        <v/>
      </c>
      <c r="V88" s="53" t="str">
        <f t="shared" si="48"/>
        <v/>
      </c>
      <c r="W88" s="53" t="str">
        <f t="shared" si="49"/>
        <v/>
      </c>
      <c r="X88" s="46" t="str">
        <f t="shared" si="36"/>
        <v/>
      </c>
      <c r="Y88" s="45"/>
      <c r="Z88" s="41" t="str">
        <f t="shared" si="50"/>
        <v/>
      </c>
      <c r="AA88" s="41" t="str">
        <f t="shared" si="51"/>
        <v/>
      </c>
      <c r="AB88" s="41" t="str">
        <f t="shared" si="37"/>
        <v/>
      </c>
      <c r="AC88" s="41" t="str">
        <f t="shared" si="38"/>
        <v/>
      </c>
      <c r="AD88" s="45"/>
      <c r="AE88" s="41" t="str">
        <f t="shared" si="39"/>
        <v/>
      </c>
      <c r="AF88" s="41"/>
      <c r="AG88" s="41" t="str">
        <f t="shared" si="40"/>
        <v/>
      </c>
      <c r="AH88" s="41" t="str">
        <f t="shared" si="52"/>
        <v/>
      </c>
      <c r="AI88" s="41" t="str">
        <f t="shared" si="53"/>
        <v/>
      </c>
      <c r="AJ88" s="41">
        <f t="shared" si="41"/>
        <v>0</v>
      </c>
      <c r="AK88" s="41" t="str">
        <f t="shared" si="42"/>
        <v/>
      </c>
      <c r="AL88" s="41">
        <f t="shared" si="54"/>
        <v>0</v>
      </c>
      <c r="AM88" s="41">
        <f t="shared" si="43"/>
        <v>0</v>
      </c>
      <c r="AN88" s="41" t="str">
        <f t="shared" si="44"/>
        <v/>
      </c>
      <c r="AO88" s="41">
        <f t="shared" si="61"/>
        <v>0</v>
      </c>
      <c r="AP88" s="45"/>
      <c r="AQ88" s="48"/>
      <c r="AR88" s="48"/>
      <c r="AS88" s="48"/>
      <c r="AT88" s="51">
        <f t="shared" si="55"/>
        <v>84</v>
      </c>
      <c r="AU88" s="49" t="str">
        <f t="shared" si="56"/>
        <v/>
      </c>
      <c r="AV88" s="49" t="str">
        <f t="shared" si="57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2.1783904165813401E-2</v>
      </c>
      <c r="C89">
        <f t="shared" si="31"/>
        <v>2.0476869915864594E-2</v>
      </c>
      <c r="D89" s="60"/>
      <c r="E89" s="5"/>
      <c r="F89" s="5"/>
      <c r="I89" s="51"/>
      <c r="J89" s="41"/>
      <c r="K89" s="41" t="str">
        <f t="shared" si="58"/>
        <v/>
      </c>
      <c r="L89" s="42" t="str">
        <f t="shared" si="59"/>
        <v/>
      </c>
      <c r="M89" s="41" t="str">
        <f t="shared" si="60"/>
        <v/>
      </c>
      <c r="N89" s="43">
        <f t="shared" si="32"/>
        <v>0</v>
      </c>
      <c r="O89" s="44">
        <f t="shared" si="33"/>
        <v>0</v>
      </c>
      <c r="P89" s="41" t="str">
        <f t="shared" si="34"/>
        <v/>
      </c>
      <c r="Q89" s="41" t="str">
        <f t="shared" si="35"/>
        <v/>
      </c>
      <c r="R89" s="45"/>
      <c r="S89" s="44" t="str">
        <f t="shared" si="46"/>
        <v/>
      </c>
      <c r="T89" s="52">
        <f t="shared" si="62"/>
        <v>0</v>
      </c>
      <c r="U89" s="53" t="str">
        <f t="shared" si="47"/>
        <v/>
      </c>
      <c r="V89" s="53" t="str">
        <f t="shared" si="48"/>
        <v/>
      </c>
      <c r="W89" s="53" t="str">
        <f t="shared" si="49"/>
        <v/>
      </c>
      <c r="X89" s="46" t="str">
        <f t="shared" si="36"/>
        <v/>
      </c>
      <c r="Y89" s="45"/>
      <c r="Z89" s="41" t="str">
        <f t="shared" si="50"/>
        <v/>
      </c>
      <c r="AA89" s="41" t="str">
        <f t="shared" si="51"/>
        <v/>
      </c>
      <c r="AB89" s="41" t="str">
        <f t="shared" si="37"/>
        <v/>
      </c>
      <c r="AC89" s="41" t="str">
        <f t="shared" si="38"/>
        <v/>
      </c>
      <c r="AD89" s="45"/>
      <c r="AE89" s="41" t="str">
        <f t="shared" si="39"/>
        <v/>
      </c>
      <c r="AF89" s="41"/>
      <c r="AG89" s="41" t="str">
        <f t="shared" si="40"/>
        <v/>
      </c>
      <c r="AH89" s="41" t="str">
        <f t="shared" si="52"/>
        <v/>
      </c>
      <c r="AI89" s="41" t="str">
        <f t="shared" si="53"/>
        <v/>
      </c>
      <c r="AJ89" s="41">
        <f t="shared" si="41"/>
        <v>0</v>
      </c>
      <c r="AK89" s="41" t="str">
        <f t="shared" si="42"/>
        <v/>
      </c>
      <c r="AL89" s="41">
        <f t="shared" si="54"/>
        <v>0</v>
      </c>
      <c r="AM89" s="41">
        <f t="shared" si="43"/>
        <v>0</v>
      </c>
      <c r="AN89" s="41" t="str">
        <f t="shared" si="44"/>
        <v/>
      </c>
      <c r="AO89" s="41">
        <f t="shared" si="61"/>
        <v>0</v>
      </c>
      <c r="AP89" s="45"/>
      <c r="AQ89" s="48"/>
      <c r="AR89" s="48"/>
      <c r="AS89" s="48"/>
      <c r="AT89" s="51">
        <f t="shared" si="55"/>
        <v>85</v>
      </c>
      <c r="AU89" s="49" t="str">
        <f t="shared" si="56"/>
        <v/>
      </c>
      <c r="AV89" s="49" t="str">
        <f t="shared" si="57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2.47616060621428E-2</v>
      </c>
      <c r="C90">
        <f t="shared" si="31"/>
        <v>2.327590969841423E-2</v>
      </c>
      <c r="D90" s="60"/>
      <c r="E90" s="5"/>
      <c r="F90" s="5"/>
      <c r="I90" s="51"/>
      <c r="J90" s="41"/>
      <c r="K90" s="41" t="str">
        <f t="shared" si="58"/>
        <v/>
      </c>
      <c r="L90" s="42" t="str">
        <f t="shared" si="59"/>
        <v/>
      </c>
      <c r="M90" s="41" t="str">
        <f t="shared" si="60"/>
        <v/>
      </c>
      <c r="N90" s="43">
        <f t="shared" si="32"/>
        <v>0</v>
      </c>
      <c r="O90" s="44">
        <f t="shared" si="33"/>
        <v>0</v>
      </c>
      <c r="P90" s="41" t="str">
        <f t="shared" si="34"/>
        <v/>
      </c>
      <c r="Q90" s="41" t="str">
        <f t="shared" si="35"/>
        <v/>
      </c>
      <c r="R90" s="45"/>
      <c r="S90" s="44" t="str">
        <f t="shared" si="46"/>
        <v/>
      </c>
      <c r="T90" s="52">
        <f t="shared" si="62"/>
        <v>0</v>
      </c>
      <c r="U90" s="53" t="str">
        <f t="shared" si="47"/>
        <v/>
      </c>
      <c r="V90" s="53" t="str">
        <f t="shared" si="48"/>
        <v/>
      </c>
      <c r="W90" s="53" t="str">
        <f t="shared" si="49"/>
        <v/>
      </c>
      <c r="X90" s="46" t="str">
        <f t="shared" si="36"/>
        <v/>
      </c>
      <c r="Y90" s="45"/>
      <c r="Z90" s="41" t="str">
        <f t="shared" si="50"/>
        <v/>
      </c>
      <c r="AA90" s="41" t="str">
        <f t="shared" si="51"/>
        <v/>
      </c>
      <c r="AB90" s="41" t="str">
        <f t="shared" si="37"/>
        <v/>
      </c>
      <c r="AC90" s="41" t="str">
        <f t="shared" si="38"/>
        <v/>
      </c>
      <c r="AD90" s="45"/>
      <c r="AE90" s="41" t="str">
        <f t="shared" si="39"/>
        <v/>
      </c>
      <c r="AF90" s="41"/>
      <c r="AG90" s="41" t="str">
        <f t="shared" si="40"/>
        <v/>
      </c>
      <c r="AH90" s="41" t="str">
        <f t="shared" si="52"/>
        <v/>
      </c>
      <c r="AI90" s="41" t="str">
        <f t="shared" si="53"/>
        <v/>
      </c>
      <c r="AJ90" s="41">
        <f t="shared" si="41"/>
        <v>0</v>
      </c>
      <c r="AK90" s="41" t="str">
        <f t="shared" si="42"/>
        <v/>
      </c>
      <c r="AL90" s="41">
        <f t="shared" si="54"/>
        <v>0</v>
      </c>
      <c r="AM90" s="41">
        <f t="shared" si="43"/>
        <v>0</v>
      </c>
      <c r="AN90" s="41" t="str">
        <f t="shared" si="44"/>
        <v/>
      </c>
      <c r="AO90" s="41">
        <f t="shared" si="61"/>
        <v>0</v>
      </c>
      <c r="AP90" s="45"/>
      <c r="AQ90" s="48"/>
      <c r="AR90" s="48"/>
      <c r="AS90" s="48"/>
      <c r="AT90" s="51">
        <f t="shared" si="55"/>
        <v>86</v>
      </c>
      <c r="AU90" s="49" t="str">
        <f t="shared" si="56"/>
        <v/>
      </c>
      <c r="AV90" s="49" t="str">
        <f t="shared" si="57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3.1337788240226802E-2</v>
      </c>
      <c r="C91">
        <f t="shared" ref="C91:C144" si="63">B91*(1-$F$16)</f>
        <v>2.9457520945813193E-2</v>
      </c>
      <c r="D91" s="60"/>
      <c r="E91" s="5"/>
      <c r="F91" s="5"/>
      <c r="I91" s="51"/>
      <c r="J91" s="41"/>
      <c r="K91" s="41" t="str">
        <f t="shared" si="58"/>
        <v/>
      </c>
      <c r="L91" s="42" t="str">
        <f t="shared" si="59"/>
        <v/>
      </c>
      <c r="M91" s="41" t="str">
        <f t="shared" si="60"/>
        <v/>
      </c>
      <c r="N91" s="43">
        <f t="shared" si="32"/>
        <v>0</v>
      </c>
      <c r="O91" s="44">
        <f t="shared" si="33"/>
        <v>0</v>
      </c>
      <c r="P91" s="41" t="str">
        <f t="shared" si="34"/>
        <v/>
      </c>
      <c r="Q91" s="41" t="str">
        <f t="shared" si="35"/>
        <v/>
      </c>
      <c r="R91" s="45"/>
      <c r="S91" s="44" t="str">
        <f t="shared" si="46"/>
        <v/>
      </c>
      <c r="T91" s="52">
        <f t="shared" si="62"/>
        <v>0</v>
      </c>
      <c r="U91" s="53" t="str">
        <f t="shared" si="47"/>
        <v/>
      </c>
      <c r="V91" s="53" t="str">
        <f t="shared" si="48"/>
        <v/>
      </c>
      <c r="W91" s="53" t="str">
        <f t="shared" si="49"/>
        <v/>
      </c>
      <c r="X91" s="46" t="str">
        <f t="shared" si="36"/>
        <v/>
      </c>
      <c r="Y91" s="45"/>
      <c r="Z91" s="41" t="str">
        <f t="shared" si="50"/>
        <v/>
      </c>
      <c r="AA91" s="41" t="str">
        <f t="shared" si="51"/>
        <v/>
      </c>
      <c r="AB91" s="41" t="str">
        <f t="shared" si="37"/>
        <v/>
      </c>
      <c r="AC91" s="41" t="str">
        <f t="shared" si="38"/>
        <v/>
      </c>
      <c r="AD91" s="45"/>
      <c r="AE91" s="41" t="str">
        <f t="shared" si="39"/>
        <v/>
      </c>
      <c r="AF91" s="41"/>
      <c r="AG91" s="41" t="str">
        <f t="shared" si="40"/>
        <v/>
      </c>
      <c r="AH91" s="41" t="str">
        <f t="shared" si="52"/>
        <v/>
      </c>
      <c r="AI91" s="41" t="str">
        <f t="shared" si="53"/>
        <v/>
      </c>
      <c r="AJ91" s="41">
        <f t="shared" si="41"/>
        <v>0</v>
      </c>
      <c r="AK91" s="41" t="str">
        <f t="shared" si="42"/>
        <v/>
      </c>
      <c r="AL91" s="41">
        <f t="shared" si="54"/>
        <v>0</v>
      </c>
      <c r="AM91" s="41">
        <f t="shared" si="43"/>
        <v>0</v>
      </c>
      <c r="AN91" s="41" t="str">
        <f t="shared" si="44"/>
        <v/>
      </c>
      <c r="AO91" s="41">
        <f t="shared" si="61"/>
        <v>0</v>
      </c>
      <c r="AP91" s="45"/>
      <c r="AQ91" s="48"/>
      <c r="AR91" s="48"/>
      <c r="AS91" s="48"/>
      <c r="AT91" s="51">
        <f t="shared" si="55"/>
        <v>87</v>
      </c>
      <c r="AU91" s="49" t="str">
        <f t="shared" si="56"/>
        <v/>
      </c>
      <c r="AV91" s="49" t="str">
        <f t="shared" si="57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3.42978499937443E-2</v>
      </c>
      <c r="C92">
        <f t="shared" si="63"/>
        <v>3.2239978994119643E-2</v>
      </c>
      <c r="D92" s="60"/>
      <c r="E92" s="5"/>
      <c r="F92" s="5"/>
      <c r="I92" s="51"/>
      <c r="J92" s="41"/>
      <c r="K92" s="41" t="str">
        <f t="shared" si="58"/>
        <v/>
      </c>
      <c r="L92" s="42" t="str">
        <f t="shared" si="59"/>
        <v/>
      </c>
      <c r="M92" s="41" t="str">
        <f t="shared" si="60"/>
        <v/>
      </c>
      <c r="N92" s="43">
        <f t="shared" si="32"/>
        <v>0</v>
      </c>
      <c r="O92" s="44">
        <f t="shared" si="33"/>
        <v>0</v>
      </c>
      <c r="P92" s="41" t="str">
        <f t="shared" si="34"/>
        <v/>
      </c>
      <c r="Q92" s="41" t="str">
        <f t="shared" si="35"/>
        <v/>
      </c>
      <c r="R92" s="45"/>
      <c r="S92" s="44" t="str">
        <f t="shared" si="46"/>
        <v/>
      </c>
      <c r="T92" s="52">
        <f t="shared" si="62"/>
        <v>0</v>
      </c>
      <c r="U92" s="53" t="str">
        <f t="shared" si="47"/>
        <v/>
      </c>
      <c r="V92" s="53" t="str">
        <f t="shared" si="48"/>
        <v/>
      </c>
      <c r="W92" s="53" t="str">
        <f t="shared" si="49"/>
        <v/>
      </c>
      <c r="X92" s="46" t="str">
        <f t="shared" si="36"/>
        <v/>
      </c>
      <c r="Y92" s="45"/>
      <c r="Z92" s="41" t="str">
        <f t="shared" si="50"/>
        <v/>
      </c>
      <c r="AA92" s="41" t="str">
        <f t="shared" si="51"/>
        <v/>
      </c>
      <c r="AB92" s="41" t="str">
        <f t="shared" si="37"/>
        <v/>
      </c>
      <c r="AC92" s="41" t="str">
        <f t="shared" si="38"/>
        <v/>
      </c>
      <c r="AD92" s="45"/>
      <c r="AE92" s="41" t="str">
        <f t="shared" si="39"/>
        <v/>
      </c>
      <c r="AF92" s="41"/>
      <c r="AG92" s="41" t="str">
        <f t="shared" si="40"/>
        <v/>
      </c>
      <c r="AH92" s="41" t="str">
        <f t="shared" si="52"/>
        <v/>
      </c>
      <c r="AI92" s="41" t="str">
        <f t="shared" si="53"/>
        <v/>
      </c>
      <c r="AJ92" s="41">
        <f t="shared" si="41"/>
        <v>0</v>
      </c>
      <c r="AK92" s="41" t="str">
        <f t="shared" si="42"/>
        <v/>
      </c>
      <c r="AL92" s="41">
        <f t="shared" si="54"/>
        <v>0</v>
      </c>
      <c r="AM92" s="41">
        <f t="shared" si="43"/>
        <v>0</v>
      </c>
      <c r="AN92" s="41" t="str">
        <f t="shared" si="44"/>
        <v/>
      </c>
      <c r="AO92" s="41">
        <f t="shared" si="61"/>
        <v>0</v>
      </c>
      <c r="AP92" s="45"/>
      <c r="AQ92" s="48"/>
      <c r="AR92" s="48"/>
      <c r="AS92" s="48"/>
      <c r="AT92" s="51">
        <f t="shared" si="55"/>
        <v>88</v>
      </c>
      <c r="AU92" s="49" t="str">
        <f t="shared" si="56"/>
        <v/>
      </c>
      <c r="AV92" s="49" t="str">
        <f t="shared" si="57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3.74405235565375E-2</v>
      </c>
      <c r="C93">
        <f t="shared" si="63"/>
        <v>3.5194092143145249E-2</v>
      </c>
      <c r="D93" s="60"/>
      <c r="E93" s="5"/>
      <c r="F93" s="5"/>
      <c r="I93" s="51"/>
      <c r="J93" s="41"/>
      <c r="K93" s="41" t="str">
        <f t="shared" si="58"/>
        <v/>
      </c>
      <c r="L93" s="42" t="str">
        <f t="shared" si="59"/>
        <v/>
      </c>
      <c r="M93" s="41" t="str">
        <f t="shared" si="60"/>
        <v/>
      </c>
      <c r="N93" s="43">
        <f t="shared" si="32"/>
        <v>0</v>
      </c>
      <c r="O93" s="44">
        <f t="shared" si="33"/>
        <v>0</v>
      </c>
      <c r="P93" s="41" t="str">
        <f t="shared" si="34"/>
        <v/>
      </c>
      <c r="Q93" s="41" t="str">
        <f t="shared" si="35"/>
        <v/>
      </c>
      <c r="R93" s="45"/>
      <c r="S93" s="44" t="str">
        <f t="shared" si="46"/>
        <v/>
      </c>
      <c r="T93" s="52">
        <f t="shared" si="62"/>
        <v>0</v>
      </c>
      <c r="U93" s="53" t="str">
        <f t="shared" si="47"/>
        <v/>
      </c>
      <c r="V93" s="53" t="str">
        <f t="shared" si="48"/>
        <v/>
      </c>
      <c r="W93" s="53" t="str">
        <f t="shared" si="49"/>
        <v/>
      </c>
      <c r="X93" s="46" t="str">
        <f t="shared" si="36"/>
        <v/>
      </c>
      <c r="Y93" s="45"/>
      <c r="Z93" s="41" t="str">
        <f t="shared" si="50"/>
        <v/>
      </c>
      <c r="AA93" s="41" t="str">
        <f t="shared" si="51"/>
        <v/>
      </c>
      <c r="AB93" s="41" t="str">
        <f t="shared" si="37"/>
        <v/>
      </c>
      <c r="AC93" s="41" t="str">
        <f t="shared" si="38"/>
        <v/>
      </c>
      <c r="AD93" s="45"/>
      <c r="AE93" s="41" t="str">
        <f t="shared" si="39"/>
        <v/>
      </c>
      <c r="AF93" s="41"/>
      <c r="AG93" s="41" t="str">
        <f t="shared" si="40"/>
        <v/>
      </c>
      <c r="AH93" s="41" t="str">
        <f t="shared" si="52"/>
        <v/>
      </c>
      <c r="AI93" s="41" t="str">
        <f t="shared" si="53"/>
        <v/>
      </c>
      <c r="AJ93" s="41">
        <f t="shared" si="41"/>
        <v>0</v>
      </c>
      <c r="AK93" s="41" t="str">
        <f t="shared" si="42"/>
        <v/>
      </c>
      <c r="AL93" s="41">
        <f t="shared" si="54"/>
        <v>0</v>
      </c>
      <c r="AM93" s="41">
        <f t="shared" si="43"/>
        <v>0</v>
      </c>
      <c r="AN93" s="41" t="str">
        <f t="shared" si="44"/>
        <v/>
      </c>
      <c r="AO93" s="41">
        <f t="shared" si="61"/>
        <v>0</v>
      </c>
      <c r="AP93" s="45"/>
      <c r="AQ93" s="48"/>
      <c r="AR93" s="48"/>
      <c r="AS93" s="48"/>
      <c r="AT93" s="51">
        <f t="shared" si="55"/>
        <v>89</v>
      </c>
      <c r="AU93" s="49" t="str">
        <f t="shared" si="56"/>
        <v/>
      </c>
      <c r="AV93" s="49" t="str">
        <f t="shared" si="57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4.0970452479436398E-2</v>
      </c>
      <c r="C94">
        <f t="shared" si="63"/>
        <v>3.8512225330670211E-2</v>
      </c>
      <c r="D94" s="60"/>
      <c r="E94" s="5"/>
      <c r="F94" s="5"/>
      <c r="I94" s="40"/>
      <c r="J94" s="41"/>
      <c r="K94" s="41" t="str">
        <f t="shared" si="58"/>
        <v/>
      </c>
      <c r="L94" s="42" t="str">
        <f t="shared" si="59"/>
        <v/>
      </c>
      <c r="M94" s="41" t="str">
        <f t="shared" si="60"/>
        <v/>
      </c>
      <c r="N94" s="43">
        <f t="shared" si="32"/>
        <v>0</v>
      </c>
      <c r="O94" s="44">
        <f>AW94</f>
        <v>0</v>
      </c>
      <c r="P94" s="41" t="str">
        <f t="shared" si="34"/>
        <v/>
      </c>
      <c r="Q94" s="41" t="str">
        <f t="shared" si="35"/>
        <v/>
      </c>
      <c r="R94" s="48"/>
      <c r="S94" s="44" t="str">
        <f t="shared" si="46"/>
        <v/>
      </c>
      <c r="T94" s="52">
        <f t="shared" si="62"/>
        <v>0</v>
      </c>
      <c r="U94" s="53" t="str">
        <f t="shared" si="47"/>
        <v/>
      </c>
      <c r="V94" s="53" t="str">
        <f t="shared" si="48"/>
        <v/>
      </c>
      <c r="W94" s="53" t="str">
        <f t="shared" si="49"/>
        <v/>
      </c>
      <c r="X94" s="46" t="str">
        <f t="shared" si="36"/>
        <v/>
      </c>
      <c r="Y94" s="48"/>
      <c r="Z94" s="41" t="str">
        <f t="shared" si="50"/>
        <v/>
      </c>
      <c r="AA94" s="41" t="str">
        <f t="shared" si="51"/>
        <v/>
      </c>
      <c r="AB94" s="41" t="str">
        <f t="shared" si="37"/>
        <v/>
      </c>
      <c r="AC94" s="41" t="str">
        <f t="shared" si="38"/>
        <v/>
      </c>
      <c r="AD94" s="48"/>
      <c r="AE94" s="41" t="str">
        <f t="shared" si="39"/>
        <v/>
      </c>
      <c r="AF94" s="41"/>
      <c r="AG94" s="41" t="str">
        <f t="shared" si="40"/>
        <v/>
      </c>
      <c r="AH94" s="41" t="str">
        <f t="shared" si="52"/>
        <v/>
      </c>
      <c r="AI94" s="41" t="str">
        <f t="shared" si="53"/>
        <v/>
      </c>
      <c r="AJ94" s="41">
        <f t="shared" si="41"/>
        <v>0</v>
      </c>
      <c r="AK94" s="41" t="str">
        <f t="shared" si="42"/>
        <v/>
      </c>
      <c r="AL94" s="41">
        <f t="shared" si="54"/>
        <v>0</v>
      </c>
      <c r="AM94" s="41">
        <f t="shared" si="43"/>
        <v>0</v>
      </c>
      <c r="AN94" s="41" t="str">
        <f t="shared" si="44"/>
        <v/>
      </c>
      <c r="AO94" s="41">
        <f t="shared" si="61"/>
        <v>0</v>
      </c>
      <c r="AP94" s="48"/>
      <c r="AQ94" s="48"/>
      <c r="AR94" s="48"/>
      <c r="AS94" s="48"/>
      <c r="AT94" s="51">
        <f t="shared" si="55"/>
        <v>90</v>
      </c>
      <c r="AU94" s="49" t="str">
        <f t="shared" si="56"/>
        <v/>
      </c>
      <c r="AV94" s="49" t="str">
        <f t="shared" si="57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4.4940617591758998E-2</v>
      </c>
      <c r="C95">
        <f t="shared" si="63"/>
        <v>4.2244180536253458E-2</v>
      </c>
      <c r="D95" s="60"/>
      <c r="E95" s="5"/>
      <c r="F95" s="5"/>
      <c r="I95" s="40"/>
      <c r="J95" s="41"/>
      <c r="K95" s="41" t="str">
        <f t="shared" si="58"/>
        <v/>
      </c>
      <c r="L95" s="42" t="str">
        <f t="shared" si="59"/>
        <v/>
      </c>
      <c r="M95" s="41" t="str">
        <f t="shared" si="60"/>
        <v/>
      </c>
      <c r="N95" s="43">
        <f t="shared" si="32"/>
        <v>0</v>
      </c>
      <c r="O95" s="44">
        <f t="shared" si="33"/>
        <v>0</v>
      </c>
      <c r="P95" s="41" t="str">
        <f t="shared" si="34"/>
        <v/>
      </c>
      <c r="Q95" s="41" t="str">
        <f t="shared" si="35"/>
        <v/>
      </c>
      <c r="R95" s="48"/>
      <c r="S95" s="44" t="str">
        <f t="shared" si="46"/>
        <v/>
      </c>
      <c r="T95" s="52">
        <f t="shared" si="62"/>
        <v>0</v>
      </c>
      <c r="U95" s="53" t="str">
        <f t="shared" si="47"/>
        <v/>
      </c>
      <c r="V95" s="53" t="str">
        <f t="shared" si="48"/>
        <v/>
      </c>
      <c r="W95" s="53" t="str">
        <f t="shared" si="49"/>
        <v/>
      </c>
      <c r="X95" s="46" t="str">
        <f t="shared" si="36"/>
        <v/>
      </c>
      <c r="Y95" s="48"/>
      <c r="Z95" s="41" t="str">
        <f t="shared" si="50"/>
        <v/>
      </c>
      <c r="AA95" s="41" t="str">
        <f t="shared" si="51"/>
        <v/>
      </c>
      <c r="AB95" s="41" t="str">
        <f t="shared" si="37"/>
        <v/>
      </c>
      <c r="AC95" s="41" t="str">
        <f t="shared" si="38"/>
        <v/>
      </c>
      <c r="AD95" s="48"/>
      <c r="AE95" s="41" t="str">
        <f t="shared" si="39"/>
        <v/>
      </c>
      <c r="AF95" s="41"/>
      <c r="AG95" s="41" t="str">
        <f t="shared" si="40"/>
        <v/>
      </c>
      <c r="AH95" s="41" t="str">
        <f t="shared" si="52"/>
        <v/>
      </c>
      <c r="AI95" s="41" t="str">
        <f t="shared" si="53"/>
        <v/>
      </c>
      <c r="AJ95" s="41">
        <f t="shared" si="41"/>
        <v>0</v>
      </c>
      <c r="AK95" s="41" t="str">
        <f t="shared" si="42"/>
        <v/>
      </c>
      <c r="AL95" s="41">
        <f t="shared" si="54"/>
        <v>0</v>
      </c>
      <c r="AM95" s="41">
        <f t="shared" si="43"/>
        <v>0</v>
      </c>
      <c r="AN95" s="41" t="str">
        <f t="shared" si="44"/>
        <v/>
      </c>
      <c r="AO95" s="41">
        <f t="shared" si="61"/>
        <v>0</v>
      </c>
      <c r="AP95" s="48"/>
      <c r="AQ95" s="48"/>
      <c r="AR95" s="48"/>
      <c r="AS95" s="48"/>
      <c r="AT95" s="51">
        <f t="shared" si="55"/>
        <v>91</v>
      </c>
      <c r="AU95" s="49" t="str">
        <f t="shared" si="56"/>
        <v/>
      </c>
      <c r="AV95" s="49" t="str">
        <f t="shared" si="57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4.9475628606803899E-2</v>
      </c>
      <c r="C96">
        <f t="shared" si="63"/>
        <v>4.6507090890395661E-2</v>
      </c>
      <c r="D96" s="60"/>
      <c r="E96" s="5"/>
      <c r="F96" s="5"/>
      <c r="I96" s="40"/>
      <c r="J96" s="41"/>
      <c r="K96" s="41" t="str">
        <f t="shared" si="58"/>
        <v/>
      </c>
      <c r="L96" s="42" t="str">
        <f t="shared" si="59"/>
        <v/>
      </c>
      <c r="M96" s="41" t="str">
        <f t="shared" si="60"/>
        <v/>
      </c>
      <c r="N96" s="43">
        <f t="shared" si="32"/>
        <v>0</v>
      </c>
      <c r="O96" s="44">
        <f t="shared" si="33"/>
        <v>0</v>
      </c>
      <c r="P96" s="41" t="str">
        <f t="shared" si="34"/>
        <v/>
      </c>
      <c r="Q96" s="41" t="str">
        <f t="shared" si="35"/>
        <v/>
      </c>
      <c r="R96" s="48"/>
      <c r="S96" s="44" t="str">
        <f t="shared" si="46"/>
        <v/>
      </c>
      <c r="T96" s="52">
        <f t="shared" si="62"/>
        <v>0</v>
      </c>
      <c r="U96" s="53" t="str">
        <f t="shared" si="47"/>
        <v/>
      </c>
      <c r="V96" s="53" t="str">
        <f t="shared" si="48"/>
        <v/>
      </c>
      <c r="W96" s="53" t="str">
        <f t="shared" si="49"/>
        <v/>
      </c>
      <c r="X96" s="46" t="str">
        <f t="shared" si="36"/>
        <v/>
      </c>
      <c r="Y96" s="48"/>
      <c r="Z96" s="41" t="str">
        <f t="shared" si="50"/>
        <v/>
      </c>
      <c r="AA96" s="41" t="str">
        <f t="shared" si="51"/>
        <v/>
      </c>
      <c r="AB96" s="41" t="str">
        <f t="shared" si="37"/>
        <v/>
      </c>
      <c r="AC96" s="41" t="str">
        <f t="shared" si="38"/>
        <v/>
      </c>
      <c r="AD96" s="48"/>
      <c r="AE96" s="41" t="str">
        <f t="shared" si="39"/>
        <v/>
      </c>
      <c r="AF96" s="41"/>
      <c r="AG96" s="41" t="str">
        <f t="shared" si="40"/>
        <v/>
      </c>
      <c r="AH96" s="41" t="str">
        <f t="shared" si="52"/>
        <v/>
      </c>
      <c r="AI96" s="41" t="str">
        <f t="shared" si="53"/>
        <v/>
      </c>
      <c r="AJ96" s="41">
        <f>SUM(AE96:AI96)</f>
        <v>0</v>
      </c>
      <c r="AK96" s="41" t="str">
        <f t="shared" si="42"/>
        <v/>
      </c>
      <c r="AL96" s="41">
        <f t="shared" si="54"/>
        <v>0</v>
      </c>
      <c r="AM96" s="41">
        <f t="shared" si="43"/>
        <v>0</v>
      </c>
      <c r="AN96" s="41" t="str">
        <f t="shared" si="44"/>
        <v/>
      </c>
      <c r="AO96" s="41">
        <f t="shared" si="61"/>
        <v>0</v>
      </c>
      <c r="AP96" s="48"/>
      <c r="AQ96" s="48"/>
      <c r="AR96" s="48"/>
      <c r="AS96" s="48"/>
      <c r="AT96" s="51">
        <f t="shared" si="55"/>
        <v>92</v>
      </c>
      <c r="AU96" s="49" t="str">
        <f t="shared" si="56"/>
        <v/>
      </c>
      <c r="AV96" s="49" t="str">
        <f t="shared" si="57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5.4689177058262602E-2</v>
      </c>
      <c r="C97">
        <f t="shared" si="63"/>
        <v>5.1407826434766844E-2</v>
      </c>
      <c r="D97" s="60"/>
      <c r="E97" s="5"/>
      <c r="F97" s="5"/>
      <c r="I97" s="40"/>
      <c r="J97" s="41"/>
      <c r="K97" s="41" t="str">
        <f t="shared" si="58"/>
        <v/>
      </c>
      <c r="L97" s="42" t="str">
        <f t="shared" si="59"/>
        <v/>
      </c>
      <c r="M97" s="41" t="str">
        <f t="shared" si="60"/>
        <v/>
      </c>
      <c r="N97" s="43">
        <f t="shared" si="32"/>
        <v>0</v>
      </c>
      <c r="O97" s="44">
        <f t="shared" si="33"/>
        <v>0</v>
      </c>
      <c r="P97" s="41" t="str">
        <f t="shared" si="34"/>
        <v/>
      </c>
      <c r="Q97" s="41" t="str">
        <f t="shared" si="35"/>
        <v/>
      </c>
      <c r="R97" s="48"/>
      <c r="S97" s="44" t="str">
        <f t="shared" si="46"/>
        <v/>
      </c>
      <c r="T97" s="52">
        <f t="shared" si="62"/>
        <v>0</v>
      </c>
      <c r="U97" s="53" t="str">
        <f t="shared" si="47"/>
        <v/>
      </c>
      <c r="V97" s="53" t="str">
        <f t="shared" si="48"/>
        <v/>
      </c>
      <c r="W97" s="53" t="str">
        <f t="shared" si="49"/>
        <v/>
      </c>
      <c r="X97" s="46" t="str">
        <f t="shared" si="36"/>
        <v/>
      </c>
      <c r="Y97" s="48"/>
      <c r="Z97" s="41" t="str">
        <f t="shared" si="50"/>
        <v/>
      </c>
      <c r="AA97" s="41" t="str">
        <f t="shared" si="51"/>
        <v/>
      </c>
      <c r="AB97" s="41" t="str">
        <f t="shared" si="37"/>
        <v/>
      </c>
      <c r="AC97" s="41" t="str">
        <f t="shared" si="38"/>
        <v/>
      </c>
      <c r="AD97" s="48"/>
      <c r="AE97" s="41" t="str">
        <f t="shared" si="39"/>
        <v/>
      </c>
      <c r="AF97" s="41"/>
      <c r="AG97" s="41" t="str">
        <f t="shared" si="40"/>
        <v/>
      </c>
      <c r="AH97" s="41" t="str">
        <f t="shared" si="52"/>
        <v/>
      </c>
      <c r="AI97" s="41" t="str">
        <f t="shared" si="53"/>
        <v/>
      </c>
      <c r="AJ97" s="41">
        <f t="shared" si="41"/>
        <v>0</v>
      </c>
      <c r="AK97" s="41" t="str">
        <f t="shared" si="42"/>
        <v/>
      </c>
      <c r="AL97" s="41">
        <f t="shared" si="54"/>
        <v>0</v>
      </c>
      <c r="AM97" s="41">
        <f t="shared" si="43"/>
        <v>0</v>
      </c>
      <c r="AN97" s="41" t="str">
        <f t="shared" si="44"/>
        <v/>
      </c>
      <c r="AO97" s="41">
        <f t="shared" si="61"/>
        <v>0</v>
      </c>
      <c r="AP97" s="48"/>
      <c r="AQ97" s="48"/>
      <c r="AR97" s="48"/>
      <c r="AS97" s="48"/>
      <c r="AT97" s="51">
        <f t="shared" si="55"/>
        <v>93</v>
      </c>
      <c r="AU97" s="49" t="str">
        <f t="shared" si="56"/>
        <v/>
      </c>
      <c r="AV97" s="49" t="str">
        <f t="shared" si="57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6.0682237615848497E-2</v>
      </c>
      <c r="C98">
        <f t="shared" si="63"/>
        <v>5.7041303358897587E-2</v>
      </c>
      <c r="D98" s="60"/>
      <c r="E98" s="5"/>
      <c r="F98" s="5"/>
      <c r="I98" s="40"/>
      <c r="J98" s="41"/>
      <c r="K98" s="41" t="str">
        <f t="shared" si="58"/>
        <v/>
      </c>
      <c r="L98" s="42" t="str">
        <f t="shared" si="59"/>
        <v/>
      </c>
      <c r="M98" s="41" t="str">
        <f t="shared" si="60"/>
        <v/>
      </c>
      <c r="N98" s="43">
        <f t="shared" si="32"/>
        <v>0</v>
      </c>
      <c r="O98" s="44">
        <f t="shared" si="33"/>
        <v>0</v>
      </c>
      <c r="P98" s="41" t="str">
        <f t="shared" si="34"/>
        <v/>
      </c>
      <c r="Q98" s="41" t="str">
        <f t="shared" si="35"/>
        <v/>
      </c>
      <c r="R98" s="48"/>
      <c r="S98" s="44" t="str">
        <f t="shared" si="46"/>
        <v/>
      </c>
      <c r="T98" s="52">
        <f t="shared" si="62"/>
        <v>0</v>
      </c>
      <c r="U98" s="53" t="str">
        <f t="shared" si="47"/>
        <v/>
      </c>
      <c r="V98" s="53" t="str">
        <f t="shared" si="48"/>
        <v/>
      </c>
      <c r="W98" s="53" t="str">
        <f t="shared" si="49"/>
        <v/>
      </c>
      <c r="X98" s="46" t="str">
        <f t="shared" si="36"/>
        <v/>
      </c>
      <c r="Y98" s="48"/>
      <c r="Z98" s="41" t="str">
        <f t="shared" si="50"/>
        <v/>
      </c>
      <c r="AA98" s="41" t="str">
        <f t="shared" si="51"/>
        <v/>
      </c>
      <c r="AB98" s="41" t="str">
        <f t="shared" si="37"/>
        <v/>
      </c>
      <c r="AC98" s="41" t="str">
        <f t="shared" si="38"/>
        <v/>
      </c>
      <c r="AD98" s="48"/>
      <c r="AE98" s="41" t="str">
        <f t="shared" si="39"/>
        <v/>
      </c>
      <c r="AF98" s="41"/>
      <c r="AG98" s="41" t="str">
        <f t="shared" si="40"/>
        <v/>
      </c>
      <c r="AH98" s="41" t="str">
        <f t="shared" si="52"/>
        <v/>
      </c>
      <c r="AI98" s="41" t="str">
        <f t="shared" si="53"/>
        <v/>
      </c>
      <c r="AJ98" s="41">
        <f t="shared" si="41"/>
        <v>0</v>
      </c>
      <c r="AK98" s="41" t="str">
        <f t="shared" si="42"/>
        <v/>
      </c>
      <c r="AL98" s="41">
        <f t="shared" si="54"/>
        <v>0</v>
      </c>
      <c r="AM98" s="41">
        <f t="shared" si="43"/>
        <v>0</v>
      </c>
      <c r="AN98" s="41" t="str">
        <f t="shared" si="44"/>
        <v/>
      </c>
      <c r="AO98" s="41">
        <f t="shared" si="61"/>
        <v>0</v>
      </c>
      <c r="AP98" s="48"/>
      <c r="AQ98" s="48"/>
      <c r="AR98" s="48"/>
      <c r="AS98" s="48"/>
      <c r="AT98" s="51">
        <f t="shared" si="55"/>
        <v>94</v>
      </c>
      <c r="AU98" s="49" t="str">
        <f t="shared" si="56"/>
        <v/>
      </c>
      <c r="AV98" s="49" t="str">
        <f t="shared" si="57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6.7790325954448699E-2</v>
      </c>
      <c r="C99">
        <f t="shared" si="63"/>
        <v>6.3722906397181769E-2</v>
      </c>
      <c r="D99" s="60"/>
      <c r="E99" s="5"/>
      <c r="F99" s="5"/>
      <c r="I99" s="40"/>
      <c r="J99" s="41"/>
      <c r="K99" s="41" t="str">
        <f t="shared" si="58"/>
        <v/>
      </c>
      <c r="L99" s="42" t="str">
        <f t="shared" si="59"/>
        <v/>
      </c>
      <c r="M99" s="41" t="str">
        <f t="shared" si="60"/>
        <v/>
      </c>
      <c r="N99" s="43">
        <f t="shared" si="32"/>
        <v>0</v>
      </c>
      <c r="O99" s="44">
        <f t="shared" si="33"/>
        <v>0</v>
      </c>
      <c r="P99" s="41" t="str">
        <f t="shared" si="34"/>
        <v/>
      </c>
      <c r="Q99" s="41" t="str">
        <f t="shared" si="35"/>
        <v/>
      </c>
      <c r="R99" s="48"/>
      <c r="S99" s="44" t="str">
        <f t="shared" si="46"/>
        <v/>
      </c>
      <c r="T99" s="52">
        <f t="shared" si="62"/>
        <v>0</v>
      </c>
      <c r="U99" s="53" t="str">
        <f t="shared" si="47"/>
        <v/>
      </c>
      <c r="V99" s="53" t="str">
        <f t="shared" si="48"/>
        <v/>
      </c>
      <c r="W99" s="53" t="str">
        <f t="shared" si="49"/>
        <v/>
      </c>
      <c r="X99" s="46" t="str">
        <f t="shared" si="36"/>
        <v/>
      </c>
      <c r="Y99" s="48"/>
      <c r="Z99" s="41" t="str">
        <f t="shared" si="50"/>
        <v/>
      </c>
      <c r="AA99" s="41" t="str">
        <f t="shared" si="51"/>
        <v/>
      </c>
      <c r="AB99" s="41" t="str">
        <f t="shared" si="37"/>
        <v/>
      </c>
      <c r="AC99" s="41" t="str">
        <f t="shared" si="38"/>
        <v/>
      </c>
      <c r="AD99" s="48"/>
      <c r="AE99" s="41" t="str">
        <f t="shared" si="39"/>
        <v/>
      </c>
      <c r="AF99" s="41"/>
      <c r="AG99" s="41" t="str">
        <f t="shared" si="40"/>
        <v/>
      </c>
      <c r="AH99" s="41" t="str">
        <f t="shared" si="52"/>
        <v/>
      </c>
      <c r="AI99" s="41" t="str">
        <f t="shared" si="53"/>
        <v/>
      </c>
      <c r="AJ99" s="41">
        <f t="shared" si="41"/>
        <v>0</v>
      </c>
      <c r="AK99" s="41" t="str">
        <f t="shared" si="42"/>
        <v/>
      </c>
      <c r="AL99" s="41">
        <f t="shared" si="54"/>
        <v>0</v>
      </c>
      <c r="AM99" s="41">
        <f t="shared" si="43"/>
        <v>0</v>
      </c>
      <c r="AN99" s="41" t="str">
        <f t="shared" si="44"/>
        <v/>
      </c>
      <c r="AO99" s="41">
        <f t="shared" si="61"/>
        <v>0</v>
      </c>
      <c r="AP99" s="48"/>
      <c r="AQ99" s="48"/>
      <c r="AR99" s="48"/>
      <c r="AS99" s="48"/>
      <c r="AT99" s="51">
        <f t="shared" si="55"/>
        <v>95</v>
      </c>
      <c r="AU99" s="49" t="str">
        <f t="shared" si="56"/>
        <v/>
      </c>
      <c r="AV99" s="49" t="str">
        <f t="shared" si="57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7.5947777910954001E-2</v>
      </c>
      <c r="C100">
        <f t="shared" si="63"/>
        <v>7.1390911236296761E-2</v>
      </c>
      <c r="D100" s="60"/>
      <c r="E100" s="5"/>
      <c r="F100" s="5"/>
      <c r="I100" s="40"/>
      <c r="J100" s="41"/>
      <c r="K100" s="41" t="str">
        <f t="shared" si="58"/>
        <v/>
      </c>
      <c r="L100" s="42" t="str">
        <f t="shared" si="59"/>
        <v/>
      </c>
      <c r="M100" s="41" t="str">
        <f t="shared" si="60"/>
        <v/>
      </c>
      <c r="N100" s="43">
        <f t="shared" si="32"/>
        <v>0</v>
      </c>
      <c r="O100" s="44">
        <f t="shared" si="33"/>
        <v>0</v>
      </c>
      <c r="P100" s="41" t="str">
        <f t="shared" si="34"/>
        <v/>
      </c>
      <c r="Q100" s="41" t="str">
        <f t="shared" si="35"/>
        <v/>
      </c>
      <c r="R100" s="48"/>
      <c r="S100" s="44" t="str">
        <f t="shared" si="46"/>
        <v/>
      </c>
      <c r="T100" s="52">
        <f t="shared" si="62"/>
        <v>0</v>
      </c>
      <c r="U100" s="53" t="str">
        <f t="shared" si="47"/>
        <v/>
      </c>
      <c r="V100" s="53" t="str">
        <f t="shared" si="48"/>
        <v/>
      </c>
      <c r="W100" s="53" t="str">
        <f t="shared" si="49"/>
        <v/>
      </c>
      <c r="X100" s="46" t="str">
        <f t="shared" si="36"/>
        <v/>
      </c>
      <c r="Y100" s="48"/>
      <c r="Z100" s="41" t="str">
        <f t="shared" si="50"/>
        <v/>
      </c>
      <c r="AA100" s="41" t="str">
        <f t="shared" si="51"/>
        <v/>
      </c>
      <c r="AB100" s="41" t="str">
        <f t="shared" si="37"/>
        <v/>
      </c>
      <c r="AC100" s="41" t="str">
        <f t="shared" si="38"/>
        <v/>
      </c>
      <c r="AD100" s="48"/>
      <c r="AE100" s="41" t="str">
        <f t="shared" si="39"/>
        <v/>
      </c>
      <c r="AF100" s="41"/>
      <c r="AG100" s="41" t="str">
        <f t="shared" si="40"/>
        <v/>
      </c>
      <c r="AH100" s="41" t="str">
        <f t="shared" si="52"/>
        <v/>
      </c>
      <c r="AI100" s="41" t="str">
        <f t="shared" si="53"/>
        <v/>
      </c>
      <c r="AJ100" s="41">
        <f t="shared" si="41"/>
        <v>0</v>
      </c>
      <c r="AK100" s="41" t="str">
        <f t="shared" si="42"/>
        <v/>
      </c>
      <c r="AL100" s="41">
        <f t="shared" si="54"/>
        <v>0</v>
      </c>
      <c r="AM100" s="41">
        <f t="shared" si="43"/>
        <v>0</v>
      </c>
      <c r="AN100" s="41" t="str">
        <f t="shared" si="44"/>
        <v/>
      </c>
      <c r="AO100" s="41">
        <f t="shared" si="61"/>
        <v>0</v>
      </c>
      <c r="AP100" s="48"/>
      <c r="AQ100" s="48"/>
      <c r="AR100" s="48"/>
      <c r="AS100" s="48"/>
      <c r="AT100" s="51">
        <f t="shared" si="55"/>
        <v>96</v>
      </c>
      <c r="AU100" s="49" t="str">
        <f t="shared" si="56"/>
        <v/>
      </c>
      <c r="AV100" s="49" t="str">
        <f t="shared" si="57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9.73367165348928E-2</v>
      </c>
      <c r="C101">
        <f t="shared" si="63"/>
        <v>9.1496513542799224E-2</v>
      </c>
      <c r="D101" s="60"/>
      <c r="E101" s="5"/>
      <c r="F101" s="5"/>
      <c r="I101" s="40"/>
      <c r="J101" s="41"/>
      <c r="K101" s="41" t="str">
        <f t="shared" si="58"/>
        <v/>
      </c>
      <c r="L101" s="42" t="str">
        <f t="shared" si="59"/>
        <v/>
      </c>
      <c r="M101" s="41" t="str">
        <f t="shared" si="60"/>
        <v/>
      </c>
      <c r="N101" s="43">
        <f t="shared" si="32"/>
        <v>0</v>
      </c>
      <c r="O101" s="44">
        <f t="shared" si="33"/>
        <v>0</v>
      </c>
      <c r="P101" s="41" t="str">
        <f t="shared" si="34"/>
        <v/>
      </c>
      <c r="Q101" s="41" t="str">
        <f t="shared" si="35"/>
        <v/>
      </c>
      <c r="R101" s="48"/>
      <c r="S101" s="44" t="str">
        <f t="shared" si="46"/>
        <v/>
      </c>
      <c r="T101" s="52">
        <f t="shared" si="62"/>
        <v>0</v>
      </c>
      <c r="U101" s="53" t="str">
        <f t="shared" si="47"/>
        <v/>
      </c>
      <c r="V101" s="53" t="str">
        <f t="shared" si="48"/>
        <v/>
      </c>
      <c r="W101" s="53" t="str">
        <f t="shared" si="49"/>
        <v/>
      </c>
      <c r="X101" s="46" t="str">
        <f t="shared" si="36"/>
        <v/>
      </c>
      <c r="Y101" s="48"/>
      <c r="Z101" s="41" t="str">
        <f t="shared" si="50"/>
        <v/>
      </c>
      <c r="AA101" s="41" t="str">
        <f t="shared" si="51"/>
        <v/>
      </c>
      <c r="AB101" s="41" t="str">
        <f t="shared" si="37"/>
        <v/>
      </c>
      <c r="AC101" s="41" t="str">
        <f t="shared" si="38"/>
        <v/>
      </c>
      <c r="AD101" s="48"/>
      <c r="AE101" s="41" t="str">
        <f t="shared" si="39"/>
        <v/>
      </c>
      <c r="AF101" s="41"/>
      <c r="AG101" s="41" t="str">
        <f t="shared" si="40"/>
        <v/>
      </c>
      <c r="AH101" s="41" t="str">
        <f t="shared" si="52"/>
        <v/>
      </c>
      <c r="AI101" s="41" t="str">
        <f t="shared" si="53"/>
        <v/>
      </c>
      <c r="AJ101" s="41">
        <f t="shared" si="41"/>
        <v>0</v>
      </c>
      <c r="AK101" s="41" t="str">
        <f t="shared" si="42"/>
        <v/>
      </c>
      <c r="AL101" s="41">
        <f t="shared" si="54"/>
        <v>0</v>
      </c>
      <c r="AM101" s="41">
        <f t="shared" si="43"/>
        <v>0</v>
      </c>
      <c r="AN101" s="41" t="str">
        <f t="shared" si="44"/>
        <v/>
      </c>
      <c r="AO101" s="41">
        <f t="shared" si="61"/>
        <v>0</v>
      </c>
      <c r="AP101" s="48"/>
      <c r="AQ101" s="48"/>
      <c r="AR101" s="48"/>
      <c r="AS101" s="48"/>
      <c r="AT101" s="51">
        <f t="shared" si="55"/>
        <v>97</v>
      </c>
      <c r="AU101" s="49" t="str">
        <f t="shared" si="56"/>
        <v/>
      </c>
      <c r="AV101" s="49" t="str">
        <f t="shared" si="57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0.10945108185492</v>
      </c>
      <c r="C102">
        <f t="shared" si="63"/>
        <v>0.1028840169436248</v>
      </c>
      <c r="D102" s="60"/>
      <c r="E102" s="5"/>
      <c r="F102" s="5"/>
      <c r="I102" s="40"/>
      <c r="J102" s="41"/>
      <c r="K102" s="41" t="str">
        <f t="shared" si="58"/>
        <v/>
      </c>
      <c r="L102" s="42" t="str">
        <f t="shared" si="59"/>
        <v/>
      </c>
      <c r="M102" s="41" t="str">
        <f t="shared" si="60"/>
        <v/>
      </c>
      <c r="N102" s="43">
        <f t="shared" si="32"/>
        <v>0</v>
      </c>
      <c r="O102" s="44">
        <f t="shared" si="33"/>
        <v>0</v>
      </c>
      <c r="P102" s="41" t="str">
        <f t="shared" si="34"/>
        <v/>
      </c>
      <c r="Q102" s="41" t="str">
        <f t="shared" si="35"/>
        <v/>
      </c>
      <c r="R102" s="48"/>
      <c r="S102" s="44" t="str">
        <f t="shared" si="46"/>
        <v/>
      </c>
      <c r="T102" s="52">
        <f t="shared" si="62"/>
        <v>0</v>
      </c>
      <c r="U102" s="53" t="str">
        <f t="shared" si="47"/>
        <v/>
      </c>
      <c r="V102" s="53" t="str">
        <f t="shared" si="48"/>
        <v/>
      </c>
      <c r="W102" s="53" t="str">
        <f t="shared" si="49"/>
        <v/>
      </c>
      <c r="X102" s="46" t="str">
        <f t="shared" si="36"/>
        <v/>
      </c>
      <c r="Y102" s="48"/>
      <c r="Z102" s="41" t="str">
        <f t="shared" si="50"/>
        <v/>
      </c>
      <c r="AA102" s="41" t="str">
        <f t="shared" si="51"/>
        <v/>
      </c>
      <c r="AB102" s="41" t="str">
        <f t="shared" si="37"/>
        <v/>
      </c>
      <c r="AC102" s="41" t="str">
        <f t="shared" si="38"/>
        <v/>
      </c>
      <c r="AD102" s="48"/>
      <c r="AE102" s="41" t="str">
        <f t="shared" si="39"/>
        <v/>
      </c>
      <c r="AF102" s="41"/>
      <c r="AG102" s="41" t="str">
        <f t="shared" si="40"/>
        <v/>
      </c>
      <c r="AH102" s="41" t="str">
        <f t="shared" si="52"/>
        <v/>
      </c>
      <c r="AI102" s="41" t="str">
        <f t="shared" si="53"/>
        <v/>
      </c>
      <c r="AJ102" s="41">
        <f t="shared" si="41"/>
        <v>0</v>
      </c>
      <c r="AK102" s="41" t="str">
        <f t="shared" si="42"/>
        <v/>
      </c>
      <c r="AL102" s="41">
        <f t="shared" si="54"/>
        <v>0</v>
      </c>
      <c r="AM102" s="41">
        <f t="shared" si="43"/>
        <v>0</v>
      </c>
      <c r="AN102" s="41" t="str">
        <f t="shared" si="44"/>
        <v/>
      </c>
      <c r="AO102" s="41">
        <f t="shared" si="61"/>
        <v>0</v>
      </c>
      <c r="AP102" s="48"/>
      <c r="AQ102" s="48"/>
      <c r="AR102" s="48"/>
      <c r="AS102" s="48"/>
      <c r="AT102" s="51">
        <f t="shared" si="55"/>
        <v>98</v>
      </c>
      <c r="AU102" s="49" t="str">
        <f t="shared" si="56"/>
        <v/>
      </c>
      <c r="AV102" s="49" t="str">
        <f t="shared" si="57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0.12287252770711</v>
      </c>
      <c r="C103">
        <f t="shared" si="63"/>
        <v>0.11550017604468339</v>
      </c>
      <c r="D103" s="60"/>
      <c r="E103" s="5"/>
      <c r="F103" s="5"/>
      <c r="I103" s="40"/>
      <c r="J103" s="41"/>
      <c r="K103" s="41" t="str">
        <f t="shared" si="58"/>
        <v/>
      </c>
      <c r="L103" s="42" t="str">
        <f t="shared" si="59"/>
        <v/>
      </c>
      <c r="M103" s="41" t="str">
        <f t="shared" si="60"/>
        <v/>
      </c>
      <c r="N103" s="43">
        <f t="shared" si="32"/>
        <v>0</v>
      </c>
      <c r="O103" s="44">
        <f t="shared" si="33"/>
        <v>0</v>
      </c>
      <c r="P103" s="41" t="str">
        <f t="shared" si="34"/>
        <v/>
      </c>
      <c r="Q103" s="41" t="str">
        <f t="shared" si="35"/>
        <v/>
      </c>
      <c r="R103" s="48"/>
      <c r="S103" s="44" t="str">
        <f t="shared" si="46"/>
        <v/>
      </c>
      <c r="T103" s="52">
        <f t="shared" si="62"/>
        <v>0</v>
      </c>
      <c r="U103" s="53" t="str">
        <f t="shared" si="47"/>
        <v/>
      </c>
      <c r="V103" s="53" t="str">
        <f t="shared" si="48"/>
        <v/>
      </c>
      <c r="W103" s="53" t="str">
        <f t="shared" si="49"/>
        <v/>
      </c>
      <c r="X103" s="46" t="str">
        <f t="shared" si="36"/>
        <v/>
      </c>
      <c r="Y103" s="48"/>
      <c r="Z103" s="41" t="str">
        <f t="shared" si="50"/>
        <v/>
      </c>
      <c r="AA103" s="41" t="str">
        <f t="shared" si="51"/>
        <v/>
      </c>
      <c r="AB103" s="41" t="str">
        <f t="shared" si="37"/>
        <v/>
      </c>
      <c r="AC103" s="41" t="str">
        <f t="shared" si="38"/>
        <v/>
      </c>
      <c r="AD103" s="48"/>
      <c r="AE103" s="41" t="str">
        <f t="shared" si="39"/>
        <v/>
      </c>
      <c r="AF103" s="41"/>
      <c r="AG103" s="41" t="str">
        <f t="shared" si="40"/>
        <v/>
      </c>
      <c r="AH103" s="41" t="str">
        <f t="shared" si="52"/>
        <v/>
      </c>
      <c r="AI103" s="41" t="str">
        <f t="shared" si="53"/>
        <v/>
      </c>
      <c r="AJ103" s="41">
        <f t="shared" si="41"/>
        <v>0</v>
      </c>
      <c r="AK103" s="41" t="str">
        <f t="shared" si="42"/>
        <v/>
      </c>
      <c r="AL103" s="41">
        <f t="shared" si="54"/>
        <v>0</v>
      </c>
      <c r="AM103" s="41">
        <f t="shared" si="43"/>
        <v>0</v>
      </c>
      <c r="AN103" s="41" t="str">
        <f t="shared" si="44"/>
        <v/>
      </c>
      <c r="AO103" s="41">
        <f t="shared" si="61"/>
        <v>0</v>
      </c>
      <c r="AP103" s="48"/>
      <c r="AQ103" s="48"/>
      <c r="AR103" s="48"/>
      <c r="AS103" s="48"/>
      <c r="AT103" s="51">
        <f t="shared" si="55"/>
        <v>99</v>
      </c>
      <c r="AU103" s="49" t="str">
        <f t="shared" si="56"/>
        <v/>
      </c>
      <c r="AV103" s="49" t="str">
        <f t="shared" si="57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0.13765430509033599</v>
      </c>
      <c r="C104">
        <f t="shared" si="63"/>
        <v>0.12939504678491581</v>
      </c>
      <c r="D104" s="60"/>
      <c r="E104" s="5"/>
      <c r="F104" s="5"/>
      <c r="I104" s="40"/>
      <c r="J104" s="41"/>
      <c r="K104" s="41" t="str">
        <f t="shared" si="58"/>
        <v/>
      </c>
      <c r="L104" s="42" t="str">
        <f t="shared" si="59"/>
        <v/>
      </c>
      <c r="M104" s="41" t="str">
        <f t="shared" si="60"/>
        <v/>
      </c>
      <c r="N104" s="43">
        <f t="shared" si="32"/>
        <v>0</v>
      </c>
      <c r="O104" s="44">
        <f t="shared" si="33"/>
        <v>0</v>
      </c>
      <c r="P104" s="41" t="str">
        <f t="shared" si="34"/>
        <v/>
      </c>
      <c r="Q104" s="41" t="str">
        <f t="shared" si="35"/>
        <v/>
      </c>
      <c r="R104" s="48"/>
      <c r="S104" s="44" t="str">
        <f t="shared" si="46"/>
        <v/>
      </c>
      <c r="T104" s="52">
        <f t="shared" si="62"/>
        <v>0</v>
      </c>
      <c r="U104" s="53" t="str">
        <f t="shared" si="47"/>
        <v/>
      </c>
      <c r="V104" s="53" t="str">
        <f t="shared" si="48"/>
        <v/>
      </c>
      <c r="W104" s="53" t="str">
        <f t="shared" si="49"/>
        <v/>
      </c>
      <c r="X104" s="46" t="str">
        <f t="shared" si="36"/>
        <v/>
      </c>
      <c r="Y104" s="48"/>
      <c r="Z104" s="41" t="str">
        <f t="shared" si="50"/>
        <v/>
      </c>
      <c r="AA104" s="41" t="str">
        <f t="shared" si="51"/>
        <v/>
      </c>
      <c r="AB104" s="41" t="str">
        <f t="shared" si="37"/>
        <v/>
      </c>
      <c r="AC104" s="41" t="str">
        <f t="shared" si="38"/>
        <v/>
      </c>
      <c r="AD104" s="48"/>
      <c r="AE104" s="41" t="str">
        <f t="shared" si="39"/>
        <v/>
      </c>
      <c r="AF104" s="41"/>
      <c r="AG104" s="41" t="str">
        <f t="shared" si="40"/>
        <v/>
      </c>
      <c r="AH104" s="41" t="str">
        <f t="shared" si="52"/>
        <v/>
      </c>
      <c r="AI104" s="41" t="str">
        <f t="shared" si="53"/>
        <v/>
      </c>
      <c r="AJ104" s="41">
        <f t="shared" si="41"/>
        <v>0</v>
      </c>
      <c r="AK104" s="41" t="str">
        <f t="shared" si="42"/>
        <v/>
      </c>
      <c r="AL104" s="41">
        <f t="shared" si="54"/>
        <v>0</v>
      </c>
      <c r="AM104" s="41">
        <f t="shared" si="43"/>
        <v>0</v>
      </c>
      <c r="AN104" s="41" t="str">
        <f t="shared" si="44"/>
        <v/>
      </c>
      <c r="AO104" s="41">
        <f t="shared" si="61"/>
        <v>0</v>
      </c>
      <c r="AP104" s="48"/>
      <c r="AQ104" s="48"/>
      <c r="AR104" s="48"/>
      <c r="AS104" s="48"/>
      <c r="AT104" s="51">
        <f t="shared" si="55"/>
        <v>100</v>
      </c>
      <c r="AU104" s="49" t="str">
        <f t="shared" si="56"/>
        <v/>
      </c>
      <c r="AV104" s="49" t="str">
        <f t="shared" si="57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0.15360437106000299</v>
      </c>
      <c r="C105">
        <f t="shared" si="63"/>
        <v>0.14438810879640279</v>
      </c>
      <c r="D105" s="60"/>
      <c r="E105" s="5"/>
      <c r="F105" s="5"/>
      <c r="I105" s="40"/>
      <c r="J105" s="41"/>
      <c r="K105" s="41" t="str">
        <f t="shared" si="58"/>
        <v/>
      </c>
      <c r="L105" s="42" t="str">
        <f t="shared" si="59"/>
        <v/>
      </c>
      <c r="M105" s="41" t="str">
        <f t="shared" si="60"/>
        <v/>
      </c>
      <c r="N105" s="43">
        <f t="shared" si="32"/>
        <v>0</v>
      </c>
      <c r="O105" s="44">
        <f t="shared" si="33"/>
        <v>0</v>
      </c>
      <c r="P105" s="41" t="str">
        <f t="shared" si="34"/>
        <v/>
      </c>
      <c r="Q105" s="41" t="str">
        <f t="shared" si="35"/>
        <v/>
      </c>
      <c r="R105" s="48"/>
      <c r="S105" s="44" t="str">
        <f t="shared" si="46"/>
        <v/>
      </c>
      <c r="T105" s="52">
        <f t="shared" si="62"/>
        <v>0</v>
      </c>
      <c r="U105" s="53" t="str">
        <f t="shared" si="47"/>
        <v/>
      </c>
      <c r="V105" s="53" t="str">
        <f t="shared" si="48"/>
        <v/>
      </c>
      <c r="W105" s="53" t="str">
        <f t="shared" si="49"/>
        <v/>
      </c>
      <c r="X105" s="46" t="str">
        <f t="shared" si="36"/>
        <v/>
      </c>
      <c r="Y105" s="48"/>
      <c r="Z105" s="41" t="str">
        <f t="shared" si="50"/>
        <v/>
      </c>
      <c r="AA105" s="41" t="str">
        <f t="shared" si="51"/>
        <v/>
      </c>
      <c r="AB105" s="41" t="str">
        <f t="shared" si="37"/>
        <v/>
      </c>
      <c r="AC105" s="41" t="str">
        <f t="shared" si="38"/>
        <v/>
      </c>
      <c r="AD105" s="48"/>
      <c r="AE105" s="41" t="str">
        <f t="shared" si="39"/>
        <v/>
      </c>
      <c r="AF105" s="41"/>
      <c r="AG105" s="41" t="str">
        <f t="shared" si="40"/>
        <v/>
      </c>
      <c r="AH105" s="41" t="str">
        <f t="shared" si="52"/>
        <v/>
      </c>
      <c r="AI105" s="41" t="str">
        <f t="shared" si="53"/>
        <v/>
      </c>
      <c r="AJ105" s="41">
        <f t="shared" si="41"/>
        <v>0</v>
      </c>
      <c r="AK105" s="41" t="str">
        <f t="shared" si="42"/>
        <v/>
      </c>
      <c r="AL105" s="41">
        <f t="shared" si="54"/>
        <v>0</v>
      </c>
      <c r="AM105" s="41">
        <f t="shared" si="43"/>
        <v>0</v>
      </c>
      <c r="AN105" s="41" t="str">
        <f t="shared" si="44"/>
        <v/>
      </c>
      <c r="AO105" s="41">
        <f t="shared" si="61"/>
        <v>0</v>
      </c>
      <c r="AP105" s="48"/>
      <c r="AQ105" s="48"/>
      <c r="AR105" s="48"/>
      <c r="AS105" s="48"/>
      <c r="AT105" s="51">
        <f t="shared" si="55"/>
        <v>101</v>
      </c>
      <c r="AU105" s="49" t="str">
        <f t="shared" si="56"/>
        <v/>
      </c>
      <c r="AV105" s="49" t="str">
        <f t="shared" si="57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0.17091684950295799</v>
      </c>
      <c r="C106">
        <f t="shared" si="63"/>
        <v>0.16066183853278052</v>
      </c>
      <c r="D106" s="60"/>
      <c r="E106" s="5"/>
      <c r="F106" s="5"/>
      <c r="I106" s="40"/>
      <c r="J106" s="41"/>
      <c r="K106" s="41" t="str">
        <f t="shared" si="58"/>
        <v/>
      </c>
      <c r="L106" s="42" t="str">
        <f t="shared" si="59"/>
        <v/>
      </c>
      <c r="M106" s="41" t="str">
        <f t="shared" si="60"/>
        <v/>
      </c>
      <c r="N106" s="43">
        <f t="shared" si="32"/>
        <v>0</v>
      </c>
      <c r="O106" s="44">
        <f t="shared" si="33"/>
        <v>0</v>
      </c>
      <c r="P106" s="41" t="str">
        <f t="shared" si="34"/>
        <v/>
      </c>
      <c r="Q106" s="41" t="str">
        <f t="shared" si="35"/>
        <v/>
      </c>
      <c r="R106" s="48"/>
      <c r="S106" s="44" t="str">
        <f t="shared" si="46"/>
        <v/>
      </c>
      <c r="T106" s="52">
        <f t="shared" si="62"/>
        <v>0</v>
      </c>
      <c r="U106" s="53" t="str">
        <f t="shared" si="47"/>
        <v/>
      </c>
      <c r="V106" s="53" t="str">
        <f t="shared" si="48"/>
        <v/>
      </c>
      <c r="W106" s="53" t="str">
        <f t="shared" si="49"/>
        <v/>
      </c>
      <c r="X106" s="46" t="str">
        <f t="shared" si="36"/>
        <v/>
      </c>
      <c r="Y106" s="48"/>
      <c r="Z106" s="41" t="str">
        <f t="shared" si="50"/>
        <v/>
      </c>
      <c r="AA106" s="41" t="str">
        <f t="shared" si="51"/>
        <v/>
      </c>
      <c r="AB106" s="41" t="str">
        <f t="shared" si="37"/>
        <v/>
      </c>
      <c r="AC106" s="41" t="str">
        <f t="shared" si="38"/>
        <v/>
      </c>
      <c r="AD106" s="48"/>
      <c r="AE106" s="41" t="str">
        <f t="shared" si="39"/>
        <v/>
      </c>
      <c r="AF106" s="41"/>
      <c r="AG106" s="41" t="str">
        <f t="shared" si="40"/>
        <v/>
      </c>
      <c r="AH106" s="41" t="str">
        <f t="shared" si="52"/>
        <v/>
      </c>
      <c r="AI106" s="41" t="str">
        <f t="shared" si="53"/>
        <v/>
      </c>
      <c r="AJ106" s="41">
        <f t="shared" si="41"/>
        <v>0</v>
      </c>
      <c r="AK106" s="41" t="str">
        <f t="shared" si="42"/>
        <v/>
      </c>
      <c r="AL106" s="41">
        <f t="shared" si="54"/>
        <v>0</v>
      </c>
      <c r="AM106" s="41">
        <f t="shared" si="43"/>
        <v>0</v>
      </c>
      <c r="AN106" s="41" t="str">
        <f t="shared" si="44"/>
        <v/>
      </c>
      <c r="AO106" s="41">
        <f t="shared" si="61"/>
        <v>0</v>
      </c>
      <c r="AP106" s="48"/>
      <c r="AQ106" s="48"/>
      <c r="AR106" s="48"/>
      <c r="AS106" s="48"/>
      <c r="AT106" s="51">
        <f t="shared" si="55"/>
        <v>102</v>
      </c>
      <c r="AU106" s="49" t="str">
        <f t="shared" si="56"/>
        <v/>
      </c>
      <c r="AV106" s="49" t="str">
        <f t="shared" si="57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0.19011995359321501</v>
      </c>
      <c r="C107">
        <f t="shared" si="63"/>
        <v>0.1787127563776221</v>
      </c>
      <c r="D107" s="60"/>
      <c r="E107" s="5"/>
      <c r="F107" s="5"/>
      <c r="I107" s="40"/>
      <c r="J107" s="41"/>
      <c r="K107" s="41" t="str">
        <f t="shared" si="58"/>
        <v/>
      </c>
      <c r="L107" s="42" t="str">
        <f t="shared" si="59"/>
        <v/>
      </c>
      <c r="M107" s="41" t="str">
        <f t="shared" si="60"/>
        <v/>
      </c>
      <c r="N107" s="43">
        <f t="shared" si="32"/>
        <v>0</v>
      </c>
      <c r="O107" s="44">
        <f t="shared" si="33"/>
        <v>0</v>
      </c>
      <c r="P107" s="41" t="str">
        <f t="shared" si="34"/>
        <v/>
      </c>
      <c r="Q107" s="41" t="str">
        <f t="shared" si="35"/>
        <v/>
      </c>
      <c r="R107" s="48"/>
      <c r="S107" s="44" t="str">
        <f t="shared" si="46"/>
        <v/>
      </c>
      <c r="T107" s="52">
        <f t="shared" si="62"/>
        <v>0</v>
      </c>
      <c r="U107" s="53" t="str">
        <f t="shared" si="47"/>
        <v/>
      </c>
      <c r="V107" s="53" t="str">
        <f t="shared" si="48"/>
        <v/>
      </c>
      <c r="W107" s="53" t="str">
        <f t="shared" si="49"/>
        <v/>
      </c>
      <c r="X107" s="46" t="str">
        <f t="shared" si="36"/>
        <v/>
      </c>
      <c r="Y107" s="48"/>
      <c r="Z107" s="41" t="str">
        <f t="shared" si="50"/>
        <v/>
      </c>
      <c r="AA107" s="41" t="str">
        <f t="shared" si="51"/>
        <v/>
      </c>
      <c r="AB107" s="41" t="str">
        <f t="shared" si="37"/>
        <v/>
      </c>
      <c r="AC107" s="41" t="str">
        <f t="shared" si="38"/>
        <v/>
      </c>
      <c r="AD107" s="48"/>
      <c r="AE107" s="41" t="str">
        <f t="shared" si="39"/>
        <v/>
      </c>
      <c r="AF107" s="41"/>
      <c r="AG107" s="41" t="str">
        <f t="shared" si="40"/>
        <v/>
      </c>
      <c r="AH107" s="41" t="str">
        <f t="shared" si="52"/>
        <v/>
      </c>
      <c r="AI107" s="41" t="str">
        <f t="shared" si="53"/>
        <v/>
      </c>
      <c r="AJ107" s="41">
        <f t="shared" si="41"/>
        <v>0</v>
      </c>
      <c r="AK107" s="41" t="str">
        <f t="shared" si="42"/>
        <v/>
      </c>
      <c r="AL107" s="41">
        <f t="shared" si="54"/>
        <v>0</v>
      </c>
      <c r="AM107" s="41">
        <f t="shared" si="43"/>
        <v>0</v>
      </c>
      <c r="AN107" s="41" t="str">
        <f t="shared" si="44"/>
        <v/>
      </c>
      <c r="AO107" s="41">
        <f t="shared" si="61"/>
        <v>0</v>
      </c>
      <c r="AP107" s="48"/>
      <c r="AQ107" s="48"/>
      <c r="AR107" s="48"/>
      <c r="AS107" s="48"/>
      <c r="AT107" s="51">
        <f t="shared" si="55"/>
        <v>103</v>
      </c>
      <c r="AU107" s="49" t="str">
        <f t="shared" si="56"/>
        <v/>
      </c>
      <c r="AV107" s="49" t="str">
        <f t="shared" si="57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0.21135350412571899</v>
      </c>
      <c r="C108">
        <f t="shared" si="63"/>
        <v>0.19867229387817584</v>
      </c>
      <c r="D108" s="60"/>
      <c r="E108" s="5"/>
      <c r="F108" s="5"/>
      <c r="I108" s="40"/>
      <c r="J108" s="41"/>
      <c r="K108" s="41" t="str">
        <f t="shared" si="58"/>
        <v/>
      </c>
      <c r="L108" s="42" t="str">
        <f t="shared" si="59"/>
        <v/>
      </c>
      <c r="M108" s="41" t="str">
        <f t="shared" si="60"/>
        <v/>
      </c>
      <c r="N108" s="43">
        <f t="shared" si="32"/>
        <v>0</v>
      </c>
      <c r="O108" s="44">
        <f t="shared" si="33"/>
        <v>0</v>
      </c>
      <c r="P108" s="41" t="str">
        <f t="shared" si="34"/>
        <v/>
      </c>
      <c r="Q108" s="41" t="str">
        <f t="shared" si="35"/>
        <v/>
      </c>
      <c r="R108" s="48"/>
      <c r="S108" s="44" t="str">
        <f t="shared" si="46"/>
        <v/>
      </c>
      <c r="T108" s="52">
        <f t="shared" si="62"/>
        <v>0</v>
      </c>
      <c r="U108" s="53" t="str">
        <f t="shared" si="47"/>
        <v/>
      </c>
      <c r="V108" s="53" t="str">
        <f t="shared" si="48"/>
        <v/>
      </c>
      <c r="W108" s="53" t="str">
        <f t="shared" si="49"/>
        <v/>
      </c>
      <c r="X108" s="46" t="str">
        <f t="shared" si="36"/>
        <v/>
      </c>
      <c r="Y108" s="48"/>
      <c r="Z108" s="41" t="str">
        <f t="shared" si="50"/>
        <v/>
      </c>
      <c r="AA108" s="41" t="str">
        <f t="shared" si="51"/>
        <v/>
      </c>
      <c r="AB108" s="41" t="str">
        <f t="shared" si="37"/>
        <v/>
      </c>
      <c r="AC108" s="41" t="str">
        <f t="shared" si="38"/>
        <v/>
      </c>
      <c r="AD108" s="48"/>
      <c r="AE108" s="41" t="str">
        <f t="shared" si="39"/>
        <v/>
      </c>
      <c r="AF108" s="41"/>
      <c r="AG108" s="41" t="str">
        <f t="shared" si="40"/>
        <v/>
      </c>
      <c r="AH108" s="41" t="str">
        <f t="shared" si="52"/>
        <v/>
      </c>
      <c r="AI108" s="41" t="str">
        <f t="shared" si="53"/>
        <v/>
      </c>
      <c r="AJ108" s="41">
        <f t="shared" si="41"/>
        <v>0</v>
      </c>
      <c r="AK108" s="41" t="str">
        <f t="shared" si="42"/>
        <v/>
      </c>
      <c r="AL108" s="41">
        <f t="shared" si="54"/>
        <v>0</v>
      </c>
      <c r="AM108" s="41">
        <f t="shared" si="43"/>
        <v>0</v>
      </c>
      <c r="AN108" s="41" t="str">
        <f t="shared" si="44"/>
        <v/>
      </c>
      <c r="AO108" s="41">
        <f t="shared" si="61"/>
        <v>0</v>
      </c>
      <c r="AP108" s="48"/>
      <c r="AQ108" s="48"/>
      <c r="AR108" s="48"/>
      <c r="AS108" s="48"/>
      <c r="AT108" s="51">
        <f t="shared" si="55"/>
        <v>104</v>
      </c>
      <c r="AU108" s="49" t="str">
        <f t="shared" si="56"/>
        <v/>
      </c>
      <c r="AV108" s="49" t="str">
        <f t="shared" si="57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0.23486684370264699</v>
      </c>
      <c r="C109">
        <f t="shared" si="63"/>
        <v>0.22077483308048815</v>
      </c>
      <c r="D109" s="60"/>
      <c r="E109" s="5"/>
      <c r="F109" s="5"/>
      <c r="I109" s="40"/>
      <c r="J109" s="41"/>
      <c r="K109" s="41" t="str">
        <f t="shared" si="58"/>
        <v/>
      </c>
      <c r="L109" s="42" t="str">
        <f t="shared" si="59"/>
        <v/>
      </c>
      <c r="M109" s="41" t="str">
        <f t="shared" si="60"/>
        <v/>
      </c>
      <c r="N109" s="43">
        <f t="shared" si="32"/>
        <v>0</v>
      </c>
      <c r="O109" s="44">
        <f t="shared" si="33"/>
        <v>0</v>
      </c>
      <c r="P109" s="41" t="str">
        <f t="shared" si="34"/>
        <v/>
      </c>
      <c r="Q109" s="41" t="str">
        <f t="shared" si="35"/>
        <v/>
      </c>
      <c r="R109" s="48"/>
      <c r="S109" s="44" t="str">
        <f t="shared" si="46"/>
        <v/>
      </c>
      <c r="T109" s="52">
        <f t="shared" si="62"/>
        <v>0</v>
      </c>
      <c r="U109" s="53" t="str">
        <f t="shared" si="47"/>
        <v/>
      </c>
      <c r="V109" s="53" t="str">
        <f t="shared" si="48"/>
        <v/>
      </c>
      <c r="W109" s="53" t="str">
        <f t="shared" si="49"/>
        <v/>
      </c>
      <c r="X109" s="46" t="str">
        <f t="shared" si="36"/>
        <v/>
      </c>
      <c r="Y109" s="48"/>
      <c r="Z109" s="41" t="str">
        <f t="shared" si="50"/>
        <v/>
      </c>
      <c r="AA109" s="41" t="str">
        <f t="shared" si="51"/>
        <v/>
      </c>
      <c r="AB109" s="41" t="str">
        <f t="shared" si="37"/>
        <v/>
      </c>
      <c r="AC109" s="41" t="str">
        <f t="shared" si="38"/>
        <v/>
      </c>
      <c r="AD109" s="48"/>
      <c r="AE109" s="41" t="str">
        <f t="shared" si="39"/>
        <v/>
      </c>
      <c r="AF109" s="41"/>
      <c r="AG109" s="41" t="str">
        <f t="shared" si="40"/>
        <v/>
      </c>
      <c r="AH109" s="41" t="str">
        <f t="shared" si="52"/>
        <v/>
      </c>
      <c r="AI109" s="41" t="str">
        <f t="shared" si="53"/>
        <v/>
      </c>
      <c r="AJ109" s="41">
        <f t="shared" si="41"/>
        <v>0</v>
      </c>
      <c r="AK109" s="41" t="str">
        <f t="shared" si="42"/>
        <v/>
      </c>
      <c r="AL109" s="41">
        <f t="shared" si="54"/>
        <v>0</v>
      </c>
      <c r="AM109" s="41">
        <f t="shared" si="43"/>
        <v>0</v>
      </c>
      <c r="AN109" s="41" t="str">
        <f t="shared" si="44"/>
        <v/>
      </c>
      <c r="AO109" s="41">
        <f t="shared" si="61"/>
        <v>0</v>
      </c>
      <c r="AP109" s="48"/>
      <c r="AQ109" s="48"/>
      <c r="AR109" s="48"/>
      <c r="AS109" s="48"/>
      <c r="AT109" s="51">
        <f t="shared" si="55"/>
        <v>105</v>
      </c>
      <c r="AU109" s="49" t="str">
        <f t="shared" si="56"/>
        <v/>
      </c>
      <c r="AV109" s="49" t="str">
        <f t="shared" si="57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0.25975579113049402</v>
      </c>
      <c r="C110">
        <f t="shared" si="63"/>
        <v>0.24417044366266435</v>
      </c>
      <c r="D110" s="60"/>
      <c r="E110" s="5"/>
      <c r="F110" s="5"/>
      <c r="I110" s="40"/>
      <c r="J110" s="41"/>
      <c r="K110" s="41" t="str">
        <f t="shared" si="58"/>
        <v/>
      </c>
      <c r="L110" s="42" t="str">
        <f t="shared" si="59"/>
        <v/>
      </c>
      <c r="M110" s="41" t="str">
        <f t="shared" si="60"/>
        <v/>
      </c>
      <c r="N110" s="43">
        <f t="shared" si="32"/>
        <v>0</v>
      </c>
      <c r="O110" s="44">
        <f t="shared" si="33"/>
        <v>0</v>
      </c>
      <c r="P110" s="41" t="str">
        <f t="shared" si="34"/>
        <v/>
      </c>
      <c r="Q110" s="41" t="str">
        <f t="shared" si="35"/>
        <v/>
      </c>
      <c r="R110" s="48"/>
      <c r="S110" s="44" t="str">
        <f t="shared" si="46"/>
        <v/>
      </c>
      <c r="T110" s="52">
        <f t="shared" si="62"/>
        <v>0</v>
      </c>
      <c r="U110" s="53" t="str">
        <f t="shared" si="47"/>
        <v/>
      </c>
      <c r="V110" s="53" t="str">
        <f t="shared" si="48"/>
        <v/>
      </c>
      <c r="W110" s="53" t="str">
        <f t="shared" si="49"/>
        <v/>
      </c>
      <c r="X110" s="46" t="str">
        <f t="shared" si="36"/>
        <v/>
      </c>
      <c r="Y110" s="48"/>
      <c r="Z110" s="41" t="str">
        <f t="shared" si="50"/>
        <v/>
      </c>
      <c r="AA110" s="41" t="str">
        <f t="shared" si="51"/>
        <v/>
      </c>
      <c r="AB110" s="41" t="str">
        <f t="shared" si="37"/>
        <v/>
      </c>
      <c r="AC110" s="41" t="str">
        <f t="shared" si="38"/>
        <v/>
      </c>
      <c r="AD110" s="48"/>
      <c r="AE110" s="41" t="str">
        <f t="shared" si="39"/>
        <v/>
      </c>
      <c r="AF110" s="41"/>
      <c r="AG110" s="41" t="str">
        <f t="shared" si="40"/>
        <v/>
      </c>
      <c r="AH110" s="41" t="str">
        <f t="shared" si="52"/>
        <v/>
      </c>
      <c r="AI110" s="41" t="str">
        <f t="shared" si="53"/>
        <v/>
      </c>
      <c r="AJ110" s="41">
        <f t="shared" si="41"/>
        <v>0</v>
      </c>
      <c r="AK110" s="41" t="str">
        <f t="shared" si="42"/>
        <v/>
      </c>
      <c r="AL110" s="41">
        <f t="shared" si="54"/>
        <v>0</v>
      </c>
      <c r="AM110" s="41">
        <f t="shared" si="43"/>
        <v>0</v>
      </c>
      <c r="AN110" s="41" t="str">
        <f t="shared" si="44"/>
        <v/>
      </c>
      <c r="AO110" s="41">
        <f t="shared" si="61"/>
        <v>0</v>
      </c>
      <c r="AP110" s="48"/>
      <c r="AQ110" s="48"/>
      <c r="AR110" s="48"/>
      <c r="AS110" s="48"/>
      <c r="AT110" s="51">
        <f t="shared" si="55"/>
        <v>106</v>
      </c>
      <c r="AU110" s="49" t="str">
        <f t="shared" si="56"/>
        <v/>
      </c>
      <c r="AV110" s="49" t="str">
        <f t="shared" si="57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0.28520011844167797</v>
      </c>
      <c r="C111">
        <f t="shared" si="63"/>
        <v>0.26808811133517729</v>
      </c>
      <c r="D111" s="60"/>
      <c r="E111" s="5"/>
      <c r="F111" s="5"/>
      <c r="I111" s="40"/>
      <c r="J111" s="41"/>
      <c r="K111" s="41" t="str">
        <f t="shared" si="58"/>
        <v/>
      </c>
      <c r="L111" s="42" t="str">
        <f t="shared" si="59"/>
        <v/>
      </c>
      <c r="M111" s="41" t="str">
        <f t="shared" si="60"/>
        <v/>
      </c>
      <c r="N111" s="43">
        <f t="shared" si="32"/>
        <v>0</v>
      </c>
      <c r="O111" s="44">
        <f t="shared" si="33"/>
        <v>0</v>
      </c>
      <c r="P111" s="41" t="str">
        <f t="shared" si="34"/>
        <v/>
      </c>
      <c r="Q111" s="41" t="str">
        <f t="shared" si="35"/>
        <v/>
      </c>
      <c r="R111" s="48"/>
      <c r="S111" s="44" t="str">
        <f t="shared" si="46"/>
        <v/>
      </c>
      <c r="T111" s="52">
        <f t="shared" si="62"/>
        <v>0</v>
      </c>
      <c r="U111" s="53" t="str">
        <f t="shared" si="47"/>
        <v/>
      </c>
      <c r="V111" s="53" t="str">
        <f t="shared" si="48"/>
        <v/>
      </c>
      <c r="W111" s="53" t="str">
        <f t="shared" si="49"/>
        <v/>
      </c>
      <c r="X111" s="46" t="str">
        <f t="shared" si="36"/>
        <v/>
      </c>
      <c r="Y111" s="48"/>
      <c r="Z111" s="41" t="str">
        <f t="shared" si="50"/>
        <v/>
      </c>
      <c r="AA111" s="41" t="str">
        <f t="shared" si="51"/>
        <v/>
      </c>
      <c r="AB111" s="41" t="str">
        <f t="shared" si="37"/>
        <v/>
      </c>
      <c r="AC111" s="41" t="str">
        <f t="shared" si="38"/>
        <v/>
      </c>
      <c r="AD111" s="48"/>
      <c r="AE111" s="41" t="str">
        <f t="shared" si="39"/>
        <v/>
      </c>
      <c r="AF111" s="41"/>
      <c r="AG111" s="41" t="str">
        <f t="shared" si="40"/>
        <v/>
      </c>
      <c r="AH111" s="41" t="str">
        <f t="shared" si="52"/>
        <v/>
      </c>
      <c r="AI111" s="41" t="str">
        <f t="shared" si="53"/>
        <v/>
      </c>
      <c r="AJ111" s="41">
        <f t="shared" si="41"/>
        <v>0</v>
      </c>
      <c r="AK111" s="41" t="str">
        <f t="shared" si="42"/>
        <v/>
      </c>
      <c r="AL111" s="41">
        <f t="shared" si="54"/>
        <v>0</v>
      </c>
      <c r="AM111" s="41">
        <f t="shared" si="43"/>
        <v>0</v>
      </c>
      <c r="AN111" s="41" t="str">
        <f t="shared" si="44"/>
        <v/>
      </c>
      <c r="AO111" s="41">
        <f t="shared" si="61"/>
        <v>0</v>
      </c>
      <c r="AP111" s="48"/>
      <c r="AQ111" s="48"/>
      <c r="AR111" s="48"/>
      <c r="AS111" s="48"/>
      <c r="AT111" s="51">
        <f t="shared" si="55"/>
        <v>107</v>
      </c>
      <c r="AU111" s="49" t="str">
        <f t="shared" si="56"/>
        <v/>
      </c>
      <c r="AV111" s="49" t="str">
        <f t="shared" si="57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0.31232284359913698</v>
      </c>
      <c r="C112">
        <f t="shared" si="63"/>
        <v>0.29358347298318876</v>
      </c>
      <c r="D112" s="60"/>
      <c r="E112" s="5"/>
      <c r="F112" s="5"/>
      <c r="I112" s="40"/>
      <c r="J112" s="41"/>
      <c r="K112" s="41" t="str">
        <f t="shared" si="58"/>
        <v/>
      </c>
      <c r="L112" s="42" t="str">
        <f t="shared" si="59"/>
        <v/>
      </c>
      <c r="M112" s="41" t="str">
        <f t="shared" si="60"/>
        <v/>
      </c>
      <c r="N112" s="43">
        <f t="shared" si="32"/>
        <v>0</v>
      </c>
      <c r="O112" s="44">
        <f t="shared" si="33"/>
        <v>0</v>
      </c>
      <c r="P112" s="41" t="str">
        <f t="shared" si="34"/>
        <v/>
      </c>
      <c r="Q112" s="41" t="str">
        <f t="shared" si="35"/>
        <v/>
      </c>
      <c r="R112" s="48"/>
      <c r="S112" s="44" t="str">
        <f t="shared" si="46"/>
        <v/>
      </c>
      <c r="T112" s="52">
        <f t="shared" si="62"/>
        <v>0</v>
      </c>
      <c r="U112" s="53" t="str">
        <f t="shared" si="47"/>
        <v/>
      </c>
      <c r="V112" s="53" t="str">
        <f t="shared" si="48"/>
        <v/>
      </c>
      <c r="W112" s="53" t="str">
        <f t="shared" si="49"/>
        <v/>
      </c>
      <c r="X112" s="46" t="str">
        <f t="shared" si="36"/>
        <v/>
      </c>
      <c r="Y112" s="48"/>
      <c r="Z112" s="41" t="str">
        <f t="shared" si="50"/>
        <v/>
      </c>
      <c r="AA112" s="41" t="str">
        <f t="shared" si="51"/>
        <v/>
      </c>
      <c r="AB112" s="41" t="str">
        <f t="shared" si="37"/>
        <v/>
      </c>
      <c r="AC112" s="41" t="str">
        <f t="shared" si="38"/>
        <v/>
      </c>
      <c r="AD112" s="48"/>
      <c r="AE112" s="41" t="str">
        <f t="shared" si="39"/>
        <v/>
      </c>
      <c r="AF112" s="41"/>
      <c r="AG112" s="41" t="str">
        <f t="shared" si="40"/>
        <v/>
      </c>
      <c r="AH112" s="41" t="str">
        <f t="shared" si="52"/>
        <v/>
      </c>
      <c r="AI112" s="41" t="str">
        <f t="shared" si="53"/>
        <v/>
      </c>
      <c r="AJ112" s="41">
        <f t="shared" si="41"/>
        <v>0</v>
      </c>
      <c r="AK112" s="41" t="str">
        <f t="shared" si="42"/>
        <v/>
      </c>
      <c r="AL112" s="41">
        <f t="shared" si="54"/>
        <v>0</v>
      </c>
      <c r="AM112" s="41">
        <f t="shared" si="43"/>
        <v>0</v>
      </c>
      <c r="AN112" s="41" t="str">
        <f t="shared" si="44"/>
        <v/>
      </c>
      <c r="AO112" s="41">
        <f t="shared" si="61"/>
        <v>0</v>
      </c>
      <c r="AP112" s="48"/>
      <c r="AQ112" s="48"/>
      <c r="AR112" s="48"/>
      <c r="AS112" s="48"/>
      <c r="AT112" s="51">
        <f t="shared" si="55"/>
        <v>108</v>
      </c>
      <c r="AU112" s="49" t="str">
        <f t="shared" si="56"/>
        <v/>
      </c>
      <c r="AV112" s="49" t="str">
        <f t="shared" si="57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0.34086926485915697</v>
      </c>
      <c r="C113">
        <f t="shared" si="63"/>
        <v>0.32041710896760756</v>
      </c>
      <c r="D113" s="60"/>
      <c r="E113" s="5"/>
      <c r="F113" s="5"/>
      <c r="I113" s="40"/>
      <c r="J113" s="41"/>
      <c r="K113" s="41" t="str">
        <f t="shared" si="58"/>
        <v/>
      </c>
      <c r="L113" s="42" t="str">
        <f t="shared" si="59"/>
        <v/>
      </c>
      <c r="M113" s="41" t="str">
        <f t="shared" si="60"/>
        <v/>
      </c>
      <c r="N113" s="43">
        <f t="shared" si="32"/>
        <v>0</v>
      </c>
      <c r="O113" s="44">
        <f t="shared" si="33"/>
        <v>0</v>
      </c>
      <c r="P113" s="41" t="str">
        <f t="shared" si="34"/>
        <v/>
      </c>
      <c r="Q113" s="41" t="str">
        <f t="shared" si="35"/>
        <v/>
      </c>
      <c r="R113" s="48"/>
      <c r="S113" s="44" t="str">
        <f t="shared" si="46"/>
        <v/>
      </c>
      <c r="T113" s="52">
        <f t="shared" si="62"/>
        <v>0</v>
      </c>
      <c r="U113" s="53" t="str">
        <f t="shared" si="47"/>
        <v/>
      </c>
      <c r="V113" s="53" t="str">
        <f t="shared" si="48"/>
        <v/>
      </c>
      <c r="W113" s="53" t="str">
        <f t="shared" si="49"/>
        <v/>
      </c>
      <c r="X113" s="46" t="str">
        <f t="shared" si="36"/>
        <v/>
      </c>
      <c r="Y113" s="48"/>
      <c r="Z113" s="41" t="str">
        <f t="shared" si="50"/>
        <v/>
      </c>
      <c r="AA113" s="41" t="str">
        <f t="shared" si="51"/>
        <v/>
      </c>
      <c r="AB113" s="41" t="str">
        <f t="shared" si="37"/>
        <v/>
      </c>
      <c r="AC113" s="41" t="str">
        <f t="shared" si="38"/>
        <v/>
      </c>
      <c r="AD113" s="48"/>
      <c r="AE113" s="41" t="str">
        <f t="shared" si="39"/>
        <v/>
      </c>
      <c r="AF113" s="41"/>
      <c r="AG113" s="41" t="str">
        <f t="shared" si="40"/>
        <v/>
      </c>
      <c r="AH113" s="41" t="str">
        <f t="shared" si="52"/>
        <v/>
      </c>
      <c r="AI113" s="41" t="str">
        <f t="shared" si="53"/>
        <v/>
      </c>
      <c r="AJ113" s="41">
        <f t="shared" si="41"/>
        <v>0</v>
      </c>
      <c r="AK113" s="41" t="str">
        <f t="shared" si="42"/>
        <v/>
      </c>
      <c r="AL113" s="41">
        <f t="shared" si="54"/>
        <v>0</v>
      </c>
      <c r="AM113" s="41">
        <f t="shared" si="43"/>
        <v>0</v>
      </c>
      <c r="AN113" s="41" t="str">
        <f t="shared" si="44"/>
        <v/>
      </c>
      <c r="AO113" s="41">
        <f t="shared" si="61"/>
        <v>0</v>
      </c>
      <c r="AP113" s="48"/>
      <c r="AQ113" s="48"/>
      <c r="AR113" s="48"/>
      <c r="AS113" s="48"/>
      <c r="AT113" s="51">
        <f t="shared" si="55"/>
        <v>109</v>
      </c>
      <c r="AU113" s="49" t="str">
        <f t="shared" si="56"/>
        <v/>
      </c>
      <c r="AV113" s="49" t="str">
        <f t="shared" si="57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0.371427300731619</v>
      </c>
      <c r="C114">
        <f t="shared" si="63"/>
        <v>0.34914166268772184</v>
      </c>
      <c r="D114" s="60"/>
      <c r="E114" s="5"/>
      <c r="F114" s="5"/>
      <c r="I114" s="40"/>
      <c r="J114" s="41"/>
      <c r="K114" s="41" t="str">
        <f t="shared" si="58"/>
        <v/>
      </c>
      <c r="L114" s="42" t="str">
        <f t="shared" si="59"/>
        <v/>
      </c>
      <c r="M114" s="41" t="str">
        <f t="shared" si="60"/>
        <v/>
      </c>
      <c r="N114" s="43">
        <f t="shared" si="32"/>
        <v>0</v>
      </c>
      <c r="O114" s="44">
        <f t="shared" si="33"/>
        <v>0</v>
      </c>
      <c r="P114" s="41" t="str">
        <f t="shared" si="34"/>
        <v/>
      </c>
      <c r="Q114" s="41" t="str">
        <f t="shared" si="35"/>
        <v/>
      </c>
      <c r="R114" s="48"/>
      <c r="S114" s="44" t="str">
        <f t="shared" si="46"/>
        <v/>
      </c>
      <c r="T114" s="52">
        <f t="shared" si="62"/>
        <v>0</v>
      </c>
      <c r="U114" s="53" t="str">
        <f t="shared" si="47"/>
        <v/>
      </c>
      <c r="V114" s="53" t="str">
        <f t="shared" si="48"/>
        <v/>
      </c>
      <c r="W114" s="53" t="str">
        <f t="shared" si="49"/>
        <v/>
      </c>
      <c r="X114" s="46" t="str">
        <f t="shared" si="36"/>
        <v/>
      </c>
      <c r="Y114" s="48"/>
      <c r="Z114" s="41" t="str">
        <f t="shared" si="50"/>
        <v/>
      </c>
      <c r="AA114" s="41" t="str">
        <f t="shared" si="51"/>
        <v/>
      </c>
      <c r="AB114" s="41" t="str">
        <f t="shared" si="37"/>
        <v/>
      </c>
      <c r="AC114" s="41" t="str">
        <f t="shared" si="38"/>
        <v/>
      </c>
      <c r="AD114" s="48"/>
      <c r="AE114" s="41" t="str">
        <f t="shared" si="39"/>
        <v/>
      </c>
      <c r="AF114" s="41"/>
      <c r="AG114" s="41" t="str">
        <f t="shared" si="40"/>
        <v/>
      </c>
      <c r="AH114" s="41" t="str">
        <f t="shared" si="52"/>
        <v/>
      </c>
      <c r="AI114" s="41" t="str">
        <f t="shared" si="53"/>
        <v/>
      </c>
      <c r="AJ114" s="41">
        <f t="shared" si="41"/>
        <v>0</v>
      </c>
      <c r="AK114" s="41" t="str">
        <f t="shared" si="42"/>
        <v/>
      </c>
      <c r="AL114" s="41">
        <f t="shared" si="54"/>
        <v>0</v>
      </c>
      <c r="AM114" s="41">
        <f t="shared" si="43"/>
        <v>0</v>
      </c>
      <c r="AN114" s="41" t="str">
        <f t="shared" si="44"/>
        <v/>
      </c>
      <c r="AO114" s="41">
        <f t="shared" si="61"/>
        <v>0</v>
      </c>
      <c r="AP114" s="48"/>
      <c r="AQ114" s="48"/>
      <c r="AR114" s="48"/>
      <c r="AS114" s="48"/>
      <c r="AT114" s="51">
        <f t="shared" si="55"/>
        <v>110</v>
      </c>
      <c r="AU114" s="49" t="str">
        <f t="shared" si="56"/>
        <v/>
      </c>
      <c r="AV114" s="49" t="str">
        <f t="shared" si="57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0.40414002885733902</v>
      </c>
      <c r="C115">
        <f t="shared" si="63"/>
        <v>0.37989162712589863</v>
      </c>
      <c r="D115" s="60"/>
      <c r="E115" s="5"/>
      <c r="F115" s="5"/>
      <c r="I115" s="40"/>
      <c r="J115" s="41"/>
      <c r="K115" s="41" t="str">
        <f t="shared" si="58"/>
        <v/>
      </c>
      <c r="L115" s="42" t="str">
        <f t="shared" si="59"/>
        <v/>
      </c>
      <c r="M115" s="41" t="str">
        <f t="shared" si="60"/>
        <v/>
      </c>
      <c r="N115" s="43">
        <f t="shared" si="32"/>
        <v>0</v>
      </c>
      <c r="O115" s="44">
        <f t="shared" si="33"/>
        <v>0</v>
      </c>
      <c r="P115" s="41" t="str">
        <f t="shared" si="34"/>
        <v/>
      </c>
      <c r="Q115" s="41" t="str">
        <f t="shared" si="35"/>
        <v/>
      </c>
      <c r="R115" s="48"/>
      <c r="S115" s="44" t="str">
        <f t="shared" si="46"/>
        <v/>
      </c>
      <c r="T115" s="52">
        <f t="shared" si="62"/>
        <v>0</v>
      </c>
      <c r="U115" s="53" t="str">
        <f t="shared" si="47"/>
        <v/>
      </c>
      <c r="V115" s="53" t="str">
        <f t="shared" si="48"/>
        <v/>
      </c>
      <c r="W115" s="53" t="str">
        <f t="shared" si="49"/>
        <v/>
      </c>
      <c r="X115" s="46" t="str">
        <f t="shared" si="36"/>
        <v/>
      </c>
      <c r="Y115" s="48"/>
      <c r="Z115" s="41" t="str">
        <f t="shared" si="50"/>
        <v/>
      </c>
      <c r="AA115" s="41" t="str">
        <f t="shared" si="51"/>
        <v/>
      </c>
      <c r="AB115" s="41" t="str">
        <f t="shared" si="37"/>
        <v/>
      </c>
      <c r="AC115" s="41" t="str">
        <f t="shared" si="38"/>
        <v/>
      </c>
      <c r="AD115" s="48"/>
      <c r="AE115" s="41" t="str">
        <f t="shared" si="39"/>
        <v/>
      </c>
      <c r="AF115" s="41"/>
      <c r="AG115" s="41" t="str">
        <f t="shared" si="40"/>
        <v/>
      </c>
      <c r="AH115" s="41" t="str">
        <f t="shared" si="52"/>
        <v/>
      </c>
      <c r="AI115" s="41" t="str">
        <f t="shared" si="53"/>
        <v/>
      </c>
      <c r="AJ115" s="41">
        <f t="shared" si="41"/>
        <v>0</v>
      </c>
      <c r="AK115" s="41" t="str">
        <f t="shared" si="42"/>
        <v/>
      </c>
      <c r="AL115" s="41">
        <f t="shared" si="54"/>
        <v>0</v>
      </c>
      <c r="AM115" s="41">
        <f t="shared" si="43"/>
        <v>0</v>
      </c>
      <c r="AN115" s="41" t="str">
        <f t="shared" si="44"/>
        <v/>
      </c>
      <c r="AO115" s="41">
        <f t="shared" si="61"/>
        <v>0</v>
      </c>
      <c r="AP115" s="48"/>
      <c r="AQ115" s="48"/>
      <c r="AR115" s="48"/>
      <c r="AS115" s="48"/>
      <c r="AT115" s="51">
        <f t="shared" si="55"/>
        <v>111</v>
      </c>
      <c r="AU115" s="49" t="str">
        <f t="shared" si="56"/>
        <v/>
      </c>
      <c r="AV115" s="49" t="str">
        <f t="shared" si="57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0.43552597257596898</v>
      </c>
      <c r="C116">
        <f t="shared" si="63"/>
        <v>0.40939441422141082</v>
      </c>
      <c r="D116" s="60"/>
      <c r="E116" s="5"/>
      <c r="F116" s="5"/>
      <c r="I116" s="40"/>
      <c r="J116" s="41"/>
      <c r="K116" s="41" t="str">
        <f t="shared" si="58"/>
        <v/>
      </c>
      <c r="L116" s="42" t="str">
        <f t="shared" si="59"/>
        <v/>
      </c>
      <c r="M116" s="41" t="str">
        <f t="shared" si="60"/>
        <v/>
      </c>
      <c r="N116" s="43">
        <f t="shared" si="32"/>
        <v>0</v>
      </c>
      <c r="O116" s="44">
        <f t="shared" si="33"/>
        <v>0</v>
      </c>
      <c r="P116" s="41" t="str">
        <f t="shared" si="34"/>
        <v/>
      </c>
      <c r="Q116" s="41" t="str">
        <f t="shared" si="35"/>
        <v/>
      </c>
      <c r="R116" s="48"/>
      <c r="S116" s="44" t="str">
        <f t="shared" si="46"/>
        <v/>
      </c>
      <c r="T116" s="52">
        <f t="shared" si="62"/>
        <v>0</v>
      </c>
      <c r="U116" s="53" t="str">
        <f t="shared" si="47"/>
        <v/>
      </c>
      <c r="V116" s="53" t="str">
        <f t="shared" si="48"/>
        <v/>
      </c>
      <c r="W116" s="53" t="str">
        <f t="shared" si="49"/>
        <v/>
      </c>
      <c r="X116" s="46" t="str">
        <f t="shared" si="36"/>
        <v/>
      </c>
      <c r="Y116" s="48"/>
      <c r="Z116" s="41" t="str">
        <f t="shared" si="50"/>
        <v/>
      </c>
      <c r="AA116" s="41" t="str">
        <f t="shared" si="51"/>
        <v/>
      </c>
      <c r="AB116" s="41" t="str">
        <f t="shared" si="37"/>
        <v/>
      </c>
      <c r="AC116" s="41" t="str">
        <f t="shared" si="38"/>
        <v/>
      </c>
      <c r="AD116" s="48"/>
      <c r="AE116" s="41" t="str">
        <f t="shared" si="39"/>
        <v/>
      </c>
      <c r="AF116" s="41"/>
      <c r="AG116" s="41" t="str">
        <f t="shared" si="40"/>
        <v/>
      </c>
      <c r="AH116" s="41" t="str">
        <f t="shared" si="52"/>
        <v/>
      </c>
      <c r="AI116" s="41" t="str">
        <f t="shared" si="53"/>
        <v/>
      </c>
      <c r="AJ116" s="41">
        <f t="shared" si="41"/>
        <v>0</v>
      </c>
      <c r="AK116" s="41" t="str">
        <f t="shared" si="42"/>
        <v/>
      </c>
      <c r="AL116" s="41">
        <f t="shared" si="54"/>
        <v>0</v>
      </c>
      <c r="AM116" s="41">
        <f t="shared" si="43"/>
        <v>0</v>
      </c>
      <c r="AN116" s="41" t="str">
        <f t="shared" si="44"/>
        <v/>
      </c>
      <c r="AO116" s="41">
        <f t="shared" si="61"/>
        <v>0</v>
      </c>
      <c r="AP116" s="48"/>
      <c r="AQ116" s="48"/>
      <c r="AR116" s="48"/>
      <c r="AS116" s="48"/>
      <c r="AT116" s="51">
        <f t="shared" si="55"/>
        <v>112</v>
      </c>
      <c r="AU116" s="49" t="str">
        <f t="shared" si="56"/>
        <v/>
      </c>
      <c r="AV116" s="49" t="str">
        <f t="shared" si="57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0.46820403342919098</v>
      </c>
      <c r="C117">
        <f t="shared" si="63"/>
        <v>0.44011179142343948</v>
      </c>
      <c r="D117" s="60"/>
      <c r="E117" s="5"/>
      <c r="F117" s="5"/>
      <c r="I117" s="40"/>
      <c r="J117" s="41"/>
      <c r="K117" s="41" t="str">
        <f t="shared" si="58"/>
        <v/>
      </c>
      <c r="L117" s="42" t="str">
        <f t="shared" si="59"/>
        <v/>
      </c>
      <c r="M117" s="41" t="str">
        <f t="shared" si="60"/>
        <v/>
      </c>
      <c r="N117" s="43">
        <f t="shared" si="32"/>
        <v>0</v>
      </c>
      <c r="O117" s="44">
        <f t="shared" si="33"/>
        <v>0</v>
      </c>
      <c r="P117" s="41" t="str">
        <f t="shared" si="34"/>
        <v/>
      </c>
      <c r="Q117" s="41" t="str">
        <f t="shared" si="35"/>
        <v/>
      </c>
      <c r="R117" s="48"/>
      <c r="S117" s="44" t="str">
        <f t="shared" si="46"/>
        <v/>
      </c>
      <c r="T117" s="52">
        <f t="shared" si="62"/>
        <v>0</v>
      </c>
      <c r="U117" s="53" t="str">
        <f t="shared" si="47"/>
        <v/>
      </c>
      <c r="V117" s="53" t="str">
        <f t="shared" si="48"/>
        <v/>
      </c>
      <c r="W117" s="53" t="str">
        <f t="shared" si="49"/>
        <v/>
      </c>
      <c r="X117" s="46" t="str">
        <f t="shared" si="36"/>
        <v/>
      </c>
      <c r="Y117" s="48"/>
      <c r="Z117" s="41" t="str">
        <f t="shared" si="50"/>
        <v/>
      </c>
      <c r="AA117" s="41" t="str">
        <f t="shared" si="51"/>
        <v/>
      </c>
      <c r="AB117" s="41" t="str">
        <f t="shared" si="37"/>
        <v/>
      </c>
      <c r="AC117" s="41" t="str">
        <f t="shared" si="38"/>
        <v/>
      </c>
      <c r="AD117" s="48"/>
      <c r="AE117" s="41" t="str">
        <f t="shared" si="39"/>
        <v/>
      </c>
      <c r="AF117" s="41"/>
      <c r="AG117" s="41" t="str">
        <f t="shared" si="40"/>
        <v/>
      </c>
      <c r="AH117" s="41" t="str">
        <f t="shared" si="52"/>
        <v/>
      </c>
      <c r="AI117" s="41" t="str">
        <f t="shared" si="53"/>
        <v/>
      </c>
      <c r="AJ117" s="41">
        <f t="shared" si="41"/>
        <v>0</v>
      </c>
      <c r="AK117" s="41" t="str">
        <f t="shared" si="42"/>
        <v/>
      </c>
      <c r="AL117" s="41">
        <f t="shared" si="54"/>
        <v>0</v>
      </c>
      <c r="AM117" s="41">
        <f t="shared" si="43"/>
        <v>0</v>
      </c>
      <c r="AN117" s="41" t="str">
        <f t="shared" si="44"/>
        <v/>
      </c>
      <c r="AO117" s="41">
        <f t="shared" si="61"/>
        <v>0</v>
      </c>
      <c r="AP117" s="48"/>
      <c r="AQ117" s="48"/>
      <c r="AR117" s="48"/>
      <c r="AS117" s="48"/>
      <c r="AT117" s="51">
        <f t="shared" si="55"/>
        <v>113</v>
      </c>
      <c r="AU117" s="49" t="str">
        <f t="shared" si="56"/>
        <v/>
      </c>
      <c r="AV117" s="49" t="str">
        <f t="shared" si="57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0.50111199847578403</v>
      </c>
      <c r="C118">
        <f t="shared" si="63"/>
        <v>0.47104527856723694</v>
      </c>
      <c r="D118" s="60"/>
      <c r="E118" s="5"/>
      <c r="F118" s="5"/>
      <c r="I118" s="40"/>
      <c r="J118" s="41"/>
      <c r="K118" s="41" t="str">
        <f t="shared" si="58"/>
        <v/>
      </c>
      <c r="L118" s="42" t="str">
        <f t="shared" si="59"/>
        <v/>
      </c>
      <c r="M118" s="41" t="str">
        <f t="shared" si="60"/>
        <v/>
      </c>
      <c r="N118" s="43">
        <f t="shared" si="32"/>
        <v>0</v>
      </c>
      <c r="O118" s="44">
        <f t="shared" si="33"/>
        <v>0</v>
      </c>
      <c r="P118" s="41" t="str">
        <f t="shared" si="34"/>
        <v/>
      </c>
      <c r="Q118" s="41" t="str">
        <f t="shared" si="35"/>
        <v/>
      </c>
      <c r="R118" s="48"/>
      <c r="S118" s="44" t="str">
        <f t="shared" si="46"/>
        <v/>
      </c>
      <c r="T118" s="52">
        <f t="shared" si="62"/>
        <v>0</v>
      </c>
      <c r="U118" s="53" t="str">
        <f t="shared" si="47"/>
        <v/>
      </c>
      <c r="V118" s="53" t="str">
        <f t="shared" si="48"/>
        <v/>
      </c>
      <c r="W118" s="53" t="str">
        <f t="shared" si="49"/>
        <v/>
      </c>
      <c r="X118" s="46" t="str">
        <f t="shared" si="36"/>
        <v/>
      </c>
      <c r="Y118" s="48"/>
      <c r="Z118" s="41" t="str">
        <f t="shared" si="50"/>
        <v/>
      </c>
      <c r="AA118" s="41" t="str">
        <f t="shared" si="51"/>
        <v/>
      </c>
      <c r="AB118" s="41" t="str">
        <f t="shared" si="37"/>
        <v/>
      </c>
      <c r="AC118" s="41" t="str">
        <f t="shared" si="38"/>
        <v/>
      </c>
      <c r="AD118" s="48"/>
      <c r="AE118" s="41" t="str">
        <f t="shared" si="39"/>
        <v/>
      </c>
      <c r="AF118" s="41"/>
      <c r="AG118" s="41" t="str">
        <f t="shared" si="40"/>
        <v/>
      </c>
      <c r="AH118" s="41" t="str">
        <f t="shared" si="52"/>
        <v/>
      </c>
      <c r="AI118" s="41" t="str">
        <f t="shared" si="53"/>
        <v/>
      </c>
      <c r="AJ118" s="41">
        <f t="shared" si="41"/>
        <v>0</v>
      </c>
      <c r="AK118" s="41" t="str">
        <f t="shared" si="42"/>
        <v/>
      </c>
      <c r="AL118" s="41">
        <f t="shared" si="54"/>
        <v>0</v>
      </c>
      <c r="AM118" s="41">
        <f t="shared" si="43"/>
        <v>0</v>
      </c>
      <c r="AN118" s="41" t="str">
        <f t="shared" si="44"/>
        <v/>
      </c>
      <c r="AO118" s="41">
        <f t="shared" si="61"/>
        <v>0</v>
      </c>
      <c r="AP118" s="48"/>
      <c r="AQ118" s="48"/>
      <c r="AR118" s="48"/>
      <c r="AS118" s="48"/>
      <c r="AT118" s="51">
        <f t="shared" si="55"/>
        <v>114</v>
      </c>
      <c r="AU118" s="49" t="str">
        <f t="shared" si="56"/>
        <v/>
      </c>
      <c r="AV118" s="49" t="str">
        <f t="shared" si="57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0.53370490532780801</v>
      </c>
      <c r="C119">
        <f t="shared" si="63"/>
        <v>0.50168261100813949</v>
      </c>
      <c r="D119" s="60"/>
      <c r="E119" s="5"/>
      <c r="F119" s="5"/>
      <c r="I119" s="40"/>
      <c r="J119" s="41"/>
      <c r="K119" s="41" t="str">
        <f t="shared" si="58"/>
        <v/>
      </c>
      <c r="L119" s="42" t="str">
        <f t="shared" si="59"/>
        <v/>
      </c>
      <c r="M119" s="41" t="str">
        <f t="shared" si="60"/>
        <v/>
      </c>
      <c r="N119" s="43">
        <f t="shared" si="32"/>
        <v>0</v>
      </c>
      <c r="O119" s="44">
        <f t="shared" si="33"/>
        <v>0</v>
      </c>
      <c r="P119" s="41" t="str">
        <f t="shared" si="34"/>
        <v/>
      </c>
      <c r="Q119" s="41" t="str">
        <f t="shared" si="35"/>
        <v/>
      </c>
      <c r="R119" s="48"/>
      <c r="S119" s="44" t="str">
        <f t="shared" si="46"/>
        <v/>
      </c>
      <c r="T119" s="52">
        <f t="shared" si="62"/>
        <v>0</v>
      </c>
      <c r="U119" s="53" t="str">
        <f t="shared" si="47"/>
        <v/>
      </c>
      <c r="V119" s="53" t="str">
        <f t="shared" si="48"/>
        <v/>
      </c>
      <c r="W119" s="53" t="str">
        <f t="shared" si="49"/>
        <v/>
      </c>
      <c r="X119" s="46" t="str">
        <f t="shared" si="36"/>
        <v/>
      </c>
      <c r="Y119" s="48"/>
      <c r="Z119" s="41" t="str">
        <f t="shared" si="50"/>
        <v/>
      </c>
      <c r="AA119" s="41" t="str">
        <f t="shared" si="51"/>
        <v/>
      </c>
      <c r="AB119" s="41" t="str">
        <f t="shared" si="37"/>
        <v/>
      </c>
      <c r="AC119" s="41" t="str">
        <f t="shared" si="38"/>
        <v/>
      </c>
      <c r="AD119" s="48"/>
      <c r="AE119" s="41" t="str">
        <f t="shared" si="39"/>
        <v/>
      </c>
      <c r="AF119" s="41"/>
      <c r="AG119" s="41" t="str">
        <f t="shared" si="40"/>
        <v/>
      </c>
      <c r="AH119" s="41" t="str">
        <f t="shared" si="52"/>
        <v/>
      </c>
      <c r="AI119" s="41" t="str">
        <f t="shared" si="53"/>
        <v/>
      </c>
      <c r="AJ119" s="41">
        <f t="shared" si="41"/>
        <v>0</v>
      </c>
      <c r="AK119" s="41" t="str">
        <f t="shared" si="42"/>
        <v/>
      </c>
      <c r="AL119" s="41">
        <f t="shared" si="54"/>
        <v>0</v>
      </c>
      <c r="AM119" s="41">
        <f t="shared" si="43"/>
        <v>0</v>
      </c>
      <c r="AN119" s="41" t="str">
        <f t="shared" si="44"/>
        <v/>
      </c>
      <c r="AO119" s="41">
        <f t="shared" si="61"/>
        <v>0</v>
      </c>
      <c r="AP119" s="48"/>
      <c r="AQ119" s="48"/>
      <c r="AR119" s="48"/>
      <c r="AS119" s="48"/>
      <c r="AT119" s="51">
        <f t="shared" si="55"/>
        <v>115</v>
      </c>
      <c r="AU119" s="49" t="str">
        <f t="shared" si="56"/>
        <v/>
      </c>
      <c r="AV119" s="49" t="str">
        <f t="shared" si="57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0.56711456712952402</v>
      </c>
      <c r="C120">
        <f t="shared" si="63"/>
        <v>0.53308769310175252</v>
      </c>
      <c r="D120" s="60"/>
      <c r="E120" s="5"/>
      <c r="F120" s="5"/>
      <c r="I120" s="40"/>
      <c r="J120" s="41"/>
      <c r="K120" s="41" t="str">
        <f t="shared" si="58"/>
        <v/>
      </c>
      <c r="L120" s="42" t="str">
        <f t="shared" si="59"/>
        <v/>
      </c>
      <c r="M120" s="41" t="str">
        <f t="shared" si="60"/>
        <v/>
      </c>
      <c r="N120" s="43">
        <f t="shared" si="32"/>
        <v>0</v>
      </c>
      <c r="O120" s="44">
        <f t="shared" si="33"/>
        <v>0</v>
      </c>
      <c r="P120" s="41" t="str">
        <f t="shared" si="34"/>
        <v/>
      </c>
      <c r="Q120" s="41" t="str">
        <f t="shared" si="35"/>
        <v/>
      </c>
      <c r="R120" s="48"/>
      <c r="S120" s="44" t="str">
        <f t="shared" si="46"/>
        <v/>
      </c>
      <c r="T120" s="52">
        <f t="shared" si="62"/>
        <v>0</v>
      </c>
      <c r="U120" s="53" t="str">
        <f t="shared" si="47"/>
        <v/>
      </c>
      <c r="V120" s="53" t="str">
        <f t="shared" si="48"/>
        <v/>
      </c>
      <c r="W120" s="53" t="str">
        <f t="shared" si="49"/>
        <v/>
      </c>
      <c r="X120" s="46" t="str">
        <f t="shared" si="36"/>
        <v/>
      </c>
      <c r="Y120" s="48"/>
      <c r="Z120" s="41" t="str">
        <f t="shared" si="50"/>
        <v/>
      </c>
      <c r="AA120" s="41" t="str">
        <f t="shared" si="51"/>
        <v/>
      </c>
      <c r="AB120" s="41" t="str">
        <f t="shared" si="37"/>
        <v/>
      </c>
      <c r="AC120" s="41" t="str">
        <f t="shared" si="38"/>
        <v/>
      </c>
      <c r="AD120" s="48"/>
      <c r="AE120" s="41" t="str">
        <f t="shared" si="39"/>
        <v/>
      </c>
      <c r="AF120" s="41"/>
      <c r="AG120" s="41" t="str">
        <f t="shared" si="40"/>
        <v/>
      </c>
      <c r="AH120" s="41" t="str">
        <f t="shared" si="52"/>
        <v/>
      </c>
      <c r="AI120" s="41" t="str">
        <f t="shared" si="53"/>
        <v/>
      </c>
      <c r="AJ120" s="41">
        <f t="shared" si="41"/>
        <v>0</v>
      </c>
      <c r="AK120" s="41" t="str">
        <f t="shared" si="42"/>
        <v/>
      </c>
      <c r="AL120" s="41">
        <f t="shared" si="54"/>
        <v>0</v>
      </c>
      <c r="AM120" s="41">
        <f t="shared" si="43"/>
        <v>0</v>
      </c>
      <c r="AN120" s="41" t="str">
        <f t="shared" si="44"/>
        <v/>
      </c>
      <c r="AO120" s="41">
        <f t="shared" si="61"/>
        <v>0</v>
      </c>
      <c r="AP120" s="48"/>
      <c r="AQ120" s="48"/>
      <c r="AR120" s="48"/>
      <c r="AS120" s="48"/>
      <c r="AT120" s="51">
        <f t="shared" si="55"/>
        <v>116</v>
      </c>
      <c r="AU120" s="49" t="str">
        <f t="shared" si="56"/>
        <v/>
      </c>
      <c r="AV120" s="49" t="str">
        <f t="shared" si="57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0.59982700092168995</v>
      </c>
      <c r="C121">
        <f t="shared" si="63"/>
        <v>0.56383738086638857</v>
      </c>
      <c r="D121" s="60"/>
      <c r="E121" s="5"/>
      <c r="F121" s="5"/>
      <c r="I121" s="40"/>
      <c r="J121" s="41"/>
      <c r="K121" s="41" t="str">
        <f t="shared" si="58"/>
        <v/>
      </c>
      <c r="L121" s="42" t="str">
        <f t="shared" si="59"/>
        <v/>
      </c>
      <c r="M121" s="41" t="str">
        <f t="shared" si="60"/>
        <v/>
      </c>
      <c r="N121" s="43">
        <f t="shared" si="32"/>
        <v>0</v>
      </c>
      <c r="O121" s="44">
        <f t="shared" si="33"/>
        <v>0</v>
      </c>
      <c r="P121" s="41" t="str">
        <f t="shared" si="34"/>
        <v/>
      </c>
      <c r="Q121" s="41" t="str">
        <f t="shared" si="35"/>
        <v/>
      </c>
      <c r="R121" s="48"/>
      <c r="S121" s="44" t="str">
        <f t="shared" si="46"/>
        <v/>
      </c>
      <c r="T121" s="52">
        <f t="shared" si="62"/>
        <v>0</v>
      </c>
      <c r="U121" s="53" t="str">
        <f t="shared" si="47"/>
        <v/>
      </c>
      <c r="V121" s="53" t="str">
        <f t="shared" si="48"/>
        <v/>
      </c>
      <c r="W121" s="53" t="str">
        <f t="shared" si="49"/>
        <v/>
      </c>
      <c r="X121" s="46" t="str">
        <f t="shared" si="36"/>
        <v/>
      </c>
      <c r="Y121" s="48"/>
      <c r="Z121" s="41" t="str">
        <f t="shared" si="50"/>
        <v/>
      </c>
      <c r="AA121" s="41" t="str">
        <f t="shared" si="51"/>
        <v/>
      </c>
      <c r="AB121" s="41" t="str">
        <f t="shared" si="37"/>
        <v/>
      </c>
      <c r="AC121" s="41" t="str">
        <f t="shared" si="38"/>
        <v/>
      </c>
      <c r="AD121" s="48"/>
      <c r="AE121" s="41" t="str">
        <f t="shared" si="39"/>
        <v/>
      </c>
      <c r="AF121" s="41"/>
      <c r="AG121" s="41" t="str">
        <f t="shared" si="40"/>
        <v/>
      </c>
      <c r="AH121" s="41" t="str">
        <f t="shared" si="52"/>
        <v/>
      </c>
      <c r="AI121" s="41" t="str">
        <f t="shared" si="53"/>
        <v/>
      </c>
      <c r="AJ121" s="41">
        <f t="shared" si="41"/>
        <v>0</v>
      </c>
      <c r="AK121" s="41" t="str">
        <f t="shared" si="42"/>
        <v/>
      </c>
      <c r="AL121" s="41">
        <f t="shared" si="54"/>
        <v>0</v>
      </c>
      <c r="AM121" s="41">
        <f t="shared" si="43"/>
        <v>0</v>
      </c>
      <c r="AN121" s="41" t="str">
        <f t="shared" si="44"/>
        <v/>
      </c>
      <c r="AO121" s="41">
        <f t="shared" si="61"/>
        <v>0</v>
      </c>
      <c r="AP121" s="48"/>
      <c r="AQ121" s="48"/>
      <c r="AR121" s="48"/>
      <c r="AS121" s="48"/>
      <c r="AT121" s="51">
        <f t="shared" si="55"/>
        <v>117</v>
      </c>
      <c r="AU121" s="49" t="str">
        <f t="shared" si="56"/>
        <v/>
      </c>
      <c r="AV121" s="49" t="str">
        <f t="shared" si="57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0.63268999425440198</v>
      </c>
      <c r="C122">
        <f t="shared" si="63"/>
        <v>0.59472859459913785</v>
      </c>
      <c r="D122" s="60"/>
      <c r="E122" s="5"/>
      <c r="F122" s="5"/>
      <c r="I122" s="40"/>
      <c r="J122" s="41"/>
      <c r="K122" s="41" t="str">
        <f t="shared" si="58"/>
        <v/>
      </c>
      <c r="L122" s="42" t="str">
        <f t="shared" si="59"/>
        <v/>
      </c>
      <c r="M122" s="41" t="str">
        <f t="shared" si="60"/>
        <v/>
      </c>
      <c r="N122" s="43">
        <f t="shared" si="32"/>
        <v>0</v>
      </c>
      <c r="O122" s="44">
        <f t="shared" si="33"/>
        <v>0</v>
      </c>
      <c r="P122" s="41" t="str">
        <f t="shared" si="34"/>
        <v/>
      </c>
      <c r="Q122" s="41" t="str">
        <f t="shared" si="35"/>
        <v/>
      </c>
      <c r="R122" s="48"/>
      <c r="S122" s="44" t="str">
        <f t="shared" si="46"/>
        <v/>
      </c>
      <c r="T122" s="52">
        <f t="shared" si="62"/>
        <v>0</v>
      </c>
      <c r="U122" s="53" t="str">
        <f t="shared" si="47"/>
        <v/>
      </c>
      <c r="V122" s="53" t="str">
        <f t="shared" si="48"/>
        <v/>
      </c>
      <c r="W122" s="53" t="str">
        <f t="shared" si="49"/>
        <v/>
      </c>
      <c r="X122" s="46" t="str">
        <f t="shared" si="36"/>
        <v/>
      </c>
      <c r="Y122" s="48"/>
      <c r="Z122" s="41" t="str">
        <f t="shared" si="50"/>
        <v/>
      </c>
      <c r="AA122" s="41" t="str">
        <f t="shared" si="51"/>
        <v/>
      </c>
      <c r="AB122" s="41" t="str">
        <f t="shared" si="37"/>
        <v/>
      </c>
      <c r="AC122" s="41" t="str">
        <f t="shared" si="38"/>
        <v/>
      </c>
      <c r="AD122" s="48"/>
      <c r="AE122" s="41" t="str">
        <f t="shared" si="39"/>
        <v/>
      </c>
      <c r="AF122" s="41"/>
      <c r="AG122" s="41" t="str">
        <f t="shared" si="40"/>
        <v/>
      </c>
      <c r="AH122" s="41" t="str">
        <f t="shared" si="52"/>
        <v/>
      </c>
      <c r="AI122" s="41" t="str">
        <f t="shared" si="53"/>
        <v/>
      </c>
      <c r="AJ122" s="41">
        <f t="shared" si="41"/>
        <v>0</v>
      </c>
      <c r="AK122" s="41" t="str">
        <f t="shared" si="42"/>
        <v/>
      </c>
      <c r="AL122" s="41">
        <f t="shared" si="54"/>
        <v>0</v>
      </c>
      <c r="AM122" s="41">
        <f t="shared" si="43"/>
        <v>0</v>
      </c>
      <c r="AN122" s="41" t="str">
        <f t="shared" si="44"/>
        <v/>
      </c>
      <c r="AO122" s="41">
        <f t="shared" si="61"/>
        <v>0</v>
      </c>
      <c r="AP122" s="48"/>
      <c r="AQ122" s="48"/>
      <c r="AR122" s="48"/>
      <c r="AS122" s="48"/>
      <c r="AT122" s="51">
        <f t="shared" si="55"/>
        <v>118</v>
      </c>
      <c r="AU122" s="49" t="str">
        <f t="shared" si="56"/>
        <v/>
      </c>
      <c r="AV122" s="49" t="str">
        <f t="shared" si="57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0.66552986668913405</v>
      </c>
      <c r="C123">
        <f t="shared" si="63"/>
        <v>0.62559807468778594</v>
      </c>
      <c r="D123" s="60"/>
      <c r="E123" s="5"/>
      <c r="F123" s="5"/>
      <c r="I123" s="40"/>
      <c r="J123" s="41"/>
      <c r="K123" s="41" t="str">
        <f t="shared" si="58"/>
        <v/>
      </c>
      <c r="L123" s="42" t="str">
        <f t="shared" si="59"/>
        <v/>
      </c>
      <c r="M123" s="41" t="str">
        <f t="shared" si="60"/>
        <v/>
      </c>
      <c r="N123" s="43">
        <f t="shared" si="32"/>
        <v>0</v>
      </c>
      <c r="O123" s="44">
        <f t="shared" si="33"/>
        <v>0</v>
      </c>
      <c r="P123" s="41" t="str">
        <f t="shared" si="34"/>
        <v/>
      </c>
      <c r="Q123" s="41" t="str">
        <f t="shared" si="35"/>
        <v/>
      </c>
      <c r="R123" s="48"/>
      <c r="S123" s="44" t="str">
        <f t="shared" si="46"/>
        <v/>
      </c>
      <c r="T123" s="52">
        <f t="shared" si="62"/>
        <v>0</v>
      </c>
      <c r="U123" s="53" t="str">
        <f t="shared" si="47"/>
        <v/>
      </c>
      <c r="V123" s="53" t="str">
        <f t="shared" si="48"/>
        <v/>
      </c>
      <c r="W123" s="53" t="str">
        <f t="shared" si="49"/>
        <v/>
      </c>
      <c r="X123" s="46" t="str">
        <f t="shared" si="36"/>
        <v/>
      </c>
      <c r="Y123" s="48"/>
      <c r="Z123" s="41" t="str">
        <f t="shared" si="50"/>
        <v/>
      </c>
      <c r="AA123" s="41" t="str">
        <f t="shared" si="51"/>
        <v/>
      </c>
      <c r="AB123" s="41" t="str">
        <f t="shared" si="37"/>
        <v/>
      </c>
      <c r="AC123" s="41" t="str">
        <f t="shared" si="38"/>
        <v/>
      </c>
      <c r="AD123" s="48"/>
      <c r="AE123" s="41" t="str">
        <f t="shared" si="39"/>
        <v/>
      </c>
      <c r="AF123" s="41"/>
      <c r="AG123" s="41" t="str">
        <f t="shared" si="40"/>
        <v/>
      </c>
      <c r="AH123" s="41" t="str">
        <f t="shared" si="52"/>
        <v/>
      </c>
      <c r="AI123" s="41" t="str">
        <f t="shared" si="53"/>
        <v/>
      </c>
      <c r="AJ123" s="41">
        <f t="shared" si="41"/>
        <v>0</v>
      </c>
      <c r="AK123" s="41" t="str">
        <f t="shared" si="42"/>
        <v/>
      </c>
      <c r="AL123" s="41">
        <f t="shared" si="54"/>
        <v>0</v>
      </c>
      <c r="AM123" s="41">
        <f t="shared" si="43"/>
        <v>0</v>
      </c>
      <c r="AN123" s="41" t="str">
        <f t="shared" si="44"/>
        <v/>
      </c>
      <c r="AO123" s="41">
        <f t="shared" si="61"/>
        <v>0</v>
      </c>
      <c r="AP123" s="48"/>
      <c r="AQ123" s="48"/>
      <c r="AR123" s="48"/>
      <c r="AS123" s="48"/>
      <c r="AT123" s="51">
        <f t="shared" si="55"/>
        <v>119</v>
      </c>
      <c r="AU123" s="49" t="str">
        <f t="shared" si="56"/>
        <v/>
      </c>
      <c r="AV123" s="49" t="str">
        <f t="shared" si="57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0.69696977158840201</v>
      </c>
      <c r="C124">
        <f t="shared" si="63"/>
        <v>0.6551515852930978</v>
      </c>
      <c r="D124" s="60"/>
      <c r="E124" s="5"/>
      <c r="F124" s="5"/>
      <c r="I124" s="40"/>
      <c r="J124" s="41"/>
      <c r="K124" s="41" t="str">
        <f t="shared" si="58"/>
        <v/>
      </c>
      <c r="L124" s="42" t="str">
        <f t="shared" si="59"/>
        <v/>
      </c>
      <c r="M124" s="41" t="str">
        <f t="shared" si="60"/>
        <v/>
      </c>
      <c r="N124" s="43">
        <f>AX124</f>
        <v>0</v>
      </c>
      <c r="O124" s="44">
        <f>AW124</f>
        <v>0</v>
      </c>
      <c r="P124" s="41" t="str">
        <f t="shared" si="34"/>
        <v/>
      </c>
      <c r="Q124" s="41" t="str">
        <f t="shared" si="35"/>
        <v/>
      </c>
      <c r="R124" s="48"/>
      <c r="S124" s="44" t="str">
        <f t="shared" si="46"/>
        <v/>
      </c>
      <c r="T124" s="52">
        <f t="shared" si="62"/>
        <v>0</v>
      </c>
      <c r="U124" s="53" t="str">
        <f t="shared" si="47"/>
        <v/>
      </c>
      <c r="V124" s="53" t="str">
        <f t="shared" si="48"/>
        <v/>
      </c>
      <c r="W124" s="53" t="str">
        <f t="shared" si="49"/>
        <v/>
      </c>
      <c r="X124" s="46" t="str">
        <f t="shared" si="36"/>
        <v/>
      </c>
      <c r="Y124" s="48"/>
      <c r="Z124" s="41" t="str">
        <f t="shared" si="50"/>
        <v/>
      </c>
      <c r="AA124" s="41" t="str">
        <f t="shared" si="51"/>
        <v/>
      </c>
      <c r="AB124" s="41" t="str">
        <f t="shared" si="37"/>
        <v/>
      </c>
      <c r="AC124" s="41" t="str">
        <f t="shared" si="38"/>
        <v/>
      </c>
      <c r="AD124" s="48"/>
      <c r="AE124" s="41" t="str">
        <f t="shared" si="39"/>
        <v/>
      </c>
      <c r="AF124" s="41"/>
      <c r="AG124" s="41" t="str">
        <f t="shared" si="40"/>
        <v/>
      </c>
      <c r="AH124" s="41" t="str">
        <f t="shared" si="52"/>
        <v/>
      </c>
      <c r="AI124" s="41" t="str">
        <f t="shared" si="53"/>
        <v/>
      </c>
      <c r="AJ124" s="41">
        <f t="shared" si="41"/>
        <v>0</v>
      </c>
      <c r="AK124" s="41" t="str">
        <f t="shared" si="42"/>
        <v/>
      </c>
      <c r="AL124" s="41">
        <f t="shared" si="54"/>
        <v>0</v>
      </c>
      <c r="AM124" s="41">
        <f t="shared" si="43"/>
        <v>0</v>
      </c>
      <c r="AN124" s="41" t="str">
        <f t="shared" si="44"/>
        <v/>
      </c>
      <c r="AO124" s="41">
        <f t="shared" si="61"/>
        <v>0</v>
      </c>
      <c r="AP124" s="48"/>
      <c r="AQ124" s="48"/>
      <c r="AR124" s="48"/>
      <c r="AS124" s="48"/>
      <c r="AT124" s="51">
        <f t="shared" si="55"/>
        <v>120</v>
      </c>
      <c r="AU124" s="49" t="str">
        <f t="shared" si="56"/>
        <v/>
      </c>
      <c r="AV124" s="49" t="str">
        <f t="shared" si="57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0.72772344648315601</v>
      </c>
      <c r="C125">
        <f t="shared" si="63"/>
        <v>0.68406003969416662</v>
      </c>
      <c r="D125" s="60"/>
      <c r="E125" s="5"/>
      <c r="F125" s="5"/>
    </row>
    <row r="126" spans="1:50" x14ac:dyDescent="0.2">
      <c r="A126">
        <v>101</v>
      </c>
      <c r="B126">
        <v>0.75657738764420501</v>
      </c>
      <c r="C126">
        <f t="shared" si="63"/>
        <v>0.71118274438555262</v>
      </c>
      <c r="D126" s="60"/>
      <c r="E126" s="5"/>
      <c r="F126" s="5"/>
      <c r="K126" s="11"/>
      <c r="AO126" t="s">
        <v>78</v>
      </c>
    </row>
    <row r="127" spans="1:50" x14ac:dyDescent="0.2">
      <c r="A127">
        <v>102</v>
      </c>
      <c r="B127">
        <v>0.78296313709159504</v>
      </c>
      <c r="C127">
        <f t="shared" si="63"/>
        <v>0.73598534886609934</v>
      </c>
      <c r="D127" s="60"/>
      <c r="E127" s="5"/>
      <c r="F127" s="5"/>
      <c r="S127" s="58"/>
      <c r="AO127" s="65"/>
    </row>
    <row r="128" spans="1:50" x14ac:dyDescent="0.2">
      <c r="A128">
        <v>103</v>
      </c>
      <c r="B128">
        <v>0.80799451765353503</v>
      </c>
      <c r="C128">
        <f t="shared" si="63"/>
        <v>0.75951484659432289</v>
      </c>
      <c r="D128" s="60"/>
      <c r="E128" s="5"/>
      <c r="F128" s="5"/>
    </row>
    <row r="129" spans="1:41" ht="15" x14ac:dyDescent="0.25">
      <c r="A129">
        <v>104</v>
      </c>
      <c r="B129">
        <v>0.83147425398142105</v>
      </c>
      <c r="C129">
        <f t="shared" si="63"/>
        <v>0.78158579874253575</v>
      </c>
      <c r="D129" s="60"/>
      <c r="E129" s="5"/>
      <c r="F129" s="5"/>
      <c r="AD129" s="56" t="s">
        <v>56</v>
      </c>
      <c r="AE129" s="57">
        <f t="shared" ref="AE129:AO129" si="64">SUM(AE4:AE124)</f>
        <v>2179524.7762407036</v>
      </c>
      <c r="AF129" s="57">
        <f t="shared" si="64"/>
        <v>-653857.43287221109</v>
      </c>
      <c r="AG129" s="57">
        <f t="shared" si="64"/>
        <v>-109429.77054388705</v>
      </c>
      <c r="AH129" s="57">
        <f t="shared" si="64"/>
        <v>-2000000.0000000002</v>
      </c>
      <c r="AI129" s="57">
        <f t="shared" si="64"/>
        <v>0</v>
      </c>
      <c r="AJ129" s="57">
        <f t="shared" si="64"/>
        <v>-583762.42717539449</v>
      </c>
      <c r="AK129" s="57">
        <f t="shared" si="64"/>
        <v>-3.185492498395464E-14</v>
      </c>
      <c r="AL129" s="57">
        <f t="shared" si="64"/>
        <v>352459.03524502739</v>
      </c>
      <c r="AM129" s="57">
        <f t="shared" si="64"/>
        <v>-231303.39193036707</v>
      </c>
      <c r="AN129" s="57">
        <f t="shared" si="64"/>
        <v>3.1058105659565638E-15</v>
      </c>
      <c r="AO129" s="57">
        <f t="shared" si="64"/>
        <v>-231303.39193036716</v>
      </c>
    </row>
    <row r="130" spans="1:41" ht="15" x14ac:dyDescent="0.25">
      <c r="A130">
        <v>105</v>
      </c>
      <c r="B130">
        <v>0.85324229832306997</v>
      </c>
      <c r="C130">
        <f t="shared" si="63"/>
        <v>0.80204776042368575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0.87319331843439496</v>
      </c>
      <c r="C131">
        <f t="shared" si="63"/>
        <v>0.82080171932833124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N131" si="65">AE4+NPV($D$6,AE5:AE124)</f>
        <v>2179524.7762407036</v>
      </c>
      <c r="AF131" s="57">
        <f t="shared" si="65"/>
        <v>-653857.43287221109</v>
      </c>
      <c r="AG131" s="57">
        <f t="shared" si="65"/>
        <v>-109361.82938617293</v>
      </c>
      <c r="AH131" s="57">
        <f t="shared" si="65"/>
        <v>-1280382.3893572271</v>
      </c>
      <c r="AI131" s="57">
        <f t="shared" si="65"/>
        <v>0</v>
      </c>
      <c r="AJ131" s="57">
        <f t="shared" si="65"/>
        <v>135923.1246250933</v>
      </c>
      <c r="AK131" s="57">
        <f t="shared" si="65"/>
        <v>-228512.78239462231</v>
      </c>
      <c r="AL131" s="57">
        <f t="shared" si="65"/>
        <v>235708.95850104975</v>
      </c>
      <c r="AM131" s="57">
        <f t="shared" si="65"/>
        <v>143119.30073152087</v>
      </c>
      <c r="AN131" s="57">
        <f t="shared" si="65"/>
        <v>-7196.1761064277343</v>
      </c>
      <c r="AO131" s="57">
        <f>AO4+NPV($D$6,AO5:AO124)</f>
        <v>135923.12462509237</v>
      </c>
    </row>
    <row r="132" spans="1:41" ht="15" x14ac:dyDescent="0.25">
      <c r="A132">
        <v>107</v>
      </c>
      <c r="B132">
        <v>0.89139931411406503</v>
      </c>
      <c r="C132">
        <f t="shared" si="63"/>
        <v>0.83791535526722105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0.90794174522014204</v>
      </c>
      <c r="C133">
        <f t="shared" si="63"/>
        <v>0.85346524050693351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 t="shared" ref="AE133:AN133" si="66">AE4+NPV($D$7,AE5:AE124)</f>
        <v>2179524.7762407036</v>
      </c>
      <c r="AF133" s="57">
        <f t="shared" si="66"/>
        <v>-653857.43287221109</v>
      </c>
      <c r="AG133" s="57">
        <f t="shared" si="66"/>
        <v>-109376.00553788993</v>
      </c>
      <c r="AH133" s="57">
        <f t="shared" si="66"/>
        <v>-1421488.2844579953</v>
      </c>
      <c r="AI133" s="57">
        <f t="shared" si="66"/>
        <v>0</v>
      </c>
      <c r="AJ133" s="57">
        <f t="shared" si="66"/>
        <v>-5196.9466273924336</v>
      </c>
      <c r="AK133" s="57">
        <f t="shared" si="66"/>
        <v>-188607.61181458298</v>
      </c>
      <c r="AL133" s="57">
        <f t="shared" si="66"/>
        <v>259190.30529333733</v>
      </c>
      <c r="AM133" s="57">
        <f t="shared" si="66"/>
        <v>65385.74685136159</v>
      </c>
      <c r="AN133" s="57">
        <f t="shared" si="66"/>
        <v>-5785.1171554200464</v>
      </c>
      <c r="AO133" s="57">
        <f>AO4+NPV($D$7,AO5:AO124)</f>
        <v>59600.629695941461</v>
      </c>
    </row>
    <row r="134" spans="1:41" x14ac:dyDescent="0.2">
      <c r="A134">
        <v>109</v>
      </c>
      <c r="B134">
        <v>0.922786250982776</v>
      </c>
      <c r="C134">
        <f t="shared" si="63"/>
        <v>0.8674190759238094</v>
      </c>
      <c r="D134" s="60"/>
      <c r="E134" s="5"/>
      <c r="F134" s="5"/>
    </row>
    <row r="135" spans="1:41" x14ac:dyDescent="0.2">
      <c r="A135">
        <v>110</v>
      </c>
      <c r="B135">
        <v>0.93593964830188903</v>
      </c>
      <c r="C135">
        <f t="shared" si="63"/>
        <v>0.8797832694037756</v>
      </c>
      <c r="D135" s="60"/>
      <c r="E135" s="5"/>
      <c r="F135" s="5"/>
    </row>
    <row r="136" spans="1:41" x14ac:dyDescent="0.2">
      <c r="A136">
        <v>111</v>
      </c>
      <c r="B136">
        <v>0.94928749946526902</v>
      </c>
      <c r="C136">
        <f t="shared" si="63"/>
        <v>0.89233024949735285</v>
      </c>
      <c r="D136" s="60"/>
      <c r="E136" s="5"/>
      <c r="F136" s="5"/>
    </row>
    <row r="137" spans="1:41" x14ac:dyDescent="0.2">
      <c r="A137">
        <v>112</v>
      </c>
      <c r="B137">
        <v>0.96064062269764305</v>
      </c>
      <c r="C137">
        <f t="shared" si="63"/>
        <v>0.90300218533578447</v>
      </c>
      <c r="D137" s="60"/>
      <c r="E137" s="5"/>
      <c r="F137" s="5"/>
    </row>
    <row r="138" spans="1:41" x14ac:dyDescent="0.2">
      <c r="A138">
        <v>113</v>
      </c>
      <c r="B138">
        <v>0.97015319337886097</v>
      </c>
      <c r="C138">
        <f t="shared" si="63"/>
        <v>0.91194400177612922</v>
      </c>
      <c r="D138" s="60"/>
      <c r="E138" s="5"/>
      <c r="F138" s="5"/>
    </row>
    <row r="139" spans="1:41" x14ac:dyDescent="0.2">
      <c r="A139">
        <v>114</v>
      </c>
      <c r="B139">
        <v>0.977985086405596</v>
      </c>
      <c r="C139">
        <f t="shared" si="63"/>
        <v>0.91930598122126017</v>
      </c>
      <c r="D139" s="60"/>
      <c r="E139" s="5"/>
      <c r="F139" s="5"/>
    </row>
    <row r="140" spans="1:41" x14ac:dyDescent="0.2">
      <c r="A140">
        <v>115</v>
      </c>
      <c r="B140">
        <v>0.98430001473502005</v>
      </c>
      <c r="C140">
        <f t="shared" si="63"/>
        <v>0.92524201385091875</v>
      </c>
      <c r="D140" s="60"/>
      <c r="E140" s="5"/>
      <c r="F140" s="5"/>
    </row>
    <row r="141" spans="1:41" x14ac:dyDescent="0.2">
      <c r="A141">
        <v>116</v>
      </c>
      <c r="B141">
        <v>0.98928842282960705</v>
      </c>
      <c r="C141">
        <f t="shared" si="63"/>
        <v>0.92993111745983059</v>
      </c>
      <c r="D141" s="60"/>
      <c r="E141" s="5"/>
      <c r="F141" s="5"/>
    </row>
    <row r="142" spans="1:41" x14ac:dyDescent="0.2">
      <c r="A142">
        <v>117</v>
      </c>
      <c r="B142">
        <v>0.99312041327165401</v>
      </c>
      <c r="C142">
        <f t="shared" si="63"/>
        <v>0.93353318847535471</v>
      </c>
      <c r="D142" s="60"/>
      <c r="E142" s="5"/>
      <c r="F142" s="5"/>
    </row>
    <row r="143" spans="1:41" x14ac:dyDescent="0.2">
      <c r="A143">
        <v>118</v>
      </c>
      <c r="B143">
        <v>0.99593422858952796</v>
      </c>
      <c r="C143">
        <f t="shared" si="63"/>
        <v>0.93617817487415622</v>
      </c>
      <c r="D143" s="60"/>
      <c r="E143" s="5"/>
      <c r="F143" s="5"/>
    </row>
    <row r="144" spans="1:41" x14ac:dyDescent="0.2">
      <c r="A144">
        <v>119</v>
      </c>
      <c r="B144">
        <v>0.99787281936828698</v>
      </c>
      <c r="C144">
        <f t="shared" si="63"/>
        <v>0.93800045020618972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F3790-76F9-457E-A722-AA7D188F4A2D}">
  <sheetPr codeName="Sheet17"/>
  <dimension ref="A1:AY145"/>
  <sheetViews>
    <sheetView workbookViewId="0">
      <pane ySplit="3" topLeftCell="A30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1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AU$5+NPV($AT1,AU$6:AU$79)</f>
        <v>9.5735562839781121</v>
      </c>
      <c r="AV1" s="35">
        <f>NPV($AT1,AV$5:AV$79)</f>
        <v>0.63178629677007203</v>
      </c>
      <c r="AW1" s="34">
        <f>0.85*AV1*1000/AU1</f>
        <v>56.093925425945606</v>
      </c>
    </row>
    <row r="2" spans="1:51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AU$5+NPV($AT2,AU$6:AU$79)</f>
        <v>8.5444181390083145</v>
      </c>
      <c r="AV2" s="35">
        <f>NPV($AT2,AV$5:AV$79)</f>
        <v>0.51635369024481181</v>
      </c>
      <c r="AW2" s="34">
        <f>1.05*AV2*1000/(AU2-1)</f>
        <v>71.863908490671079</v>
      </c>
    </row>
    <row r="3" spans="1:51" ht="38.25" x14ac:dyDescent="0.2">
      <c r="G3" t="s">
        <v>16</v>
      </c>
      <c r="H3" s="31">
        <v>2179524.7762407036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1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59">_xlfn.SEQUENCE(MAX(A26:A145)-D4+1,1,0,1)</f>
        <v>0</v>
      </c>
      <c r="J4" s="41">
        <f>$H$3</f>
        <v>2179524.7762407036</v>
      </c>
      <c r="K4" s="41">
        <f>J4*C16</f>
        <v>653857.43287221109</v>
      </c>
      <c r="L4" s="42">
        <f>C20 + F18*J4</f>
        <v>109176.23881203518</v>
      </c>
      <c r="M4" s="41">
        <f t="shared" ref="M4:M5" si="0">$E$11</f>
        <v>2000000</v>
      </c>
      <c r="N4" s="43">
        <f>AX4</f>
        <v>0</v>
      </c>
      <c r="O4" s="44">
        <f>AW4</f>
        <v>94.768000000000001</v>
      </c>
      <c r="P4" s="41">
        <f>IF(I4&lt;&gt;"", M4*N4/1000, "")</f>
        <v>0</v>
      </c>
      <c r="Q4" s="41">
        <f>IF(I4&lt;&gt;"", M4*O4/1000, "")</f>
        <v>189536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189536</v>
      </c>
      <c r="AC4" s="41">
        <f>IF(I4&lt;&gt;"", $H$14*M4*X4, "")</f>
        <v>20000</v>
      </c>
      <c r="AD4" s="47"/>
      <c r="AE4" s="41">
        <f>IF(I4&lt;&gt;"", $X4*J4, "")</f>
        <v>2179524.7762407036</v>
      </c>
      <c r="AF4" s="41">
        <f>IF(I4&lt;&gt;"", -$X4*K4, "")</f>
        <v>-653857.43287221109</v>
      </c>
      <c r="AG4" s="41">
        <f>IF(I4&lt;&gt;"", -$X4*L4, "")</f>
        <v>-109176.23881203518</v>
      </c>
      <c r="AH4" s="41"/>
      <c r="AI4" s="41"/>
      <c r="AJ4" s="41">
        <f>SUM(AE4:AI4)</f>
        <v>1416491.1045564574</v>
      </c>
      <c r="AK4" s="41">
        <f>IF(I4&lt;&gt;"", Z4-AB4, "")</f>
        <v>-189536</v>
      </c>
      <c r="AL4" s="41"/>
      <c r="AM4" s="41">
        <f>SUM(AJ4:AL4)</f>
        <v>1226955.1045564574</v>
      </c>
      <c r="AN4" s="41">
        <f>IF(I4&lt;&gt;"", AA4-AC4, "")</f>
        <v>-20000</v>
      </c>
      <c r="AO4" s="41">
        <f>SUM(AM4:AN4)</f>
        <v>1206955.1045564574</v>
      </c>
      <c r="AP4" s="45"/>
      <c r="AQ4" s="41">
        <f>AM133</f>
        <v>81683.024099265458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94.768000000000001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1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131.30699999999999</v>
      </c>
      <c r="P5" s="41">
        <f t="shared" ref="P5:P68" si="3">IF(I5&lt;&gt;"", M5*N5/1000, "")</f>
        <v>0</v>
      </c>
      <c r="Q5" s="41">
        <f t="shared" ref="Q5:Q68" si="4">IF(I5&lt;&gt;"", M5*O5/1000, "")</f>
        <v>262613.99999999994</v>
      </c>
      <c r="R5" s="44"/>
      <c r="S5" s="44">
        <f>IF(I5&lt;&gt;"",_xlfn.XLOOKUP(D$4+I5,A$26:A$145,$C$26:$C$145,0) * 1000,"")</f>
        <v>29.457520945813194</v>
      </c>
      <c r="T5" s="52">
        <f>C10</f>
        <v>0</v>
      </c>
      <c r="U5" s="53">
        <f>IF(I5&lt;&gt;"", X4, "")</f>
        <v>1</v>
      </c>
      <c r="V5" s="53">
        <f>IF(I5&lt;&gt;"", S5*U5/1000, "")</f>
        <v>2.9457520945813193E-2</v>
      </c>
      <c r="W5" s="53">
        <f>IF(I5&lt;&gt;"", MIN(T5*U5,U5-V5), "")</f>
        <v>0</v>
      </c>
      <c r="X5" s="46">
        <f t="shared" ref="X5:X68" si="5">IF(I5&lt;&gt;"", U5-SUM(V5:W5), "")</f>
        <v>0.97054247905418678</v>
      </c>
      <c r="Y5" s="54"/>
      <c r="Z5" s="41">
        <f>IF(I5&lt;&gt;"",AB4,"")</f>
        <v>189536</v>
      </c>
      <c r="AA5" s="41">
        <f>IF(I5&lt;&gt;"", AC4, "")</f>
        <v>20000</v>
      </c>
      <c r="AB5" s="41">
        <f t="shared" ref="AB5:AB68" si="6">IF(I5&lt;&gt;"", Q5*X5, "" )</f>
        <v>254878.04259433615</v>
      </c>
      <c r="AC5" s="41">
        <f t="shared" ref="AC5:AC68" si="7">IF(I5&lt;&gt;"", $H$14*M5*X5, "")</f>
        <v>19410.849581083734</v>
      </c>
      <c r="AD5" s="54"/>
      <c r="AE5" s="41">
        <f t="shared" ref="AE5:AE68" si="8">IF(I5&lt;&gt;"", $X5*J5, "")</f>
        <v>0</v>
      </c>
      <c r="AF5" s="41"/>
      <c r="AG5" s="41">
        <f t="shared" ref="AG5:AG68" si="9">IF(I5&lt;&gt;"", -$X5*L5, "")</f>
        <v>0</v>
      </c>
      <c r="AH5" s="41">
        <f>IF(I5&lt;&gt;"",-M5*V5,"")</f>
        <v>-58915.041891626388</v>
      </c>
      <c r="AI5" s="41">
        <f>IF(I5 &lt;&gt; "", -P5*W5, "")</f>
        <v>0</v>
      </c>
      <c r="AJ5" s="41">
        <f>SUM(AE5:AI5)</f>
        <v>-58915.041891626388</v>
      </c>
      <c r="AK5" s="41">
        <f t="shared" ref="AK5:AK68" si="10">IF(I5&lt;&gt;"", Z5-AB5, "")</f>
        <v>-65342.042594336148</v>
      </c>
      <c r="AL5" s="41">
        <f>$D$6*SUM(Z5:AA5,AE5:AF5)</f>
        <v>8381.44</v>
      </c>
      <c r="AM5" s="41">
        <f>SUM(AJ5:AL5)</f>
        <v>-115875.64448596253</v>
      </c>
      <c r="AN5" s="41">
        <f t="shared" ref="AN5:AN68" si="11">IF(I5&lt;&gt;"", AA5-AC5, "")</f>
        <v>589.15041891626606</v>
      </c>
      <c r="AO5" s="41">
        <f>SUM(AM5:AN5)</f>
        <v>-115286.49406704627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2.9457520945813193E-2</v>
      </c>
      <c r="AW5" s="50">
        <f xml:space="preserve"> IF(ISERROR(ROUND((1000*NPV($AT$1,$AV6:$AV$124)-$AW$1*($AU6+NPV($AT$1,$AU7:$AU$124)))/AU6,3)), 0, ROUND((1000*NPV($AT$1,$AV6:$AV$124)-$AW$1*($AU6+NPV($AT$1,$AU7:$AU$124)))/AU6,3))</f>
        <v>131.30699999999999</v>
      </c>
      <c r="AX5" s="50">
        <f>IF(ISERROR(ROUND(MAX(0,1000*NPV($AT$2,$AV6:$AV$124)-$AW$2*($AU6+NPV($AT$2,$AU7:$AU$124)))/AU6,3)), 0, ROUND(MAX(0,1000*NPV($AT$2,$AV6:$AV$124)-$AW$2*($AU6+NPV($AT$2,$AU7:$AU$124)))/AU6,3))</f>
        <v>0</v>
      </c>
    </row>
    <row r="6" spans="1:51" ht="15" x14ac:dyDescent="0.25">
      <c r="A6" s="12" t="s">
        <v>14</v>
      </c>
      <c r="B6" s="12"/>
      <c r="C6" s="12"/>
      <c r="D6" s="16">
        <v>0.04</v>
      </c>
      <c r="E6" s="64">
        <f>NPV(D7,L6:L124)</f>
        <v>664.4415117241108</v>
      </c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168.07599999999999</v>
      </c>
      <c r="P6" s="41">
        <f t="shared" si="3"/>
        <v>0</v>
      </c>
      <c r="Q6" s="41">
        <f t="shared" si="4"/>
        <v>336152</v>
      </c>
      <c r="R6" s="44"/>
      <c r="S6" s="44">
        <f>IF(I6&lt;&gt;"",_xlfn.XLOOKUP(D$4+I6,A$26:A$145,$C$26:$C$145,0) * 1000,"")</f>
        <v>32.239978994119646</v>
      </c>
      <c r="T6" s="52">
        <f>$C$11</f>
        <v>0</v>
      </c>
      <c r="U6" s="53">
        <f t="shared" ref="U6:U69" si="12">IF(I6&lt;&gt;"", X5, "")</f>
        <v>0.97054247905418678</v>
      </c>
      <c r="V6" s="53">
        <f t="shared" ref="V6:V69" si="13">IF(I6&lt;&gt;"", S6*U6/1000, "")</f>
        <v>3.1290269137607789E-2</v>
      </c>
      <c r="W6" s="53">
        <f t="shared" ref="W6:W69" si="14">IF(I6&lt;&gt;"", MIN(T6*U6,U6-V6), "")</f>
        <v>0</v>
      </c>
      <c r="X6" s="46">
        <f t="shared" si="5"/>
        <v>0.93925220991657898</v>
      </c>
      <c r="Y6" s="54"/>
      <c r="Z6" s="41">
        <f t="shared" ref="Z6:Z69" si="15">IF(I6&lt;&gt;"",AB5,"")</f>
        <v>254878.04259433615</v>
      </c>
      <c r="AA6" s="41">
        <f t="shared" ref="AA6:AA69" si="16">IF(I6&lt;&gt;"", AC5, "")</f>
        <v>19410.849581083734</v>
      </c>
      <c r="AB6" s="41">
        <f t="shared" si="6"/>
        <v>315731.50886787788</v>
      </c>
      <c r="AC6" s="41">
        <f t="shared" si="7"/>
        <v>18785.04419833158</v>
      </c>
      <c r="AD6" s="54"/>
      <c r="AE6" s="41">
        <f t="shared" si="8"/>
        <v>0</v>
      </c>
      <c r="AF6" s="41"/>
      <c r="AG6" s="41">
        <f>IF(I6&lt;&gt;"", -$X6*L6, "")</f>
        <v>-23.481305247914474</v>
      </c>
      <c r="AH6" s="41">
        <f t="shared" ref="AH6:AH69" si="17">IF(I6&lt;&gt;"",-M6*V6,"")</f>
        <v>-62580.538275215578</v>
      </c>
      <c r="AI6" s="41">
        <f t="shared" ref="AI6:AI69" si="18">IF(I6 &lt;&gt; "", -P6*W6, "")</f>
        <v>0</v>
      </c>
      <c r="AJ6" s="41">
        <f t="shared" ref="AJ6:AJ68" si="19">SUM(AE6:AI6)</f>
        <v>-62604.019580463493</v>
      </c>
      <c r="AK6" s="41">
        <f t="shared" si="10"/>
        <v>-60853.466273541737</v>
      </c>
      <c r="AL6" s="41">
        <f t="shared" ref="AL6:AL69" si="20">$D$6*SUM(Z6:AA6,AE6:AF6)</f>
        <v>10971.555687016797</v>
      </c>
      <c r="AM6" s="41">
        <f t="shared" ref="AM6:AM68" si="21">SUM(AJ6:AL6)</f>
        <v>-112485.93016698844</v>
      </c>
      <c r="AN6" s="41">
        <f t="shared" si="11"/>
        <v>625.8053827521544</v>
      </c>
      <c r="AO6" s="41">
        <f t="shared" ref="AO6:AO68" si="22">SUM(AM6:AN6)</f>
        <v>-111860.12478423629</v>
      </c>
      <c r="AP6" s="45"/>
      <c r="AQ6" s="41">
        <f>AO133</f>
        <v>75753.896926503628</v>
      </c>
      <c r="AR6" s="48"/>
      <c r="AS6" s="48"/>
      <c r="AT6" s="51">
        <f t="shared" ref="AT6:AT69" si="23">AT5+1</f>
        <v>2</v>
      </c>
      <c r="AU6" s="49">
        <f t="shared" ref="AU6:AU69" si="24">IF(I6&lt;&gt;"", AU5-AV5, "")</f>
        <v>0.97054247905418678</v>
      </c>
      <c r="AV6" s="49">
        <f t="shared" ref="AV6:AV69" si="25">IF(I6&lt;&gt;"", S6*AU6/1000, "")</f>
        <v>3.1290269137607789E-2</v>
      </c>
      <c r="AW6" s="50">
        <f xml:space="preserve"> IF(ISERROR(ROUND((1000*NPV($AT$1,$AV7:$AV$124)-$AW$1*($AU7+NPV($AT$1,$AU8:$AU$124)))/AU7,3)), 0, ROUND((1000*NPV($AT$1,$AV7:$AV$124)-$AW$1*($AU7+NPV($AT$1,$AU8:$AU$124)))/AU7,3))</f>
        <v>168.07599999999999</v>
      </c>
      <c r="AX6" s="50">
        <f>IF(ISERROR(ROUND(MAX(0,1000*NPV($AT$2,$AV7:$AV$124)-$AW$2*($AU7+NPV($AT$2,$AU8:$AU$124)))/AU7,3)), 0, ROUND(MAX(0,1000*NPV($AT$2,$AV7:$AV$124)-$AW$2*($AU7+NPV($AT$2,$AU8:$AU$124)))/AU7,3))</f>
        <v>0</v>
      </c>
    </row>
    <row r="7" spans="1:51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6">IF(J7&lt;&gt;"",J7*$C$17,"")</f>
        <v/>
      </c>
      <c r="L7" s="42">
        <f t="shared" ref="L7:L70" si="27">IF(I7&lt;&gt;"",$C$21,"")</f>
        <v>25</v>
      </c>
      <c r="M7" s="41">
        <f t="shared" ref="M7:M70" si="28">IF(I7&lt;&gt;"",$E$11,"")</f>
        <v>2000000</v>
      </c>
      <c r="N7" s="43">
        <f t="shared" si="1"/>
        <v>21.899000000000001</v>
      </c>
      <c r="O7" s="44">
        <f t="shared" si="2"/>
        <v>205.16300000000001</v>
      </c>
      <c r="P7" s="41">
        <f t="shared" si="3"/>
        <v>43798</v>
      </c>
      <c r="Q7" s="41">
        <f t="shared" si="4"/>
        <v>410326</v>
      </c>
      <c r="R7" s="44"/>
      <c r="S7" s="44">
        <f>IF(I7&lt;&gt;"",_xlfn.XLOOKUP(D$4+I7,A$26:A$145,$C$26:$C$145,0) * 1000,"")</f>
        <v>35.194092143145248</v>
      </c>
      <c r="T7" s="52">
        <f>$C$11</f>
        <v>0</v>
      </c>
      <c r="U7" s="53">
        <f t="shared" si="12"/>
        <v>0.93925220991657898</v>
      </c>
      <c r="V7" s="53">
        <f t="shared" si="13"/>
        <v>3.3056128821456879E-2</v>
      </c>
      <c r="W7" s="53">
        <f t="shared" si="14"/>
        <v>0</v>
      </c>
      <c r="X7" s="46">
        <f t="shared" si="5"/>
        <v>0.90619608109512206</v>
      </c>
      <c r="Y7" s="54"/>
      <c r="Z7" s="41">
        <f t="shared" si="15"/>
        <v>315731.50886787788</v>
      </c>
      <c r="AA7" s="41">
        <f t="shared" si="16"/>
        <v>18785.04419833158</v>
      </c>
      <c r="AB7" s="41">
        <f t="shared" si="6"/>
        <v>371835.81317143707</v>
      </c>
      <c r="AC7" s="41">
        <f t="shared" si="7"/>
        <v>18123.921621902442</v>
      </c>
      <c r="AD7" s="54"/>
      <c r="AE7" s="41">
        <f t="shared" si="8"/>
        <v>0</v>
      </c>
      <c r="AF7" s="41"/>
      <c r="AG7" s="41">
        <f t="shared" si="9"/>
        <v>-22.65490202737805</v>
      </c>
      <c r="AH7" s="41">
        <f t="shared" si="17"/>
        <v>-66112.257642913755</v>
      </c>
      <c r="AI7" s="41">
        <f t="shared" si="18"/>
        <v>0</v>
      </c>
      <c r="AJ7" s="41">
        <f t="shared" si="19"/>
        <v>-66134.912544941137</v>
      </c>
      <c r="AK7" s="41">
        <f t="shared" si="10"/>
        <v>-56104.304303559184</v>
      </c>
      <c r="AL7" s="41">
        <f t="shared" si="20"/>
        <v>13380.66212264838</v>
      </c>
      <c r="AM7" s="41">
        <f t="shared" si="21"/>
        <v>-108858.55472585194</v>
      </c>
      <c r="AN7" s="41">
        <f t="shared" si="11"/>
        <v>661.12257642913755</v>
      </c>
      <c r="AO7" s="41">
        <f>SUM(AM7:AN7)</f>
        <v>-108197.43214942279</v>
      </c>
      <c r="AP7" s="45"/>
      <c r="AQ7" s="45"/>
      <c r="AR7" s="48"/>
      <c r="AS7" s="48"/>
      <c r="AT7" s="51">
        <f t="shared" si="23"/>
        <v>3</v>
      </c>
      <c r="AU7" s="49">
        <f t="shared" si="24"/>
        <v>0.93925220991657898</v>
      </c>
      <c r="AV7" s="49">
        <f t="shared" si="25"/>
        <v>3.3056128821456879E-2</v>
      </c>
      <c r="AW7" s="50">
        <f xml:space="preserve"> IF(ISERROR(ROUND((1000*NPV($AT$1,$AV8:$AV$124)-$AW$1*($AU8+NPV($AT$1,$AU9:$AU$124)))/AU8,3)), 0, ROUND((1000*NPV($AT$1,$AV8:$AV$124)-$AW$1*($AU8+NPV($AT$1,$AU9:$AU$124)))/AU8,3))</f>
        <v>205.16300000000001</v>
      </c>
      <c r="AX7" s="50">
        <f>IF(ISERROR(ROUND(MAX(0,1000*NPV($AT$2,$AV8:$AV$124)-$AW$2*($AU8+NPV($AT$2,$AU9:$AU$124)))/AU8,3)), 0, ROUND(MAX(0,1000*NPV($AT$2,$AV8:$AV$124)-$AW$2*($AU8+NPV($AT$2,$AU9:$AU$124)))/AU8,3))</f>
        <v>21.899000000000001</v>
      </c>
    </row>
    <row r="8" spans="1:51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6"/>
        <v/>
      </c>
      <c r="L8" s="42">
        <f t="shared" si="27"/>
        <v>25</v>
      </c>
      <c r="M8" s="41">
        <f t="shared" si="28"/>
        <v>2000000</v>
      </c>
      <c r="N8" s="43">
        <f t="shared" si="1"/>
        <v>63.314</v>
      </c>
      <c r="O8" s="44">
        <f t="shared" si="2"/>
        <v>242.535</v>
      </c>
      <c r="P8" s="41">
        <f t="shared" si="3"/>
        <v>126628</v>
      </c>
      <c r="Q8" s="41">
        <f t="shared" si="4"/>
        <v>485070</v>
      </c>
      <c r="R8" s="44"/>
      <c r="S8" s="44">
        <f>IF(I8&lt;&gt;"",_xlfn.XLOOKUP(D$4+I8,A$26:A$145,$C$26:$C$145,0) * 1000,"")</f>
        <v>38.512225330670212</v>
      </c>
      <c r="T8" s="52">
        <f>$C$11</f>
        <v>0</v>
      </c>
      <c r="U8" s="53">
        <f t="shared" si="12"/>
        <v>0.90619608109512206</v>
      </c>
      <c r="V8" s="53">
        <f t="shared" si="13"/>
        <v>3.4899627668905635E-2</v>
      </c>
      <c r="W8" s="53">
        <f t="shared" si="14"/>
        <v>0</v>
      </c>
      <c r="X8" s="46">
        <f t="shared" si="5"/>
        <v>0.87129645342621642</v>
      </c>
      <c r="Y8" s="54"/>
      <c r="Z8" s="41">
        <f t="shared" si="15"/>
        <v>371835.81317143707</v>
      </c>
      <c r="AA8" s="41">
        <f t="shared" si="16"/>
        <v>18123.921621902442</v>
      </c>
      <c r="AB8" s="41">
        <f t="shared" si="6"/>
        <v>422639.77066345478</v>
      </c>
      <c r="AC8" s="41">
        <f t="shared" si="7"/>
        <v>17425.929068524329</v>
      </c>
      <c r="AD8" s="54"/>
      <c r="AE8" s="41">
        <f t="shared" si="8"/>
        <v>0</v>
      </c>
      <c r="AF8" s="41"/>
      <c r="AG8" s="41">
        <f t="shared" si="9"/>
        <v>-21.782411335655411</v>
      </c>
      <c r="AH8" s="41">
        <f t="shared" si="17"/>
        <v>-69799.255337811264</v>
      </c>
      <c r="AI8" s="41">
        <f t="shared" si="18"/>
        <v>0</v>
      </c>
      <c r="AJ8" s="41">
        <f t="shared" si="19"/>
        <v>-69821.037749146926</v>
      </c>
      <c r="AK8" s="41">
        <f t="shared" si="10"/>
        <v>-50803.957492017711</v>
      </c>
      <c r="AL8" s="41">
        <f t="shared" si="20"/>
        <v>15598.389391733581</v>
      </c>
      <c r="AM8" s="41">
        <f t="shared" si="21"/>
        <v>-105026.60584943106</v>
      </c>
      <c r="AN8" s="41">
        <f t="shared" si="11"/>
        <v>697.99255337811337</v>
      </c>
      <c r="AO8" s="41">
        <f t="shared" si="22"/>
        <v>-104328.61329605294</v>
      </c>
      <c r="AP8" s="45"/>
      <c r="AQ8" s="45"/>
      <c r="AR8" s="48"/>
      <c r="AS8" s="48"/>
      <c r="AT8" s="51">
        <f t="shared" si="23"/>
        <v>4</v>
      </c>
      <c r="AU8" s="49">
        <f t="shared" si="24"/>
        <v>0.90619608109512206</v>
      </c>
      <c r="AV8" s="49">
        <f t="shared" si="25"/>
        <v>3.4899627668905635E-2</v>
      </c>
      <c r="AW8" s="50">
        <f xml:space="preserve"> IF(ISERROR(ROUND((1000*NPV($AT$1,$AV9:$AV$124)-$AW$1*($AU9+NPV($AT$1,$AU10:$AU$124)))/AU9,3)), 0, ROUND((1000*NPV($AT$1,$AV9:$AV$124)-$AW$1*($AU9+NPV($AT$1,$AU10:$AU$124)))/AU9,3))</f>
        <v>242.535</v>
      </c>
      <c r="AX8" s="50">
        <f>IF(ISERROR(ROUND(MAX(0,1000*NPV($AT$2,$AV9:$AV$124)-$AW$2*($AU9+NPV($AT$2,$AU10:$AU$124)))/AU9,3)), 0, ROUND(MAX(0,1000*NPV($AT$2,$AV9:$AV$124)-$AW$2*($AU9+NPV($AT$2,$AU10:$AU$124)))/AU9,3))</f>
        <v>63.314</v>
      </c>
      <c r="AY8" s="59"/>
    </row>
    <row r="9" spans="1:51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6"/>
        <v/>
      </c>
      <c r="L9" s="42">
        <f t="shared" si="27"/>
        <v>25</v>
      </c>
      <c r="M9" s="41">
        <f t="shared" si="28"/>
        <v>2000000</v>
      </c>
      <c r="N9" s="43">
        <f t="shared" si="1"/>
        <v>105.502</v>
      </c>
      <c r="O9" s="44">
        <f t="shared" si="2"/>
        <v>280.16500000000002</v>
      </c>
      <c r="P9" s="41">
        <f t="shared" si="3"/>
        <v>211004</v>
      </c>
      <c r="Q9" s="41">
        <f t="shared" si="4"/>
        <v>560330</v>
      </c>
      <c r="R9" s="44"/>
      <c r="S9" s="44">
        <f>IF(I9&lt;&gt;"",_xlfn.XLOOKUP(D$4+I9,A$26:A$145,$C$26:$C$145,0) * 1000,"")</f>
        <v>42.244180536253459</v>
      </c>
      <c r="T9" s="52">
        <f>$C$11</f>
        <v>0</v>
      </c>
      <c r="U9" s="53">
        <f t="shared" si="12"/>
        <v>0.87129645342621642</v>
      </c>
      <c r="V9" s="53">
        <f t="shared" si="13"/>
        <v>3.6807204679134446E-2</v>
      </c>
      <c r="W9" s="53">
        <f t="shared" si="14"/>
        <v>0</v>
      </c>
      <c r="X9" s="46">
        <f t="shared" si="5"/>
        <v>0.83448924874708197</v>
      </c>
      <c r="Y9" s="54"/>
      <c r="Z9" s="41">
        <f t="shared" si="15"/>
        <v>422639.77066345478</v>
      </c>
      <c r="AA9" s="41">
        <f t="shared" si="16"/>
        <v>17425.929068524329</v>
      </c>
      <c r="AB9" s="41">
        <f t="shared" si="6"/>
        <v>467589.36075045244</v>
      </c>
      <c r="AC9" s="41">
        <f t="shared" si="7"/>
        <v>16689.784974941638</v>
      </c>
      <c r="AD9" s="54"/>
      <c r="AE9" s="41">
        <f t="shared" si="8"/>
        <v>0</v>
      </c>
      <c r="AF9" s="41"/>
      <c r="AG9" s="41">
        <f t="shared" si="9"/>
        <v>-20.862231218677049</v>
      </c>
      <c r="AH9" s="41">
        <f t="shared" si="17"/>
        <v>-73614.409358268895</v>
      </c>
      <c r="AI9" s="41">
        <f t="shared" si="18"/>
        <v>0</v>
      </c>
      <c r="AJ9" s="41">
        <f t="shared" si="19"/>
        <v>-73635.271589487573</v>
      </c>
      <c r="AK9" s="41">
        <f t="shared" si="10"/>
        <v>-44949.590086997661</v>
      </c>
      <c r="AL9" s="41">
        <f t="shared" si="20"/>
        <v>17602.627989279164</v>
      </c>
      <c r="AM9" s="41">
        <f t="shared" si="21"/>
        <v>-100982.23368720607</v>
      </c>
      <c r="AN9" s="41">
        <f t="shared" si="11"/>
        <v>736.1440935826904</v>
      </c>
      <c r="AO9" s="41">
        <f t="shared" si="22"/>
        <v>-100246.08959362339</v>
      </c>
      <c r="AP9" s="45"/>
      <c r="AQ9" s="45"/>
      <c r="AR9" s="48"/>
      <c r="AS9" s="48"/>
      <c r="AT9" s="51">
        <f t="shared" si="23"/>
        <v>5</v>
      </c>
      <c r="AU9" s="49">
        <f t="shared" si="24"/>
        <v>0.87129645342621642</v>
      </c>
      <c r="AV9" s="49">
        <f t="shared" si="25"/>
        <v>3.6807204679134446E-2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280.16500000000002</v>
      </c>
      <c r="AX9" s="50">
        <f>IF(ISERROR(ROUND(MAX(0,1000*NPV($AT$2,$AV10:$AV$124)-$AW$2*($AU10+NPV($AT$2,$AU11:$AU$124)))/AU10,3)), 0, ROUND(MAX(0,1000*NPV($AT$2,$AV10:$AV$124)-$AW$2*($AU10+NPV($AT$2,$AU11:$AU$124)))/AU10,3))</f>
        <v>105.502</v>
      </c>
    </row>
    <row r="10" spans="1:51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6"/>
        <v/>
      </c>
      <c r="L10" s="42">
        <f t="shared" si="27"/>
        <v>25</v>
      </c>
      <c r="M10" s="41">
        <f t="shared" si="28"/>
        <v>2000000</v>
      </c>
      <c r="N10" s="43">
        <f>AX10</f>
        <v>148.40199999999999</v>
      </c>
      <c r="O10" s="44">
        <f t="shared" si="2"/>
        <v>317.99200000000002</v>
      </c>
      <c r="P10" s="41">
        <f t="shared" si="3"/>
        <v>296804</v>
      </c>
      <c r="Q10" s="41">
        <f t="shared" si="4"/>
        <v>635984</v>
      </c>
      <c r="R10" s="44"/>
      <c r="S10" s="44">
        <f>IF(I10&lt;&gt;"",_xlfn.XLOOKUP(D$4+I10,A$26:A$145,$C$26:$C$145,0) * 1000,"")</f>
        <v>46.507090890395659</v>
      </c>
      <c r="T10" s="52">
        <f>$C$12</f>
        <v>0</v>
      </c>
      <c r="U10" s="53">
        <f t="shared" si="12"/>
        <v>0.83448924874708197</v>
      </c>
      <c r="V10" s="53">
        <f t="shared" si="13"/>
        <v>3.880966733853853E-2</v>
      </c>
      <c r="W10" s="53">
        <f t="shared" si="14"/>
        <v>0</v>
      </c>
      <c r="X10" s="46">
        <f t="shared" si="5"/>
        <v>0.79567958140854345</v>
      </c>
      <c r="Y10" s="54"/>
      <c r="Z10" s="41">
        <f t="shared" si="15"/>
        <v>467589.36075045244</v>
      </c>
      <c r="AA10" s="41">
        <f t="shared" si="16"/>
        <v>16689.784974941638</v>
      </c>
      <c r="AB10" s="41">
        <f t="shared" si="6"/>
        <v>506039.4829025311</v>
      </c>
      <c r="AC10" s="41">
        <f t="shared" si="7"/>
        <v>15913.591628170869</v>
      </c>
      <c r="AD10" s="54"/>
      <c r="AE10" s="41">
        <f t="shared" si="8"/>
        <v>0</v>
      </c>
      <c r="AF10" s="41"/>
      <c r="AG10" s="41">
        <f t="shared" si="9"/>
        <v>-19.891989535213586</v>
      </c>
      <c r="AH10" s="41">
        <f t="shared" si="17"/>
        <v>-77619.334677077059</v>
      </c>
      <c r="AI10" s="41">
        <f t="shared" si="18"/>
        <v>0</v>
      </c>
      <c r="AJ10" s="41">
        <f t="shared" si="19"/>
        <v>-77639.226666612274</v>
      </c>
      <c r="AK10" s="41">
        <f t="shared" si="10"/>
        <v>-38450.122152078664</v>
      </c>
      <c r="AL10" s="41">
        <f t="shared" si="20"/>
        <v>19371.165829015765</v>
      </c>
      <c r="AM10" s="41">
        <f t="shared" si="21"/>
        <v>-96718.182989675173</v>
      </c>
      <c r="AN10" s="41">
        <f t="shared" si="11"/>
        <v>776.19334677076949</v>
      </c>
      <c r="AO10" s="41">
        <f t="shared" si="22"/>
        <v>-95941.989642904402</v>
      </c>
      <c r="AP10" s="45"/>
      <c r="AQ10" s="45"/>
      <c r="AR10" s="48"/>
      <c r="AS10" s="48"/>
      <c r="AT10" s="51">
        <f t="shared" si="23"/>
        <v>6</v>
      </c>
      <c r="AU10" s="49">
        <f t="shared" si="24"/>
        <v>0.83448924874708197</v>
      </c>
      <c r="AV10" s="49">
        <f t="shared" si="25"/>
        <v>3.880966733853853E-2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317.99200000000002</v>
      </c>
      <c r="AX10" s="50">
        <f>IF(ISERROR(ROUND(MAX(0,1000*NPV($AT$2,$AV11:$AV$124)-$AW$2*($AU11+NPV($AT$2,$AU12:$AU$124)))/AU11,3)), 0, ROUND(MAX(0,1000*NPV($AT$2,$AV11:$AV$124)-$AW$2*($AU11+NPV($AT$2,$AU12:$AU$124)))/AU11,3))</f>
        <v>148.40199999999999</v>
      </c>
    </row>
    <row r="11" spans="1:51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6"/>
        <v/>
      </c>
      <c r="L11" s="42">
        <f t="shared" si="27"/>
        <v>25</v>
      </c>
      <c r="M11" s="41">
        <f t="shared" si="28"/>
        <v>2000000</v>
      </c>
      <c r="N11" s="43">
        <f t="shared" si="1"/>
        <v>191.941</v>
      </c>
      <c r="O11" s="44">
        <f>AW11</f>
        <v>355.93900000000002</v>
      </c>
      <c r="P11" s="41">
        <f t="shared" si="3"/>
        <v>383882</v>
      </c>
      <c r="Q11" s="41">
        <f t="shared" si="4"/>
        <v>711878</v>
      </c>
      <c r="R11" s="44"/>
      <c r="S11" s="44">
        <f>IF(I11&lt;&gt;"",_xlfn.XLOOKUP(D$4+I11,A$26:A$145,$C$26:$C$145,0) * 1000,"")</f>
        <v>51.407826434766847</v>
      </c>
      <c r="T11" s="52">
        <f>$C$12</f>
        <v>0</v>
      </c>
      <c r="U11" s="53">
        <f t="shared" si="12"/>
        <v>0.79567958140854345</v>
      </c>
      <c r="V11" s="53">
        <f t="shared" si="13"/>
        <v>4.0904157818738338E-2</v>
      </c>
      <c r="W11" s="53">
        <f t="shared" si="14"/>
        <v>0</v>
      </c>
      <c r="X11" s="46">
        <f t="shared" si="5"/>
        <v>0.75477542358980509</v>
      </c>
      <c r="Y11" s="54"/>
      <c r="Z11" s="41">
        <f t="shared" si="15"/>
        <v>506039.4829025311</v>
      </c>
      <c r="AA11" s="41">
        <f t="shared" si="16"/>
        <v>15913.591628170869</v>
      </c>
      <c r="AB11" s="41">
        <f t="shared" si="6"/>
        <v>537308.01899426326</v>
      </c>
      <c r="AC11" s="41">
        <f t="shared" si="7"/>
        <v>15095.508471796102</v>
      </c>
      <c r="AD11" s="54"/>
      <c r="AE11" s="41">
        <f t="shared" si="8"/>
        <v>0</v>
      </c>
      <c r="AF11" s="41"/>
      <c r="AG11" s="41">
        <f t="shared" si="9"/>
        <v>-18.869385589745129</v>
      </c>
      <c r="AH11" s="41">
        <f t="shared" si="17"/>
        <v>-81808.31563747667</v>
      </c>
      <c r="AI11" s="41">
        <f t="shared" si="18"/>
        <v>0</v>
      </c>
      <c r="AJ11" s="41">
        <f t="shared" si="19"/>
        <v>-81827.185023066413</v>
      </c>
      <c r="AK11" s="41">
        <f t="shared" si="10"/>
        <v>-31268.536091732152</v>
      </c>
      <c r="AL11" s="41">
        <f t="shared" si="20"/>
        <v>20878.12298122808</v>
      </c>
      <c r="AM11" s="41">
        <f t="shared" si="21"/>
        <v>-92217.598133570486</v>
      </c>
      <c r="AN11" s="41">
        <f t="shared" si="11"/>
        <v>818.08315637476699</v>
      </c>
      <c r="AO11" s="41">
        <f t="shared" si="22"/>
        <v>-91399.514977195722</v>
      </c>
      <c r="AP11" s="45"/>
      <c r="AQ11" s="45"/>
      <c r="AR11" s="48"/>
      <c r="AS11" s="48"/>
      <c r="AT11" s="51">
        <f t="shared" si="23"/>
        <v>7</v>
      </c>
      <c r="AU11" s="49">
        <f t="shared" si="24"/>
        <v>0.79567958140854345</v>
      </c>
      <c r="AV11" s="49">
        <f t="shared" si="25"/>
        <v>4.0904157818738338E-2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355.93900000000002</v>
      </c>
      <c r="AX11" s="50">
        <f>IF(ISERROR(ROUND(MAX(0,1000*NPV($AT$2,$AV12:$AV$124)-$AW$2*($AU12+NPV($AT$2,$AU13:$AU$124)))/AU12,3)), 0, ROUND(MAX(0,1000*NPV($AT$2,$AV12:$AV$124)-$AW$2*($AU12+NPV($AT$2,$AU13:$AU$124)))/AU12,3))</f>
        <v>191.941</v>
      </c>
    </row>
    <row r="12" spans="1:51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6"/>
        <v/>
      </c>
      <c r="L12" s="42">
        <f t="shared" si="27"/>
        <v>25</v>
      </c>
      <c r="M12" s="41">
        <f t="shared" si="28"/>
        <v>2000000</v>
      </c>
      <c r="N12" s="43">
        <f>AX12</f>
        <v>236.05699999999999</v>
      </c>
      <c r="O12" s="44">
        <f t="shared" si="2"/>
        <v>393.94400000000002</v>
      </c>
      <c r="P12" s="41">
        <f t="shared" si="3"/>
        <v>472114</v>
      </c>
      <c r="Q12" s="41">
        <f t="shared" si="4"/>
        <v>787888</v>
      </c>
      <c r="R12" s="44"/>
      <c r="S12" s="44">
        <f>IF(I12&lt;&gt;"",_xlfn.XLOOKUP(D$4+I12,A$26:A$145,$C$26:$C$145,0) * 1000,"")</f>
        <v>57.041303358897586</v>
      </c>
      <c r="T12" s="52">
        <f>$C$12</f>
        <v>0</v>
      </c>
      <c r="U12" s="53">
        <f t="shared" si="12"/>
        <v>0.75477542358980509</v>
      </c>
      <c r="V12" s="53">
        <f t="shared" si="13"/>
        <v>4.3053373904826497E-2</v>
      </c>
      <c r="W12" s="53">
        <f t="shared" si="14"/>
        <v>0</v>
      </c>
      <c r="X12" s="46">
        <f t="shared" si="5"/>
        <v>0.71172204968497854</v>
      </c>
      <c r="Y12" s="54"/>
      <c r="Z12" s="41">
        <f t="shared" si="15"/>
        <v>537308.01899426326</v>
      </c>
      <c r="AA12" s="41">
        <f t="shared" si="16"/>
        <v>15095.508471796102</v>
      </c>
      <c r="AB12" s="41">
        <f t="shared" si="6"/>
        <v>560757.26228219841</v>
      </c>
      <c r="AC12" s="41">
        <f t="shared" si="7"/>
        <v>14234.440993699571</v>
      </c>
      <c r="AD12" s="54"/>
      <c r="AE12" s="41">
        <f t="shared" si="8"/>
        <v>0</v>
      </c>
      <c r="AF12" s="41"/>
      <c r="AG12" s="41">
        <f t="shared" si="9"/>
        <v>-17.793051242124463</v>
      </c>
      <c r="AH12" s="41">
        <f t="shared" si="17"/>
        <v>-86106.747809652996</v>
      </c>
      <c r="AI12" s="41">
        <f t="shared" si="18"/>
        <v>0</v>
      </c>
      <c r="AJ12" s="41">
        <f t="shared" si="19"/>
        <v>-86124.540860895126</v>
      </c>
      <c r="AK12" s="41">
        <f t="shared" si="10"/>
        <v>-23449.243287935155</v>
      </c>
      <c r="AL12" s="41">
        <f t="shared" si="20"/>
        <v>22096.141098642373</v>
      </c>
      <c r="AM12" s="41">
        <f t="shared" si="21"/>
        <v>-87477.643050187908</v>
      </c>
      <c r="AN12" s="41">
        <f t="shared" si="11"/>
        <v>861.06747809653098</v>
      </c>
      <c r="AO12" s="41">
        <f t="shared" si="22"/>
        <v>-86616.575572091373</v>
      </c>
      <c r="AP12" s="45"/>
      <c r="AQ12" s="45"/>
      <c r="AR12" s="48"/>
      <c r="AS12" s="48"/>
      <c r="AT12" s="51">
        <f t="shared" si="23"/>
        <v>8</v>
      </c>
      <c r="AU12" s="49">
        <f t="shared" si="24"/>
        <v>0.75477542358980509</v>
      </c>
      <c r="AV12" s="49">
        <f t="shared" si="25"/>
        <v>4.3053373904826497E-2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393.94400000000002</v>
      </c>
      <c r="AX12" s="50">
        <f>IF(ISERROR(ROUND(MAX(0,1000*NPV($AT$2,$AV13:$AV$124)-$AW$2*($AU13+NPV($AT$2,$AU14:$AU$124)))/AU13,3)), 0, ROUND(MAX(0,1000*NPV($AT$2,$AV13:$AV$124)-$AW$2*($AU13+NPV($AT$2,$AU14:$AU$124)))/AU13,3))</f>
        <v>236.05699999999999</v>
      </c>
    </row>
    <row r="13" spans="1:51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6"/>
        <v/>
      </c>
      <c r="L13" s="42">
        <f t="shared" si="27"/>
        <v>25</v>
      </c>
      <c r="M13" s="41">
        <f t="shared" si="28"/>
        <v>2000000</v>
      </c>
      <c r="N13" s="43">
        <f t="shared" si="1"/>
        <v>280.55099999999999</v>
      </c>
      <c r="O13" s="44">
        <f t="shared" si="2"/>
        <v>431.834</v>
      </c>
      <c r="P13" s="41">
        <f t="shared" si="3"/>
        <v>561102</v>
      </c>
      <c r="Q13" s="41">
        <f t="shared" si="4"/>
        <v>863668</v>
      </c>
      <c r="R13" s="44"/>
      <c r="S13" s="44">
        <f>IF(I13&lt;&gt;"",_xlfn.XLOOKUP(D$4+I13,A$26:A$145,$C$26:$C$145,0) * 1000,"")</f>
        <v>63.722906397181767</v>
      </c>
      <c r="T13" s="52">
        <f>$C$12</f>
        <v>0</v>
      </c>
      <c r="U13" s="53">
        <f t="shared" si="12"/>
        <v>0.71172204968497854</v>
      </c>
      <c r="V13" s="53">
        <f t="shared" si="13"/>
        <v>4.5352997552886236E-2</v>
      </c>
      <c r="W13" s="53">
        <f t="shared" si="14"/>
        <v>0</v>
      </c>
      <c r="X13" s="46">
        <f t="shared" si="5"/>
        <v>0.6663690521320923</v>
      </c>
      <c r="Y13" s="54"/>
      <c r="Z13" s="41">
        <f t="shared" si="15"/>
        <v>560757.26228219841</v>
      </c>
      <c r="AA13" s="41">
        <f t="shared" si="16"/>
        <v>14234.440993699571</v>
      </c>
      <c r="AB13" s="41">
        <f t="shared" si="6"/>
        <v>575521.62651681993</v>
      </c>
      <c r="AC13" s="41">
        <f t="shared" si="7"/>
        <v>13327.381042641846</v>
      </c>
      <c r="AD13" s="54"/>
      <c r="AE13" s="41">
        <f t="shared" si="8"/>
        <v>0</v>
      </c>
      <c r="AF13" s="41"/>
      <c r="AG13" s="41">
        <f t="shared" si="9"/>
        <v>-16.659226303302308</v>
      </c>
      <c r="AH13" s="41">
        <f t="shared" si="17"/>
        <v>-90705.995105772468</v>
      </c>
      <c r="AI13" s="41">
        <f t="shared" si="18"/>
        <v>0</v>
      </c>
      <c r="AJ13" s="41">
        <f t="shared" si="19"/>
        <v>-90722.654332075777</v>
      </c>
      <c r="AK13" s="41">
        <f t="shared" si="10"/>
        <v>-14764.36423462152</v>
      </c>
      <c r="AL13" s="41">
        <f t="shared" si="20"/>
        <v>22999.66813103592</v>
      </c>
      <c r="AM13" s="41">
        <f t="shared" si="21"/>
        <v>-82487.350435661385</v>
      </c>
      <c r="AN13" s="41">
        <f t="shared" si="11"/>
        <v>907.0599510577249</v>
      </c>
      <c r="AO13" s="41">
        <f t="shared" si="22"/>
        <v>-81580.290484603654</v>
      </c>
      <c r="AP13" s="45"/>
      <c r="AQ13" s="45"/>
      <c r="AR13" s="48"/>
      <c r="AS13" s="48"/>
      <c r="AT13" s="51">
        <f t="shared" si="23"/>
        <v>9</v>
      </c>
      <c r="AU13" s="49">
        <f t="shared" si="24"/>
        <v>0.71172204968497854</v>
      </c>
      <c r="AV13" s="49">
        <f t="shared" si="25"/>
        <v>4.5352997552886236E-2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431.834</v>
      </c>
      <c r="AX13" s="50">
        <f>IF(ISERROR(ROUND(MAX(0,1000*NPV($AT$2,$AV14:$AV$124)-$AW$2*($AU14+NPV($AT$2,$AU15:$AU$124)))/AU14,3)), 0, ROUND(MAX(0,1000*NPV($AT$2,$AV14:$AV$124)-$AW$2*($AU14+NPV($AT$2,$AU15:$AU$124)))/AU14,3))</f>
        <v>280.55099999999999</v>
      </c>
    </row>
    <row r="14" spans="1:51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6"/>
        <v/>
      </c>
      <c r="L14" s="42">
        <f t="shared" si="27"/>
        <v>25</v>
      </c>
      <c r="M14" s="41">
        <f t="shared" si="28"/>
        <v>2000000</v>
      </c>
      <c r="N14" s="43">
        <f t="shared" si="1"/>
        <v>325.39999999999998</v>
      </c>
      <c r="O14" s="44">
        <f t="shared" si="2"/>
        <v>469.57799999999997</v>
      </c>
      <c r="P14" s="41">
        <f t="shared" si="3"/>
        <v>650800</v>
      </c>
      <c r="Q14" s="41">
        <f t="shared" si="4"/>
        <v>939156</v>
      </c>
      <c r="R14" s="44"/>
      <c r="S14" s="44">
        <f>IF(I14&lt;&gt;"",_xlfn.XLOOKUP(D$4+I14,A$26:A$145,$C$26:$C$145,0) * 1000,"")</f>
        <v>71.390911236296759</v>
      </c>
      <c r="T14" s="52">
        <f>$C$12</f>
        <v>0</v>
      </c>
      <c r="U14" s="53">
        <f t="shared" si="12"/>
        <v>0.6663690521320923</v>
      </c>
      <c r="V14" s="53">
        <f t="shared" si="13"/>
        <v>4.7572693851377405E-2</v>
      </c>
      <c r="W14" s="53">
        <f t="shared" si="14"/>
        <v>0</v>
      </c>
      <c r="X14" s="46">
        <f t="shared" si="5"/>
        <v>0.61879635828071489</v>
      </c>
      <c r="Y14" s="54"/>
      <c r="Z14" s="41">
        <f t="shared" si="15"/>
        <v>575521.62651681993</v>
      </c>
      <c r="AA14" s="41">
        <f t="shared" si="16"/>
        <v>13327.381042641846</v>
      </c>
      <c r="AB14" s="41">
        <f t="shared" si="6"/>
        <v>581146.31265748304</v>
      </c>
      <c r="AC14" s="41">
        <f t="shared" si="7"/>
        <v>12375.927165614297</v>
      </c>
      <c r="AD14" s="54"/>
      <c r="AE14" s="41">
        <f t="shared" si="8"/>
        <v>0</v>
      </c>
      <c r="AF14" s="41"/>
      <c r="AG14" s="41">
        <f t="shared" si="9"/>
        <v>-15.469908957017871</v>
      </c>
      <c r="AH14" s="41">
        <f t="shared" si="17"/>
        <v>-95145.387702754815</v>
      </c>
      <c r="AI14" s="41">
        <f t="shared" si="18"/>
        <v>0</v>
      </c>
      <c r="AJ14" s="41">
        <f t="shared" si="19"/>
        <v>-95160.857611711835</v>
      </c>
      <c r="AK14" s="41">
        <f t="shared" si="10"/>
        <v>-5624.6861406631069</v>
      </c>
      <c r="AL14" s="41">
        <f t="shared" si="20"/>
        <v>23553.960302378469</v>
      </c>
      <c r="AM14" s="41">
        <f t="shared" si="21"/>
        <v>-77231.583449996469</v>
      </c>
      <c r="AN14" s="41">
        <f t="shared" si="11"/>
        <v>951.45387702754851</v>
      </c>
      <c r="AO14" s="41">
        <f t="shared" si="22"/>
        <v>-76280.129572968915</v>
      </c>
      <c r="AP14" s="45"/>
      <c r="AQ14" s="45"/>
      <c r="AR14" s="48"/>
      <c r="AS14" s="48"/>
      <c r="AT14" s="51">
        <f t="shared" si="23"/>
        <v>10</v>
      </c>
      <c r="AU14" s="49">
        <f t="shared" si="24"/>
        <v>0.6663690521320923</v>
      </c>
      <c r="AV14" s="49">
        <f t="shared" si="25"/>
        <v>4.7572693851377405E-2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469.57799999999997</v>
      </c>
      <c r="AX14" s="50">
        <f>IF(ISERROR(ROUND(MAX(0,1000*NPV($AT$2,$AV15:$AV$124)-$AW$2*($AU15+NPV($AT$2,$AU16:$AU$124)))/AU15,3)), 0, ROUND(MAX(0,1000*NPV($AT$2,$AV15:$AV$124)-$AW$2*($AU15+NPV($AT$2,$AU16:$AU$124)))/AU15,3))</f>
        <v>325.39999999999998</v>
      </c>
    </row>
    <row r="15" spans="1:51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6"/>
        <v/>
      </c>
      <c r="L15" s="42">
        <f t="shared" si="27"/>
        <v>25</v>
      </c>
      <c r="M15" s="41">
        <f t="shared" si="28"/>
        <v>2000000</v>
      </c>
      <c r="N15" s="43">
        <f t="shared" si="1"/>
        <v>362.798</v>
      </c>
      <c r="O15" s="44">
        <f t="shared" si="2"/>
        <v>501.04599999999999</v>
      </c>
      <c r="P15" s="41">
        <f t="shared" si="3"/>
        <v>725596</v>
      </c>
      <c r="Q15" s="41">
        <f t="shared" si="4"/>
        <v>1002092</v>
      </c>
      <c r="R15" s="44"/>
      <c r="S15" s="44">
        <f>IF(I15&lt;&gt;"",_xlfn.XLOOKUP(D$4+I15,A$26:A$145,$C$26:$C$145,0) * 1000,"")</f>
        <v>91.496513542799221</v>
      </c>
      <c r="T15" s="52">
        <f>$C$13</f>
        <v>0</v>
      </c>
      <c r="U15" s="53">
        <f t="shared" si="12"/>
        <v>0.61879635828071489</v>
      </c>
      <c r="V15" s="53">
        <f t="shared" si="13"/>
        <v>5.6617709375666264E-2</v>
      </c>
      <c r="W15" s="53">
        <f t="shared" si="14"/>
        <v>0</v>
      </c>
      <c r="X15" s="46">
        <f t="shared" si="5"/>
        <v>0.56217864890504865</v>
      </c>
      <c r="Y15" s="54"/>
      <c r="Z15" s="41">
        <f t="shared" si="15"/>
        <v>581146.31265748304</v>
      </c>
      <c r="AA15" s="41">
        <f t="shared" si="16"/>
        <v>12375.927165614297</v>
      </c>
      <c r="AB15" s="41">
        <f t="shared" si="6"/>
        <v>563354.72663855797</v>
      </c>
      <c r="AC15" s="41">
        <f t="shared" si="7"/>
        <v>11243.572978100972</v>
      </c>
      <c r="AD15" s="54"/>
      <c r="AE15" s="41">
        <f t="shared" si="8"/>
        <v>0</v>
      </c>
      <c r="AF15" s="41"/>
      <c r="AG15" s="41">
        <f t="shared" si="9"/>
        <v>-14.054466222626216</v>
      </c>
      <c r="AH15" s="41">
        <f t="shared" si="17"/>
        <v>-113235.41875133253</v>
      </c>
      <c r="AI15" s="41">
        <f t="shared" si="18"/>
        <v>0</v>
      </c>
      <c r="AJ15" s="41">
        <f t="shared" si="19"/>
        <v>-113249.47321755516</v>
      </c>
      <c r="AK15" s="41">
        <f t="shared" si="10"/>
        <v>17791.586018925067</v>
      </c>
      <c r="AL15" s="41">
        <f t="shared" si="20"/>
        <v>23740.889592923893</v>
      </c>
      <c r="AM15" s="41">
        <f t="shared" si="21"/>
        <v>-71716.997605706201</v>
      </c>
      <c r="AN15" s="41">
        <f t="shared" si="11"/>
        <v>1132.3541875133251</v>
      </c>
      <c r="AO15" s="41">
        <f t="shared" si="22"/>
        <v>-70584.643418192878</v>
      </c>
      <c r="AP15" s="45"/>
      <c r="AQ15" s="45"/>
      <c r="AR15" s="48"/>
      <c r="AS15" s="48"/>
      <c r="AT15" s="51">
        <f t="shared" si="23"/>
        <v>11</v>
      </c>
      <c r="AU15" s="49">
        <f t="shared" si="24"/>
        <v>0.61879635828071489</v>
      </c>
      <c r="AV15" s="49">
        <f t="shared" si="25"/>
        <v>5.6617709375666264E-2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501.04599999999999</v>
      </c>
      <c r="AX15" s="50">
        <f>IF(ISERROR(ROUND(MAX(0,1000*NPV($AT$2,$AV16:$AV$124)-$AW$2*($AU16+NPV($AT$2,$AU17:$AU$124)))/AU16,3)), 0, ROUND(MAX(0,1000*NPV($AT$2,$AV16:$AV$124)-$AW$2*($AU16+NPV($AT$2,$AU17:$AU$124)))/AU16,3))</f>
        <v>362.798</v>
      </c>
    </row>
    <row r="16" spans="1:51" ht="15" x14ac:dyDescent="0.25">
      <c r="A16" s="15"/>
      <c r="B16" s="19">
        <v>1</v>
      </c>
      <c r="C16" s="18">
        <v>0.3</v>
      </c>
      <c r="D16" s="1"/>
      <c r="E16" s="19" t="s">
        <v>69</v>
      </c>
      <c r="F16" s="7">
        <v>0.06</v>
      </c>
      <c r="G16" s="5"/>
      <c r="H16" s="1"/>
      <c r="I16" s="51">
        <v>12</v>
      </c>
      <c r="J16" s="41"/>
      <c r="K16" s="41" t="str">
        <f t="shared" si="26"/>
        <v/>
      </c>
      <c r="L16" s="42">
        <f t="shared" si="27"/>
        <v>25</v>
      </c>
      <c r="M16" s="41">
        <f t="shared" si="28"/>
        <v>2000000</v>
      </c>
      <c r="N16" s="43">
        <f t="shared" si="1"/>
        <v>398.89699999999999</v>
      </c>
      <c r="O16" s="44">
        <f t="shared" si="2"/>
        <v>531.19299999999998</v>
      </c>
      <c r="P16" s="41">
        <f t="shared" si="3"/>
        <v>797794</v>
      </c>
      <c r="Q16" s="41">
        <f t="shared" si="4"/>
        <v>1062386</v>
      </c>
      <c r="R16" s="44"/>
      <c r="S16" s="44">
        <f>IF(I16&lt;&gt;"",_xlfn.XLOOKUP(D$4+I16,A$26:A$145,$C$26:$C$145,0) * 1000,"")</f>
        <v>102.8840169436248</v>
      </c>
      <c r="T16" s="52">
        <f t="shared" ref="T16:T80" si="29">$C$13</f>
        <v>0</v>
      </c>
      <c r="U16" s="53">
        <f t="shared" si="12"/>
        <v>0.56217864890504865</v>
      </c>
      <c r="V16" s="53">
        <f t="shared" si="13"/>
        <v>5.7839197639291122E-2</v>
      </c>
      <c r="W16" s="53">
        <f t="shared" si="14"/>
        <v>0</v>
      </c>
      <c r="X16" s="46">
        <f t="shared" si="5"/>
        <v>0.50433945126575752</v>
      </c>
      <c r="Y16" s="54"/>
      <c r="Z16" s="41">
        <f t="shared" si="15"/>
        <v>563354.72663855797</v>
      </c>
      <c r="AA16" s="41">
        <f t="shared" si="16"/>
        <v>11243.572978100972</v>
      </c>
      <c r="AB16" s="41">
        <f t="shared" si="6"/>
        <v>535803.17227242305</v>
      </c>
      <c r="AC16" s="41">
        <f t="shared" si="7"/>
        <v>10086.789025315151</v>
      </c>
      <c r="AD16" s="54"/>
      <c r="AE16" s="41">
        <f t="shared" si="8"/>
        <v>0</v>
      </c>
      <c r="AF16" s="41"/>
      <c r="AG16" s="41">
        <f t="shared" si="9"/>
        <v>-12.608486281643938</v>
      </c>
      <c r="AH16" s="41">
        <f t="shared" si="17"/>
        <v>-115678.39527858225</v>
      </c>
      <c r="AI16" s="41">
        <f t="shared" si="18"/>
        <v>0</v>
      </c>
      <c r="AJ16" s="41">
        <f t="shared" si="19"/>
        <v>-115691.0037648639</v>
      </c>
      <c r="AK16" s="41">
        <f t="shared" si="10"/>
        <v>27551.554366134922</v>
      </c>
      <c r="AL16" s="41">
        <f t="shared" si="20"/>
        <v>22983.931984666357</v>
      </c>
      <c r="AM16" s="41">
        <f t="shared" si="21"/>
        <v>-65155.517414062619</v>
      </c>
      <c r="AN16" s="41">
        <f t="shared" si="11"/>
        <v>1156.7839527858214</v>
      </c>
      <c r="AO16" s="41">
        <f t="shared" si="22"/>
        <v>-63998.733461276795</v>
      </c>
      <c r="AP16" s="45"/>
      <c r="AQ16" s="45"/>
      <c r="AR16" s="48"/>
      <c r="AS16" s="48"/>
      <c r="AT16" s="51">
        <f t="shared" si="23"/>
        <v>12</v>
      </c>
      <c r="AU16" s="49">
        <f t="shared" si="24"/>
        <v>0.56217864890504865</v>
      </c>
      <c r="AV16" s="49">
        <f t="shared" si="25"/>
        <v>5.7839197639291122E-2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531.19299999999998</v>
      </c>
      <c r="AX16" s="50">
        <f>IF(ISERROR(ROUND(MAX(0,1000*NPV($AT$2,$AV17:$AV$124)-$AW$2*($AU17+NPV($AT$2,$AU18:$AU$124)))/AU17,3)), 0, ROUND(MAX(0,1000*NPV($AT$2,$AV17:$AV$124)-$AW$2*($AU17+NPV($AT$2,$AU18:$AU$124)))/AU17,3))</f>
        <v>398.89699999999999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6"/>
        <v/>
      </c>
      <c r="L17" s="42">
        <f t="shared" si="27"/>
        <v>25</v>
      </c>
      <c r="M17" s="41">
        <f t="shared" si="28"/>
        <v>2000000</v>
      </c>
      <c r="N17" s="43">
        <f t="shared" si="1"/>
        <v>433.58600000000001</v>
      </c>
      <c r="O17" s="44">
        <f t="shared" si="2"/>
        <v>559.95299999999997</v>
      </c>
      <c r="P17" s="41">
        <f t="shared" si="3"/>
        <v>867172</v>
      </c>
      <c r="Q17" s="41">
        <f t="shared" si="4"/>
        <v>1119906</v>
      </c>
      <c r="R17" s="44"/>
      <c r="S17" s="44">
        <f>IF(I17&lt;&gt;"",_xlfn.XLOOKUP(D$4+I17,A$26:A$145,$C$26:$C$145,0) * 1000,"")</f>
        <v>115.50017604468339</v>
      </c>
      <c r="T17" s="52">
        <f t="shared" si="29"/>
        <v>0</v>
      </c>
      <c r="U17" s="53">
        <f t="shared" si="12"/>
        <v>0.50433945126575752</v>
      </c>
      <c r="V17" s="53">
        <f t="shared" si="13"/>
        <v>5.8251295407474007E-2</v>
      </c>
      <c r="W17" s="53">
        <f t="shared" si="14"/>
        <v>0</v>
      </c>
      <c r="X17" s="46">
        <f t="shared" si="5"/>
        <v>0.44608815585828354</v>
      </c>
      <c r="Y17" s="54"/>
      <c r="Z17" s="41">
        <f t="shared" si="15"/>
        <v>535803.17227242305</v>
      </c>
      <c r="AA17" s="41">
        <f t="shared" si="16"/>
        <v>10086.789025315151</v>
      </c>
      <c r="AB17" s="41">
        <f t="shared" si="6"/>
        <v>499576.80227462691</v>
      </c>
      <c r="AC17" s="41">
        <f t="shared" si="7"/>
        <v>8921.7631171656703</v>
      </c>
      <c r="AD17" s="54"/>
      <c r="AE17" s="41">
        <f t="shared" si="8"/>
        <v>0</v>
      </c>
      <c r="AF17" s="41"/>
      <c r="AG17" s="41">
        <f t="shared" si="9"/>
        <v>-11.152203896457088</v>
      </c>
      <c r="AH17" s="41">
        <f t="shared" si="17"/>
        <v>-116502.59081494801</v>
      </c>
      <c r="AI17" s="41">
        <f t="shared" si="18"/>
        <v>0</v>
      </c>
      <c r="AJ17" s="41">
        <f t="shared" si="19"/>
        <v>-116513.74301884447</v>
      </c>
      <c r="AK17" s="41">
        <f t="shared" si="10"/>
        <v>36226.369997796137</v>
      </c>
      <c r="AL17" s="41">
        <f t="shared" si="20"/>
        <v>21835.598451909529</v>
      </c>
      <c r="AM17" s="41">
        <f t="shared" si="21"/>
        <v>-58451.774569138805</v>
      </c>
      <c r="AN17" s="41">
        <f t="shared" si="11"/>
        <v>1165.0259081494805</v>
      </c>
      <c r="AO17" s="41">
        <f t="shared" si="22"/>
        <v>-57286.748660989324</v>
      </c>
      <c r="AP17" s="45"/>
      <c r="AQ17" s="45"/>
      <c r="AR17" s="48"/>
      <c r="AS17" s="48"/>
      <c r="AT17" s="51">
        <f t="shared" si="23"/>
        <v>13</v>
      </c>
      <c r="AU17" s="49">
        <f t="shared" si="24"/>
        <v>0.50433945126575752</v>
      </c>
      <c r="AV17" s="49">
        <f t="shared" si="25"/>
        <v>5.8251295407474007E-2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559.95299999999997</v>
      </c>
      <c r="AX17" s="50">
        <f>IF(ISERROR(ROUND(MAX(0,1000*NPV($AT$2,$AV18:$AV$124)-$AW$2*($AU18+NPV($AT$2,$AU19:$AU$124)))/AU18,3)), 0, ROUND(MAX(0,1000*NPV($AT$2,$AV18:$AV$124)-$AW$2*($AU18+NPV($AT$2,$AU19:$AU$124)))/AU18,3))</f>
        <v>433.58600000000001</v>
      </c>
    </row>
    <row r="18" spans="1:50" ht="15" x14ac:dyDescent="0.25">
      <c r="A18" s="12" t="s">
        <v>10</v>
      </c>
      <c r="B18" s="14"/>
      <c r="C18" s="3"/>
      <c r="D18" s="1"/>
      <c r="E18" s="1" t="s">
        <v>74</v>
      </c>
      <c r="F18" s="61">
        <v>0.05</v>
      </c>
      <c r="G18" s="1"/>
      <c r="H18" s="1"/>
      <c r="I18" s="51">
        <v>14</v>
      </c>
      <c r="J18" s="41"/>
      <c r="K18" s="41" t="str">
        <f t="shared" si="26"/>
        <v/>
      </c>
      <c r="L18" s="42">
        <f t="shared" si="27"/>
        <v>25</v>
      </c>
      <c r="M18" s="41">
        <f t="shared" si="28"/>
        <v>2000000</v>
      </c>
      <c r="N18" s="43">
        <f t="shared" si="1"/>
        <v>466.78100000000001</v>
      </c>
      <c r="O18" s="44">
        <f t="shared" si="2"/>
        <v>587.28599999999994</v>
      </c>
      <c r="P18" s="41">
        <f t="shared" si="3"/>
        <v>933562</v>
      </c>
      <c r="Q18" s="41">
        <f t="shared" si="4"/>
        <v>1174572</v>
      </c>
      <c r="R18" s="44"/>
      <c r="S18" s="44">
        <f>IF(I18&lt;&gt;"",_xlfn.XLOOKUP(D$4+I18,A$26:A$145,$C$26:$C$145,0) * 1000,"")</f>
        <v>129.39504678491582</v>
      </c>
      <c r="T18" s="52">
        <f t="shared" si="29"/>
        <v>0</v>
      </c>
      <c r="U18" s="53">
        <f t="shared" si="12"/>
        <v>0.44608815585828354</v>
      </c>
      <c r="V18" s="53">
        <f t="shared" si="13"/>
        <v>5.7721597797479415E-2</v>
      </c>
      <c r="W18" s="53">
        <f t="shared" si="14"/>
        <v>0</v>
      </c>
      <c r="X18" s="46">
        <f t="shared" si="5"/>
        <v>0.38836655806080411</v>
      </c>
      <c r="Y18" s="54"/>
      <c r="Z18" s="41">
        <f t="shared" si="15"/>
        <v>499576.80227462691</v>
      </c>
      <c r="AA18" s="41">
        <f t="shared" si="16"/>
        <v>8921.7631171656703</v>
      </c>
      <c r="AB18" s="41">
        <f t="shared" si="6"/>
        <v>456164.48483459483</v>
      </c>
      <c r="AC18" s="41">
        <f t="shared" si="7"/>
        <v>7767.3311612160824</v>
      </c>
      <c r="AD18" s="54"/>
      <c r="AE18" s="41">
        <f t="shared" si="8"/>
        <v>0</v>
      </c>
      <c r="AF18" s="41"/>
      <c r="AG18" s="41">
        <f t="shared" si="9"/>
        <v>-9.709163951520102</v>
      </c>
      <c r="AH18" s="41">
        <f t="shared" si="17"/>
        <v>-115443.19559495883</v>
      </c>
      <c r="AI18" s="41">
        <f t="shared" si="18"/>
        <v>0</v>
      </c>
      <c r="AJ18" s="41">
        <f t="shared" si="19"/>
        <v>-115452.90475891034</v>
      </c>
      <c r="AK18" s="41">
        <f t="shared" si="10"/>
        <v>43412.317440032086</v>
      </c>
      <c r="AL18" s="41">
        <f t="shared" si="20"/>
        <v>20339.942615671702</v>
      </c>
      <c r="AM18" s="41">
        <f t="shared" si="21"/>
        <v>-51700.644703206555</v>
      </c>
      <c r="AN18" s="41">
        <f t="shared" si="11"/>
        <v>1154.431955949588</v>
      </c>
      <c r="AO18" s="41">
        <f t="shared" si="22"/>
        <v>-50546.21274725697</v>
      </c>
      <c r="AP18" s="45"/>
      <c r="AQ18" s="45"/>
      <c r="AR18" s="48"/>
      <c r="AS18" s="48"/>
      <c r="AT18" s="51">
        <f t="shared" si="23"/>
        <v>14</v>
      </c>
      <c r="AU18" s="49">
        <f t="shared" si="24"/>
        <v>0.44608815585828354</v>
      </c>
      <c r="AV18" s="49">
        <f t="shared" si="25"/>
        <v>5.7721597797479415E-2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587.28599999999994</v>
      </c>
      <c r="AX18" s="50">
        <f>IF(ISERROR(ROUND(MAX(0,1000*NPV($AT$2,$AV19:$AV$124)-$AW$2*($AU19+NPV($AT$2,$AU20:$AU$124)))/AU19,3)), 0, ROUND(MAX(0,1000*NPV($AT$2,$AV19:$AV$124)-$AW$2*($AU19+NPV($AT$2,$AU20:$AU$124)))/AU19,3))</f>
        <v>466.78100000000001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6"/>
        <v/>
      </c>
      <c r="L19" s="42">
        <f t="shared" si="27"/>
        <v>25</v>
      </c>
      <c r="M19" s="41">
        <f t="shared" si="28"/>
        <v>2000000</v>
      </c>
      <c r="N19" s="43">
        <f t="shared" si="1"/>
        <v>498.56200000000001</v>
      </c>
      <c r="O19" s="44">
        <f t="shared" si="2"/>
        <v>613.27700000000004</v>
      </c>
      <c r="P19" s="41">
        <f t="shared" si="3"/>
        <v>997124</v>
      </c>
      <c r="Q19" s="41">
        <f t="shared" si="4"/>
        <v>1226554</v>
      </c>
      <c r="R19" s="44"/>
      <c r="S19" s="44">
        <f>IF(I19&lt;&gt;"",_xlfn.XLOOKUP(D$4+I19,A$26:A$145,$C$26:$C$145,0) * 1000,"")</f>
        <v>144.3881087964028</v>
      </c>
      <c r="T19" s="52">
        <f t="shared" si="29"/>
        <v>0</v>
      </c>
      <c r="U19" s="53">
        <f t="shared" si="12"/>
        <v>0.38836655806080411</v>
      </c>
      <c r="V19" s="53">
        <f t="shared" si="13"/>
        <v>5.6075512838167869E-2</v>
      </c>
      <c r="W19" s="53">
        <f t="shared" si="14"/>
        <v>0</v>
      </c>
      <c r="X19" s="46">
        <f t="shared" si="5"/>
        <v>0.33229104522263625</v>
      </c>
      <c r="Y19" s="54"/>
      <c r="Z19" s="41">
        <f t="shared" si="15"/>
        <v>456164.48483459483</v>
      </c>
      <c r="AA19" s="41">
        <f t="shared" si="16"/>
        <v>7767.3311612160824</v>
      </c>
      <c r="AB19" s="41">
        <f t="shared" si="6"/>
        <v>407572.9106820054</v>
      </c>
      <c r="AC19" s="41">
        <f t="shared" si="7"/>
        <v>6645.8209044527248</v>
      </c>
      <c r="AD19" s="54"/>
      <c r="AE19" s="41">
        <f t="shared" si="8"/>
        <v>0</v>
      </c>
      <c r="AF19" s="41"/>
      <c r="AG19" s="41">
        <f t="shared" si="9"/>
        <v>-8.3072761305659064</v>
      </c>
      <c r="AH19" s="41">
        <f t="shared" si="17"/>
        <v>-112151.02567633573</v>
      </c>
      <c r="AI19" s="41">
        <f t="shared" si="18"/>
        <v>0</v>
      </c>
      <c r="AJ19" s="41">
        <f t="shared" si="19"/>
        <v>-112159.3329524663</v>
      </c>
      <c r="AK19" s="41">
        <f t="shared" si="10"/>
        <v>48591.574152589426</v>
      </c>
      <c r="AL19" s="41">
        <f t="shared" si="20"/>
        <v>18557.272639832438</v>
      </c>
      <c r="AM19" s="41">
        <f t="shared" si="21"/>
        <v>-45010.486160044435</v>
      </c>
      <c r="AN19" s="41">
        <f t="shared" si="11"/>
        <v>1121.5102567633576</v>
      </c>
      <c r="AO19" s="41">
        <f t="shared" si="22"/>
        <v>-43888.975903281076</v>
      </c>
      <c r="AP19" s="45"/>
      <c r="AQ19" s="45"/>
      <c r="AR19" s="48"/>
      <c r="AS19" s="48"/>
      <c r="AT19" s="51">
        <f t="shared" si="23"/>
        <v>15</v>
      </c>
      <c r="AU19" s="49">
        <f t="shared" si="24"/>
        <v>0.38836655806080411</v>
      </c>
      <c r="AV19" s="49">
        <f t="shared" si="25"/>
        <v>5.6075512838167869E-2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613.27700000000004</v>
      </c>
      <c r="AX19" s="50">
        <f>IF(ISERROR(ROUND(MAX(0,1000*NPV($AT$2,$AV20:$AV$124)-$AW$2*($AU20+NPV($AT$2,$AU21:$AU$124)))/AU20,3)), 0, ROUND(MAX(0,1000*NPV($AT$2,$AV20:$AV$124)-$AW$2*($AU20+NPV($AT$2,$AU21:$AU$124)))/AU20,3))</f>
        <v>498.56200000000001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/>
      <c r="G20" s="1"/>
      <c r="H20" s="1"/>
      <c r="I20" s="51">
        <v>16</v>
      </c>
      <c r="J20" s="41"/>
      <c r="K20" s="41" t="str">
        <f t="shared" si="26"/>
        <v/>
      </c>
      <c r="L20" s="42">
        <f t="shared" si="27"/>
        <v>25</v>
      </c>
      <c r="M20" s="41">
        <f t="shared" si="28"/>
        <v>2000000</v>
      </c>
      <c r="N20" s="43">
        <f t="shared" si="1"/>
        <v>528.976</v>
      </c>
      <c r="O20" s="44">
        <f t="shared" si="2"/>
        <v>637.98299999999995</v>
      </c>
      <c r="P20" s="41">
        <f t="shared" si="3"/>
        <v>1057952</v>
      </c>
      <c r="Q20" s="41">
        <f t="shared" si="4"/>
        <v>1275966</v>
      </c>
      <c r="R20" s="44"/>
      <c r="S20" s="44">
        <f>IF(I20&lt;&gt;"",_xlfn.XLOOKUP(D$4+I20,A$26:A$145,$C$26:$C$145,0) * 1000,"")</f>
        <v>160.66183853278051</v>
      </c>
      <c r="T20" s="52">
        <f t="shared" si="29"/>
        <v>0</v>
      </c>
      <c r="U20" s="53">
        <f t="shared" si="12"/>
        <v>0.33229104522263625</v>
      </c>
      <c r="V20" s="53">
        <f t="shared" si="13"/>
        <v>5.3386490253448049E-2</v>
      </c>
      <c r="W20" s="53">
        <f t="shared" si="14"/>
        <v>0</v>
      </c>
      <c r="X20" s="46">
        <f t="shared" si="5"/>
        <v>0.2789045549691882</v>
      </c>
      <c r="Y20" s="54"/>
      <c r="Z20" s="41">
        <f t="shared" si="15"/>
        <v>407572.9106820054</v>
      </c>
      <c r="AA20" s="41">
        <f t="shared" si="16"/>
        <v>6645.8209044527248</v>
      </c>
      <c r="AB20" s="41">
        <f t="shared" si="6"/>
        <v>355872.72938581521</v>
      </c>
      <c r="AC20" s="41">
        <f t="shared" si="7"/>
        <v>5578.0910993837642</v>
      </c>
      <c r="AD20" s="54"/>
      <c r="AE20" s="41">
        <f t="shared" si="8"/>
        <v>0</v>
      </c>
      <c r="AF20" s="41"/>
      <c r="AG20" s="41">
        <f t="shared" si="9"/>
        <v>-6.9726138742297046</v>
      </c>
      <c r="AH20" s="41">
        <f t="shared" si="17"/>
        <v>-106772.9805068961</v>
      </c>
      <c r="AI20" s="41">
        <f t="shared" si="18"/>
        <v>0</v>
      </c>
      <c r="AJ20" s="41">
        <f t="shared" si="19"/>
        <v>-106779.95312077033</v>
      </c>
      <c r="AK20" s="41">
        <f t="shared" si="10"/>
        <v>51700.181296190189</v>
      </c>
      <c r="AL20" s="41">
        <f t="shared" si="20"/>
        <v>16568.749263458325</v>
      </c>
      <c r="AM20" s="41">
        <f t="shared" si="21"/>
        <v>-38511.022561121812</v>
      </c>
      <c r="AN20" s="41">
        <f t="shared" si="11"/>
        <v>1067.7298050689606</v>
      </c>
      <c r="AO20" s="41">
        <f t="shared" si="22"/>
        <v>-37443.292756052848</v>
      </c>
      <c r="AP20" s="45"/>
      <c r="AQ20" s="45"/>
      <c r="AR20" s="48"/>
      <c r="AS20" s="48"/>
      <c r="AT20" s="51">
        <f t="shared" si="23"/>
        <v>16</v>
      </c>
      <c r="AU20" s="49">
        <f t="shared" si="24"/>
        <v>0.33229104522263625</v>
      </c>
      <c r="AV20" s="49">
        <f t="shared" si="25"/>
        <v>5.3386490253448049E-2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637.98299999999995</v>
      </c>
      <c r="AX20" s="50">
        <f>IF(ISERROR(ROUND(MAX(0,1000*NPV($AT$2,$AV21:$AV$124)-$AW$2*($AU21+NPV($AT$2,$AU22:$AU$124)))/AU21,3)), 0, ROUND(MAX(0,1000*NPV($AT$2,$AV21:$AV$124)-$AW$2*($AU21+NPV($AT$2,$AU22:$AU$124)))/AU21,3))</f>
        <v>528.976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6"/>
        <v/>
      </c>
      <c r="L21" s="42">
        <f t="shared" si="27"/>
        <v>25</v>
      </c>
      <c r="M21" s="41">
        <f t="shared" si="28"/>
        <v>2000000</v>
      </c>
      <c r="N21" s="43">
        <f t="shared" si="1"/>
        <v>557.87699999999995</v>
      </c>
      <c r="O21" s="44">
        <f t="shared" si="2"/>
        <v>661.31200000000001</v>
      </c>
      <c r="P21" s="41">
        <f t="shared" si="3"/>
        <v>1115754</v>
      </c>
      <c r="Q21" s="41">
        <f t="shared" si="4"/>
        <v>1322624</v>
      </c>
      <c r="R21" s="44"/>
      <c r="S21" s="44">
        <f>IF(I21&lt;&gt;"",_xlfn.XLOOKUP(D$4+I21,A$26:A$145,$C$26:$C$145,0) * 1000,"")</f>
        <v>178.7127563776221</v>
      </c>
      <c r="T21" s="52">
        <f t="shared" si="29"/>
        <v>0</v>
      </c>
      <c r="U21" s="53">
        <f t="shared" si="12"/>
        <v>0.2789045549691882</v>
      </c>
      <c r="V21" s="53">
        <f t="shared" si="13"/>
        <v>4.9843801784817642E-2</v>
      </c>
      <c r="W21" s="53">
        <f t="shared" si="14"/>
        <v>0</v>
      </c>
      <c r="X21" s="46">
        <f t="shared" si="5"/>
        <v>0.22906075318437055</v>
      </c>
      <c r="Y21" s="54"/>
      <c r="Z21" s="41">
        <f t="shared" si="15"/>
        <v>355872.72938581521</v>
      </c>
      <c r="AA21" s="41">
        <f t="shared" si="16"/>
        <v>5578.0910993837642</v>
      </c>
      <c r="AB21" s="41">
        <f t="shared" si="6"/>
        <v>302961.24961972493</v>
      </c>
      <c r="AC21" s="41">
        <f t="shared" si="7"/>
        <v>4581.2150636874112</v>
      </c>
      <c r="AD21" s="54"/>
      <c r="AE21" s="41">
        <f t="shared" si="8"/>
        <v>0</v>
      </c>
      <c r="AF21" s="41"/>
      <c r="AG21" s="41">
        <f t="shared" si="9"/>
        <v>-5.7265188296092635</v>
      </c>
      <c r="AH21" s="41">
        <f t="shared" si="17"/>
        <v>-99687.603569635277</v>
      </c>
      <c r="AI21" s="41">
        <f t="shared" si="18"/>
        <v>0</v>
      </c>
      <c r="AJ21" s="41">
        <f t="shared" si="19"/>
        <v>-99693.330088464892</v>
      </c>
      <c r="AK21" s="41">
        <f t="shared" si="10"/>
        <v>52911.479766090284</v>
      </c>
      <c r="AL21" s="41">
        <f t="shared" si="20"/>
        <v>14458.032819407959</v>
      </c>
      <c r="AM21" s="41">
        <f t="shared" si="21"/>
        <v>-32323.817502966649</v>
      </c>
      <c r="AN21" s="41">
        <f t="shared" si="11"/>
        <v>996.87603569635303</v>
      </c>
      <c r="AO21" s="41">
        <f t="shared" si="22"/>
        <v>-31326.941467270295</v>
      </c>
      <c r="AP21" s="45"/>
      <c r="AQ21" s="45"/>
      <c r="AR21" s="48"/>
      <c r="AS21" s="48"/>
      <c r="AT21" s="51">
        <f t="shared" si="23"/>
        <v>17</v>
      </c>
      <c r="AU21" s="49">
        <f t="shared" si="24"/>
        <v>0.2789045549691882</v>
      </c>
      <c r="AV21" s="49">
        <f t="shared" si="25"/>
        <v>4.9843801784817642E-2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661.31200000000001</v>
      </c>
      <c r="AX21" s="50">
        <f>IF(ISERROR(ROUND(MAX(0,1000*NPV($AT$2,$AV22:$AV$124)-$AW$2*($AU22+NPV($AT$2,$AU23:$AU$124)))/AU22,3)), 0, ROUND(MAX(0,1000*NPV($AT$2,$AV22:$AV$124)-$AW$2*($AU22+NPV($AT$2,$AU23:$AU$124)))/AU22,3))</f>
        <v>557.87699999999995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6"/>
        <v/>
      </c>
      <c r="L22" s="42">
        <f t="shared" si="27"/>
        <v>25</v>
      </c>
      <c r="M22" s="41">
        <f t="shared" si="28"/>
        <v>2000000</v>
      </c>
      <c r="N22" s="43">
        <f t="shared" si="1"/>
        <v>585.09500000000003</v>
      </c>
      <c r="O22" s="44">
        <f t="shared" si="2"/>
        <v>683.154</v>
      </c>
      <c r="P22" s="41">
        <f t="shared" si="3"/>
        <v>1170190</v>
      </c>
      <c r="Q22" s="41">
        <f t="shared" si="4"/>
        <v>1366308</v>
      </c>
      <c r="R22" s="44"/>
      <c r="S22" s="44">
        <f>IF(I22&lt;&gt;"",_xlfn.XLOOKUP(D$4+I22,A$26:A$145,$C$26:$C$145,0) * 1000,"")</f>
        <v>198.67229387817585</v>
      </c>
      <c r="T22" s="52">
        <f t="shared" si="29"/>
        <v>0</v>
      </c>
      <c r="U22" s="53">
        <f t="shared" si="12"/>
        <v>0.22906075318437055</v>
      </c>
      <c r="V22" s="53">
        <f t="shared" si="13"/>
        <v>4.5508025272601574E-2</v>
      </c>
      <c r="W22" s="53">
        <f t="shared" si="14"/>
        <v>0</v>
      </c>
      <c r="X22" s="46">
        <f t="shared" si="5"/>
        <v>0.18355272791176896</v>
      </c>
      <c r="Y22" s="54"/>
      <c r="Z22" s="41">
        <f t="shared" si="15"/>
        <v>302961.24961972493</v>
      </c>
      <c r="AA22" s="41">
        <f t="shared" si="16"/>
        <v>4581.2150636874112</v>
      </c>
      <c r="AB22" s="41">
        <f t="shared" si="6"/>
        <v>250789.56056767324</v>
      </c>
      <c r="AC22" s="41">
        <f t="shared" si="7"/>
        <v>3671.0545582353793</v>
      </c>
      <c r="AD22" s="54"/>
      <c r="AE22" s="41">
        <f t="shared" si="8"/>
        <v>0</v>
      </c>
      <c r="AF22" s="41"/>
      <c r="AG22" s="41">
        <f t="shared" si="9"/>
        <v>-4.5888181977942244</v>
      </c>
      <c r="AH22" s="41">
        <f t="shared" si="17"/>
        <v>-91016.05054520315</v>
      </c>
      <c r="AI22" s="41">
        <f t="shared" si="18"/>
        <v>0</v>
      </c>
      <c r="AJ22" s="41">
        <f t="shared" si="19"/>
        <v>-91020.639363400944</v>
      </c>
      <c r="AK22" s="41">
        <f t="shared" si="10"/>
        <v>52171.68905205169</v>
      </c>
      <c r="AL22" s="41">
        <f t="shared" si="20"/>
        <v>12301.698587336494</v>
      </c>
      <c r="AM22" s="41">
        <f t="shared" si="21"/>
        <v>-26547.25172401276</v>
      </c>
      <c r="AN22" s="41">
        <f t="shared" si="11"/>
        <v>910.16050545203188</v>
      </c>
      <c r="AO22" s="41">
        <f t="shared" si="22"/>
        <v>-25637.091218560727</v>
      </c>
      <c r="AP22" s="45"/>
      <c r="AQ22" s="45"/>
      <c r="AR22" s="48"/>
      <c r="AS22" s="48"/>
      <c r="AT22" s="51">
        <f t="shared" si="23"/>
        <v>18</v>
      </c>
      <c r="AU22" s="49">
        <f t="shared" si="24"/>
        <v>0.22906075318437055</v>
      </c>
      <c r="AV22" s="49">
        <f t="shared" si="25"/>
        <v>4.5508025272601574E-2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683.154</v>
      </c>
      <c r="AX22" s="50">
        <f>IF(ISERROR(ROUND(MAX(0,1000*NPV($AT$2,$AV23:$AV$124)-$AW$2*($AU23+NPV($AT$2,$AU24:$AU$124)))/AU23,3)), 0, ROUND(MAX(0,1000*NPV($AT$2,$AV23:$AV$124)-$AW$2*($AU23+NPV($AT$2,$AU24:$AU$124)))/AU23,3))</f>
        <v>585.09500000000003</v>
      </c>
    </row>
    <row r="23" spans="1:50" ht="15" x14ac:dyDescent="0.25">
      <c r="B23" s="1"/>
      <c r="C23" s="1"/>
      <c r="D23" s="1"/>
      <c r="F23" s="1"/>
      <c r="G23" s="1"/>
      <c r="H23" s="1"/>
      <c r="I23" s="51">
        <v>19</v>
      </c>
      <c r="J23" s="41"/>
      <c r="K23" s="41" t="str">
        <f t="shared" si="26"/>
        <v/>
      </c>
      <c r="L23" s="42">
        <f t="shared" si="27"/>
        <v>25</v>
      </c>
      <c r="M23" s="41">
        <f t="shared" si="28"/>
        <v>2000000</v>
      </c>
      <c r="N23" s="43">
        <f t="shared" si="1"/>
        <v>610.35299999999995</v>
      </c>
      <c r="O23" s="44">
        <f t="shared" si="2"/>
        <v>703.31799999999998</v>
      </c>
      <c r="P23" s="41">
        <f t="shared" si="3"/>
        <v>1220706</v>
      </c>
      <c r="Q23" s="41">
        <f t="shared" si="4"/>
        <v>1406636</v>
      </c>
      <c r="R23" s="44"/>
      <c r="S23" s="44">
        <f>IF(I23&lt;&gt;"",_xlfn.XLOOKUP(D$4+I23,A$26:A$145,$C$26:$C$145,0) * 1000,"")</f>
        <v>220.77483308048815</v>
      </c>
      <c r="T23" s="52">
        <f t="shared" si="29"/>
        <v>0</v>
      </c>
      <c r="U23" s="53">
        <f t="shared" si="12"/>
        <v>0.18355272791176896</v>
      </c>
      <c r="V23" s="53">
        <f t="shared" si="13"/>
        <v>4.0523822866189052E-2</v>
      </c>
      <c r="W23" s="53">
        <f t="shared" si="14"/>
        <v>0</v>
      </c>
      <c r="X23" s="46">
        <f t="shared" si="5"/>
        <v>0.14302890504557991</v>
      </c>
      <c r="Y23" s="54"/>
      <c r="Z23" s="41">
        <f t="shared" si="15"/>
        <v>250789.56056767324</v>
      </c>
      <c r="AA23" s="41">
        <f t="shared" si="16"/>
        <v>3671.0545582353793</v>
      </c>
      <c r="AB23" s="41">
        <f t="shared" si="6"/>
        <v>201189.60687769434</v>
      </c>
      <c r="AC23" s="41">
        <f t="shared" si="7"/>
        <v>2860.5781009115981</v>
      </c>
      <c r="AD23" s="54"/>
      <c r="AE23" s="41">
        <f t="shared" si="8"/>
        <v>0</v>
      </c>
      <c r="AF23" s="41"/>
      <c r="AG23" s="41">
        <f t="shared" si="9"/>
        <v>-3.5757226261394979</v>
      </c>
      <c r="AH23" s="41">
        <f t="shared" si="17"/>
        <v>-81047.645732378107</v>
      </c>
      <c r="AI23" s="41">
        <f t="shared" si="18"/>
        <v>0</v>
      </c>
      <c r="AJ23" s="41">
        <f t="shared" si="19"/>
        <v>-81051.221455004241</v>
      </c>
      <c r="AK23" s="41">
        <f t="shared" si="10"/>
        <v>49599.953689978895</v>
      </c>
      <c r="AL23" s="41">
        <f t="shared" si="20"/>
        <v>10178.424605036344</v>
      </c>
      <c r="AM23" s="41">
        <f t="shared" si="21"/>
        <v>-21272.843159989003</v>
      </c>
      <c r="AN23" s="41">
        <f t="shared" si="11"/>
        <v>810.47645732378123</v>
      </c>
      <c r="AO23" s="41">
        <f t="shared" si="22"/>
        <v>-20462.366702665222</v>
      </c>
      <c r="AP23" s="45"/>
      <c r="AQ23" s="45"/>
      <c r="AR23" s="48"/>
      <c r="AS23" s="48"/>
      <c r="AT23" s="51">
        <f t="shared" si="23"/>
        <v>19</v>
      </c>
      <c r="AU23" s="49">
        <f t="shared" si="24"/>
        <v>0.18355272791176896</v>
      </c>
      <c r="AV23" s="49">
        <f t="shared" si="25"/>
        <v>4.0523822866189052E-2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703.31799999999998</v>
      </c>
      <c r="AX23" s="50">
        <f>IF(ISERROR(ROUND(MAX(0,1000*NPV($AT$2,$AV24:$AV$124)-$AW$2*($AU24+NPV($AT$2,$AU25:$AU$124)))/AU24,3)), 0, ROUND(MAX(0,1000*NPV($AT$2,$AV24:$AV$124)-$AW$2*($AU24+NPV($AT$2,$AU25:$AU$124)))/AU24,3))</f>
        <v>610.35299999999995</v>
      </c>
    </row>
    <row r="24" spans="1:50" ht="15" x14ac:dyDescent="0.25">
      <c r="A24" t="s">
        <v>64</v>
      </c>
      <c r="B24" s="1"/>
      <c r="C24" s="1"/>
      <c r="D24" s="1"/>
      <c r="E24" t="s">
        <v>70</v>
      </c>
      <c r="F24" s="1"/>
      <c r="G24" s="1"/>
      <c r="H24" s="1"/>
      <c r="I24" s="51">
        <v>20</v>
      </c>
      <c r="J24" s="41"/>
      <c r="K24" s="41" t="str">
        <f t="shared" si="26"/>
        <v/>
      </c>
      <c r="L24" s="42">
        <f t="shared" si="27"/>
        <v>25</v>
      </c>
      <c r="M24" s="41">
        <f t="shared" si="28"/>
        <v>2000000</v>
      </c>
      <c r="N24" s="43">
        <f t="shared" si="1"/>
        <v>633.71299999999997</v>
      </c>
      <c r="O24" s="44">
        <f t="shared" si="2"/>
        <v>721.88</v>
      </c>
      <c r="P24" s="41">
        <f t="shared" si="3"/>
        <v>1267426</v>
      </c>
      <c r="Q24" s="41">
        <f t="shared" si="4"/>
        <v>1443760</v>
      </c>
      <c r="R24" s="44"/>
      <c r="S24" s="44">
        <f>IF(I24&lt;&gt;"",_xlfn.XLOOKUP(D$4+I24,A$26:A$145,$C$26:$C$145,0) * 1000,"")</f>
        <v>244.17044366266435</v>
      </c>
      <c r="T24" s="52">
        <f t="shared" si="29"/>
        <v>0</v>
      </c>
      <c r="U24" s="53">
        <f t="shared" si="12"/>
        <v>0.14302890504557991</v>
      </c>
      <c r="V24" s="53">
        <f t="shared" si="13"/>
        <v>3.4923431201564339E-2</v>
      </c>
      <c r="W24" s="53">
        <f t="shared" si="14"/>
        <v>0</v>
      </c>
      <c r="X24" s="46">
        <f t="shared" si="5"/>
        <v>0.10810547384401557</v>
      </c>
      <c r="Y24" s="54"/>
      <c r="Z24" s="41">
        <f t="shared" si="15"/>
        <v>201189.60687769434</v>
      </c>
      <c r="AA24" s="41">
        <f t="shared" si="16"/>
        <v>2860.5781009115981</v>
      </c>
      <c r="AB24" s="41">
        <f t="shared" si="6"/>
        <v>156078.35891703592</v>
      </c>
      <c r="AC24" s="41">
        <f t="shared" si="7"/>
        <v>2162.1094768803114</v>
      </c>
      <c r="AD24" s="54"/>
      <c r="AE24" s="41">
        <f t="shared" si="8"/>
        <v>0</v>
      </c>
      <c r="AF24" s="41"/>
      <c r="AG24" s="41">
        <f t="shared" si="9"/>
        <v>-2.7026368461003893</v>
      </c>
      <c r="AH24" s="41">
        <f t="shared" si="17"/>
        <v>-69846.862403128674</v>
      </c>
      <c r="AI24" s="41">
        <f t="shared" si="18"/>
        <v>0</v>
      </c>
      <c r="AJ24" s="41">
        <f t="shared" si="19"/>
        <v>-69849.565039974768</v>
      </c>
      <c r="AK24" s="41">
        <f t="shared" si="10"/>
        <v>45111.247960658424</v>
      </c>
      <c r="AL24" s="41">
        <f t="shared" si="20"/>
        <v>8162.0073991442378</v>
      </c>
      <c r="AM24" s="41">
        <f t="shared" si="21"/>
        <v>-16576.309680172108</v>
      </c>
      <c r="AN24" s="41">
        <f t="shared" si="11"/>
        <v>698.46862403128671</v>
      </c>
      <c r="AO24" s="41">
        <f t="shared" si="22"/>
        <v>-15877.84105614082</v>
      </c>
      <c r="AP24" s="45"/>
      <c r="AQ24" s="45"/>
      <c r="AR24" s="48"/>
      <c r="AS24" s="48"/>
      <c r="AT24" s="51">
        <f t="shared" si="23"/>
        <v>20</v>
      </c>
      <c r="AU24" s="49">
        <f t="shared" si="24"/>
        <v>0.14302890504557991</v>
      </c>
      <c r="AV24" s="49">
        <f t="shared" si="25"/>
        <v>3.4923431201564339E-2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721.88</v>
      </c>
      <c r="AX24" s="50">
        <f>IF(ISERROR(ROUND(MAX(0,1000*NPV($AT$2,$AV25:$AV$124)-$AW$2*($AU25+NPV($AT$2,$AU26:$AU$124)))/AU25,3)), 0, ROUND(MAX(0,1000*NPV($AT$2,$AV25:$AV$124)-$AW$2*($AU25+NPV($AT$2,$AU26:$AU$124)))/AU25,3))</f>
        <v>633.71299999999997</v>
      </c>
    </row>
    <row r="25" spans="1:50" ht="15" x14ac:dyDescent="0.25">
      <c r="A25" t="s">
        <v>65</v>
      </c>
      <c r="B25" t="s">
        <v>68</v>
      </c>
      <c r="C25" t="s">
        <v>73</v>
      </c>
      <c r="D25" s="60">
        <v>35</v>
      </c>
      <c r="E25" s="5">
        <v>921039.56471777894</v>
      </c>
      <c r="F25" s="5">
        <v>39332.675952838326</v>
      </c>
      <c r="G25" s="5"/>
      <c r="H25" s="63"/>
      <c r="I25" s="51">
        <v>21</v>
      </c>
      <c r="J25" s="41"/>
      <c r="K25" s="41" t="str">
        <f t="shared" si="26"/>
        <v/>
      </c>
      <c r="L25" s="42">
        <f t="shared" si="27"/>
        <v>25</v>
      </c>
      <c r="M25" s="41">
        <f t="shared" si="28"/>
        <v>2000000</v>
      </c>
      <c r="N25" s="43">
        <f t="shared" si="1"/>
        <v>655.57500000000005</v>
      </c>
      <c r="O25" s="44">
        <f t="shared" si="2"/>
        <v>739.16600000000005</v>
      </c>
      <c r="P25" s="41">
        <f t="shared" si="3"/>
        <v>1311150</v>
      </c>
      <c r="Q25" s="41">
        <f t="shared" si="4"/>
        <v>1478332</v>
      </c>
      <c r="R25" s="44"/>
      <c r="S25" s="44">
        <f>IF(I25&lt;&gt;"",_xlfn.XLOOKUP(D$4+I25,A$26:A$145,$C$26:$C$145,0) * 1000,"")</f>
        <v>268.0881113351773</v>
      </c>
      <c r="T25" s="52">
        <f t="shared" si="29"/>
        <v>0</v>
      </c>
      <c r="U25" s="53">
        <f t="shared" si="12"/>
        <v>0.10810547384401557</v>
      </c>
      <c r="V25" s="53">
        <f t="shared" si="13"/>
        <v>2.8981792307836547E-2</v>
      </c>
      <c r="W25" s="53">
        <f t="shared" si="14"/>
        <v>0</v>
      </c>
      <c r="X25" s="46">
        <f t="shared" si="5"/>
        <v>7.9123681536179019E-2</v>
      </c>
      <c r="Y25" s="54"/>
      <c r="Z25" s="41">
        <f t="shared" si="15"/>
        <v>156078.35891703592</v>
      </c>
      <c r="AA25" s="41">
        <f t="shared" si="16"/>
        <v>2162.1094768803114</v>
      </c>
      <c r="AB25" s="41">
        <f t="shared" si="6"/>
        <v>116971.0703727426</v>
      </c>
      <c r="AC25" s="41">
        <f t="shared" si="7"/>
        <v>1582.4736307235803</v>
      </c>
      <c r="AD25" s="54"/>
      <c r="AE25" s="41">
        <f t="shared" si="8"/>
        <v>0</v>
      </c>
      <c r="AF25" s="41"/>
      <c r="AG25" s="41">
        <f t="shared" si="9"/>
        <v>-1.9780920384044756</v>
      </c>
      <c r="AH25" s="41">
        <f t="shared" si="17"/>
        <v>-57963.584615673091</v>
      </c>
      <c r="AI25" s="41">
        <f t="shared" si="18"/>
        <v>0</v>
      </c>
      <c r="AJ25" s="41">
        <f t="shared" si="19"/>
        <v>-57965.562707711499</v>
      </c>
      <c r="AK25" s="41">
        <f t="shared" si="10"/>
        <v>39107.288544293318</v>
      </c>
      <c r="AL25" s="41">
        <f t="shared" si="20"/>
        <v>6329.6187357566496</v>
      </c>
      <c r="AM25" s="41">
        <f t="shared" si="21"/>
        <v>-12528.655427661532</v>
      </c>
      <c r="AN25" s="41">
        <f t="shared" si="11"/>
        <v>579.63584615673108</v>
      </c>
      <c r="AO25" s="41">
        <f t="shared" si="22"/>
        <v>-11949.019581504801</v>
      </c>
      <c r="AP25" s="45"/>
      <c r="AQ25" s="55"/>
      <c r="AR25" s="48"/>
      <c r="AS25" s="48"/>
      <c r="AT25" s="51">
        <f>AT24+1</f>
        <v>21</v>
      </c>
      <c r="AU25" s="49">
        <f t="shared" si="24"/>
        <v>0.10810547384401557</v>
      </c>
      <c r="AV25" s="49">
        <f t="shared" si="25"/>
        <v>2.8981792307836547E-2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739.16600000000005</v>
      </c>
      <c r="AX25" s="50">
        <f>IF(ISERROR(ROUND(MAX(0,1000*NPV($AT$2,$AV26:$AV$124)-$AW$2*($AU26+NPV($AT$2,$AU27:$AU$124)))/AU26,3)), 0, ROUND(MAX(0,1000*NPV($AT$2,$AV26:$AV$124)-$AW$2*($AU26+NPV($AT$2,$AU27:$AU$124)))/AU26,3))</f>
        <v>655.57500000000005</v>
      </c>
    </row>
    <row r="26" spans="1:50" ht="15" x14ac:dyDescent="0.25">
      <c r="A26">
        <v>1</v>
      </c>
      <c r="B26">
        <v>1.0640775100346399E-2</v>
      </c>
      <c r="C26">
        <f>B26*(1-$F$16)</f>
        <v>1.0002328594325614E-2</v>
      </c>
      <c r="D26" s="60">
        <v>36</v>
      </c>
      <c r="E26" s="5">
        <v>952107.17807919625</v>
      </c>
      <c r="F26" s="5">
        <v>40533.825860676006</v>
      </c>
      <c r="G26" s="8"/>
      <c r="H26" s="63"/>
      <c r="I26" s="51">
        <v>22</v>
      </c>
      <c r="J26" s="41"/>
      <c r="K26" s="41" t="str">
        <f t="shared" si="26"/>
        <v/>
      </c>
      <c r="L26" s="42">
        <f t="shared" si="27"/>
        <v>25</v>
      </c>
      <c r="M26" s="41">
        <f t="shared" si="28"/>
        <v>2000000</v>
      </c>
      <c r="N26" s="43">
        <f t="shared" si="1"/>
        <v>675.95</v>
      </c>
      <c r="O26" s="44">
        <f t="shared" si="2"/>
        <v>755.202</v>
      </c>
      <c r="P26" s="41">
        <f t="shared" si="3"/>
        <v>1351900</v>
      </c>
      <c r="Q26" s="41">
        <f t="shared" si="4"/>
        <v>1510404</v>
      </c>
      <c r="R26" s="44"/>
      <c r="S26" s="44">
        <f>IF(I26&lt;&gt;"",_xlfn.XLOOKUP(D$4+I26,A$26:A$145,$C$26:$C$145,0) * 1000,"")</f>
        <v>293.58347298318876</v>
      </c>
      <c r="T26" s="52">
        <f t="shared" si="29"/>
        <v>0</v>
      </c>
      <c r="U26" s="53">
        <f t="shared" si="12"/>
        <v>7.9123681536179019E-2</v>
      </c>
      <c r="V26" s="53">
        <f t="shared" si="13"/>
        <v>2.3229405220607246E-2</v>
      </c>
      <c r="W26" s="53">
        <f t="shared" si="14"/>
        <v>0</v>
      </c>
      <c r="X26" s="46">
        <f t="shared" si="5"/>
        <v>5.589427631557177E-2</v>
      </c>
      <c r="Y26" s="54"/>
      <c r="Z26" s="41">
        <f t="shared" si="15"/>
        <v>116971.0703727426</v>
      </c>
      <c r="AA26" s="41">
        <f t="shared" si="16"/>
        <v>1582.4736307235803</v>
      </c>
      <c r="AB26" s="41">
        <f t="shared" si="6"/>
        <v>84422.938524144862</v>
      </c>
      <c r="AC26" s="41">
        <f t="shared" si="7"/>
        <v>1117.8855263114353</v>
      </c>
      <c r="AD26" s="54"/>
      <c r="AE26" s="41">
        <f t="shared" si="8"/>
        <v>0</v>
      </c>
      <c r="AF26" s="41"/>
      <c r="AG26" s="41">
        <f t="shared" si="9"/>
        <v>-1.3973569078892942</v>
      </c>
      <c r="AH26" s="41">
        <f t="shared" si="17"/>
        <v>-46458.810441214489</v>
      </c>
      <c r="AI26" s="41">
        <f t="shared" si="18"/>
        <v>0</v>
      </c>
      <c r="AJ26" s="41">
        <f t="shared" si="19"/>
        <v>-46460.207798122377</v>
      </c>
      <c r="AK26" s="41">
        <f t="shared" si="10"/>
        <v>32548.131848597739</v>
      </c>
      <c r="AL26" s="41">
        <f t="shared" si="20"/>
        <v>4742.1417601386474</v>
      </c>
      <c r="AM26" s="41">
        <f t="shared" si="21"/>
        <v>-9169.934189385991</v>
      </c>
      <c r="AN26" s="41">
        <f t="shared" si="11"/>
        <v>464.58810441214496</v>
      </c>
      <c r="AO26" s="41">
        <f t="shared" si="22"/>
        <v>-8705.3460849738458</v>
      </c>
      <c r="AP26" s="45"/>
      <c r="AQ26" s="55"/>
      <c r="AR26" s="48"/>
      <c r="AS26" s="48"/>
      <c r="AT26" s="51">
        <f t="shared" si="23"/>
        <v>22</v>
      </c>
      <c r="AU26" s="49">
        <f t="shared" si="24"/>
        <v>7.9123681536179019E-2</v>
      </c>
      <c r="AV26" s="49">
        <f t="shared" si="25"/>
        <v>2.3229405220607246E-2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755.202</v>
      </c>
      <c r="AX26" s="50">
        <f>IF(ISERROR(ROUND(MAX(0,1000*NPV($AT$2,$AV27:$AV$124)-$AW$2*($AU27+NPV($AT$2,$AU28:$AU$124)))/AU27,3)), 0, ROUND(MAX(0,1000*NPV($AT$2,$AV27:$AV$124)-$AW$2*($AU27+NPV($AT$2,$AU28:$AU$124)))/AU27,3))</f>
        <v>675.95</v>
      </c>
    </row>
    <row r="27" spans="1:50" ht="15" x14ac:dyDescent="0.25">
      <c r="A27">
        <v>2</v>
      </c>
      <c r="B27">
        <v>1.0152077918212899E-3</v>
      </c>
      <c r="C27">
        <f t="shared" ref="C27:C90" si="30">B27*(1-$F$16)</f>
        <v>9.5429532431201244E-4</v>
      </c>
      <c r="D27" s="60">
        <v>37</v>
      </c>
      <c r="E27" s="5">
        <v>983952.87221087515</v>
      </c>
      <c r="F27" s="5">
        <v>41757.401716180437</v>
      </c>
      <c r="G27" s="8"/>
      <c r="H27" s="63"/>
      <c r="I27" s="51">
        <v>23</v>
      </c>
      <c r="J27" s="41"/>
      <c r="K27" s="41" t="str">
        <f t="shared" si="26"/>
        <v/>
      </c>
      <c r="L27" s="42">
        <f t="shared" si="27"/>
        <v>25</v>
      </c>
      <c r="M27" s="41">
        <f t="shared" si="28"/>
        <v>2000000</v>
      </c>
      <c r="N27" s="43">
        <f t="shared" si="1"/>
        <v>694.93399999999997</v>
      </c>
      <c r="O27" s="44">
        <f t="shared" si="2"/>
        <v>770.07600000000002</v>
      </c>
      <c r="P27" s="41">
        <f t="shared" si="3"/>
        <v>1389868</v>
      </c>
      <c r="Q27" s="41">
        <f t="shared" si="4"/>
        <v>1540152</v>
      </c>
      <c r="R27" s="44"/>
      <c r="S27" s="44">
        <f>IF(I27&lt;&gt;"",_xlfn.XLOOKUP(D$4+I27,A$26:A$145,$C$26:$C$145,0) * 1000,"")</f>
        <v>320.41710896760753</v>
      </c>
      <c r="T27" s="52">
        <f t="shared" si="29"/>
        <v>0</v>
      </c>
      <c r="U27" s="53">
        <f t="shared" si="12"/>
        <v>5.589427631557177E-2</v>
      </c>
      <c r="V27" s="53">
        <f t="shared" si="13"/>
        <v>1.7909482424872124E-2</v>
      </c>
      <c r="W27" s="53">
        <f t="shared" si="14"/>
        <v>0</v>
      </c>
      <c r="X27" s="46">
        <f t="shared" si="5"/>
        <v>3.7984793890699642E-2</v>
      </c>
      <c r="Y27" s="54"/>
      <c r="Z27" s="41">
        <f t="shared" si="15"/>
        <v>84422.938524144862</v>
      </c>
      <c r="AA27" s="41">
        <f t="shared" si="16"/>
        <v>1117.8855263114353</v>
      </c>
      <c r="AB27" s="41">
        <f t="shared" si="6"/>
        <v>58502.356280348831</v>
      </c>
      <c r="AC27" s="41">
        <f t="shared" si="7"/>
        <v>759.69587781399287</v>
      </c>
      <c r="AD27" s="54"/>
      <c r="AE27" s="41">
        <f t="shared" si="8"/>
        <v>0</v>
      </c>
      <c r="AF27" s="41"/>
      <c r="AG27" s="41">
        <f t="shared" si="9"/>
        <v>-0.94961984726749105</v>
      </c>
      <c r="AH27" s="41">
        <f t="shared" si="17"/>
        <v>-35818.964849744247</v>
      </c>
      <c r="AI27" s="41">
        <f t="shared" si="18"/>
        <v>0</v>
      </c>
      <c r="AJ27" s="41">
        <f t="shared" si="19"/>
        <v>-35819.914469591517</v>
      </c>
      <c r="AK27" s="41">
        <f t="shared" si="10"/>
        <v>25920.582243796031</v>
      </c>
      <c r="AL27" s="41">
        <f t="shared" si="20"/>
        <v>3421.6329620182519</v>
      </c>
      <c r="AM27" s="41">
        <f t="shared" si="21"/>
        <v>-6477.6992637772346</v>
      </c>
      <c r="AN27" s="41">
        <f t="shared" si="11"/>
        <v>358.18964849744248</v>
      </c>
      <c r="AO27" s="41">
        <f t="shared" si="22"/>
        <v>-6119.5096152797923</v>
      </c>
      <c r="AP27" s="45"/>
      <c r="AQ27" s="55"/>
      <c r="AR27" s="48"/>
      <c r="AS27" s="48"/>
      <c r="AT27" s="51">
        <f t="shared" si="23"/>
        <v>23</v>
      </c>
      <c r="AU27" s="49">
        <f t="shared" si="24"/>
        <v>5.589427631557177E-2</v>
      </c>
      <c r="AV27" s="49">
        <f t="shared" si="25"/>
        <v>1.7909482424872124E-2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770.07600000000002</v>
      </c>
      <c r="AX27" s="50">
        <f>IF(ISERROR(ROUND(MAX(0,1000*NPV($AT$2,$AV28:$AV$124)-$AW$2*($AU28+NPV($AT$2,$AU29:$AU$124)))/AU28,3)), 0, ROUND(MAX(0,1000*NPV($AT$2,$AV28:$AV$124)-$AW$2*($AU28+NPV($AT$2,$AU29:$AU$124)))/AU28,3))</f>
        <v>694.93399999999997</v>
      </c>
    </row>
    <row r="28" spans="1:50" ht="15" x14ac:dyDescent="0.25">
      <c r="A28">
        <v>3</v>
      </c>
      <c r="B28">
        <v>7.2312607255720096E-4</v>
      </c>
      <c r="C28">
        <f t="shared" si="30"/>
        <v>6.7973850820376882E-4</v>
      </c>
      <c r="D28" s="60">
        <v>38</v>
      </c>
      <c r="E28" s="5">
        <v>1016548.1857455447</v>
      </c>
      <c r="F28" s="5">
        <v>43000.769821527996</v>
      </c>
      <c r="G28" s="8"/>
      <c r="H28" s="63"/>
      <c r="I28" s="51">
        <v>24</v>
      </c>
      <c r="J28" s="41"/>
      <c r="K28" s="41" t="str">
        <f t="shared" si="26"/>
        <v/>
      </c>
      <c r="L28" s="42">
        <f t="shared" si="27"/>
        <v>25</v>
      </c>
      <c r="M28" s="41">
        <f t="shared" si="28"/>
        <v>2000000</v>
      </c>
      <c r="N28" s="43">
        <f t="shared" si="1"/>
        <v>712.38900000000001</v>
      </c>
      <c r="O28" s="44">
        <f t="shared" si="2"/>
        <v>783.69600000000003</v>
      </c>
      <c r="P28" s="41">
        <f t="shared" si="3"/>
        <v>1424778</v>
      </c>
      <c r="Q28" s="41">
        <f t="shared" si="4"/>
        <v>1567392</v>
      </c>
      <c r="R28" s="44"/>
      <c r="S28" s="44">
        <f>IF(I28&lt;&gt;"",_xlfn.XLOOKUP(D$4+I28,A$26:A$145,$C$26:$C$145,0) * 1000,"")</f>
        <v>349.14166268772186</v>
      </c>
      <c r="T28" s="52">
        <f t="shared" si="29"/>
        <v>0</v>
      </c>
      <c r="U28" s="53">
        <f t="shared" si="12"/>
        <v>3.7984793890699642E-2</v>
      </c>
      <c r="V28" s="53">
        <f t="shared" si="13"/>
        <v>1.3262074095849292E-2</v>
      </c>
      <c r="W28" s="53">
        <f t="shared" si="14"/>
        <v>0</v>
      </c>
      <c r="X28" s="46">
        <f t="shared" si="5"/>
        <v>2.4722719794850349E-2</v>
      </c>
      <c r="Y28" s="54"/>
      <c r="Z28" s="41">
        <f t="shared" si="15"/>
        <v>58502.356280348831</v>
      </c>
      <c r="AA28" s="41">
        <f t="shared" si="16"/>
        <v>759.69587781399287</v>
      </c>
      <c r="AB28" s="41">
        <f t="shared" si="6"/>
        <v>38750.193224690076</v>
      </c>
      <c r="AC28" s="41">
        <f t="shared" si="7"/>
        <v>494.45439589700698</v>
      </c>
      <c r="AD28" s="54"/>
      <c r="AE28" s="41">
        <f t="shared" si="8"/>
        <v>0</v>
      </c>
      <c r="AF28" s="41"/>
      <c r="AG28" s="41">
        <f t="shared" si="9"/>
        <v>-0.61806799487125874</v>
      </c>
      <c r="AH28" s="41">
        <f t="shared" si="17"/>
        <v>-26524.148191698587</v>
      </c>
      <c r="AI28" s="41">
        <f t="shared" si="18"/>
        <v>0</v>
      </c>
      <c r="AJ28" s="41">
        <f t="shared" si="19"/>
        <v>-26524.766259693457</v>
      </c>
      <c r="AK28" s="41">
        <f t="shared" si="10"/>
        <v>19752.163055658755</v>
      </c>
      <c r="AL28" s="41">
        <f t="shared" si="20"/>
        <v>2370.4820863265131</v>
      </c>
      <c r="AM28" s="41">
        <f t="shared" si="21"/>
        <v>-4402.1211177081886</v>
      </c>
      <c r="AN28" s="41">
        <f t="shared" si="11"/>
        <v>265.24148191698589</v>
      </c>
      <c r="AO28" s="41">
        <f t="shared" si="22"/>
        <v>-4136.8796357912024</v>
      </c>
      <c r="AP28" s="45"/>
      <c r="AQ28" s="55"/>
      <c r="AR28" s="48"/>
      <c r="AS28" s="48"/>
      <c r="AT28" s="51">
        <f t="shared" si="23"/>
        <v>24</v>
      </c>
      <c r="AU28" s="49">
        <f t="shared" si="24"/>
        <v>3.7984793890699642E-2</v>
      </c>
      <c r="AV28" s="49">
        <f t="shared" si="25"/>
        <v>1.3262074095849292E-2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783.69600000000003</v>
      </c>
      <c r="AX28" s="50">
        <f>IF(ISERROR(ROUND(MAX(0,1000*NPV($AT$2,$AV29:$AV$124)-$AW$2*($AU29+NPV($AT$2,$AU30:$AU$124)))/AU29,3)), 0, ROUND(MAX(0,1000*NPV($AT$2,$AV29:$AV$124)-$AW$2*($AU29+NPV($AT$2,$AU30:$AU$124)))/AU29,3))</f>
        <v>712.38900000000001</v>
      </c>
    </row>
    <row r="29" spans="1:50" ht="15" x14ac:dyDescent="0.25">
      <c r="A29">
        <v>4</v>
      </c>
      <c r="B29">
        <v>5.431713801618E-4</v>
      </c>
      <c r="C29">
        <f t="shared" si="30"/>
        <v>5.1058109735209196E-4</v>
      </c>
      <c r="D29" s="60">
        <v>39</v>
      </c>
      <c r="E29" s="5">
        <v>1049924.4281717902</v>
      </c>
      <c r="F29" s="5">
        <v>44265.205922362395</v>
      </c>
      <c r="G29" s="8"/>
      <c r="H29" s="63"/>
      <c r="I29" s="51">
        <v>25</v>
      </c>
      <c r="J29" s="41"/>
      <c r="K29" s="41" t="str">
        <f t="shared" si="26"/>
        <v/>
      </c>
      <c r="L29" s="42">
        <f t="shared" si="27"/>
        <v>25</v>
      </c>
      <c r="M29" s="41">
        <f t="shared" si="28"/>
        <v>2000000</v>
      </c>
      <c r="N29" s="43">
        <f t="shared" si="1"/>
        <v>727.96400000000006</v>
      </c>
      <c r="O29" s="44">
        <f t="shared" si="2"/>
        <v>795.81200000000001</v>
      </c>
      <c r="P29" s="41">
        <f t="shared" si="3"/>
        <v>1455928</v>
      </c>
      <c r="Q29" s="41">
        <f t="shared" si="4"/>
        <v>1591624</v>
      </c>
      <c r="R29" s="44"/>
      <c r="S29" s="44">
        <f>IF(I29&lt;&gt;"",_xlfn.XLOOKUP(D$4+I29,A$26:A$145,$C$26:$C$145,0) * 1000,"")</f>
        <v>379.89162712589865</v>
      </c>
      <c r="T29" s="52">
        <f t="shared" si="29"/>
        <v>0</v>
      </c>
      <c r="U29" s="53">
        <f t="shared" si="12"/>
        <v>2.4722719794850349E-2</v>
      </c>
      <c r="V29" s="53">
        <f t="shared" si="13"/>
        <v>9.3919542498433622E-3</v>
      </c>
      <c r="W29" s="53">
        <f t="shared" si="14"/>
        <v>0</v>
      </c>
      <c r="X29" s="46">
        <f t="shared" si="5"/>
        <v>1.5330765545006987E-2</v>
      </c>
      <c r="Y29" s="54"/>
      <c r="Z29" s="41">
        <f t="shared" si="15"/>
        <v>38750.193224690076</v>
      </c>
      <c r="AA29" s="41">
        <f t="shared" si="16"/>
        <v>494.45439589700698</v>
      </c>
      <c r="AB29" s="41">
        <f t="shared" si="6"/>
        <v>24400.814379806201</v>
      </c>
      <c r="AC29" s="41">
        <f t="shared" si="7"/>
        <v>306.61531090013972</v>
      </c>
      <c r="AD29" s="54"/>
      <c r="AE29" s="41">
        <f t="shared" si="8"/>
        <v>0</v>
      </c>
      <c r="AF29" s="41"/>
      <c r="AG29" s="41">
        <f t="shared" si="9"/>
        <v>-0.3832691386251747</v>
      </c>
      <c r="AH29" s="41">
        <f t="shared" si="17"/>
        <v>-18783.908499686724</v>
      </c>
      <c r="AI29" s="41">
        <f t="shared" si="18"/>
        <v>0</v>
      </c>
      <c r="AJ29" s="41">
        <f t="shared" si="19"/>
        <v>-18784.291768825351</v>
      </c>
      <c r="AK29" s="41">
        <f t="shared" si="10"/>
        <v>14349.378844883875</v>
      </c>
      <c r="AL29" s="41">
        <f t="shared" si="20"/>
        <v>1569.7859048234834</v>
      </c>
      <c r="AM29" s="41">
        <f t="shared" si="21"/>
        <v>-2865.1270191179929</v>
      </c>
      <c r="AN29" s="41">
        <f t="shared" si="11"/>
        <v>187.83908499686726</v>
      </c>
      <c r="AO29" s="41">
        <f t="shared" si="22"/>
        <v>-2677.2879341211255</v>
      </c>
      <c r="AP29" s="45"/>
      <c r="AQ29" s="55"/>
      <c r="AR29" s="48"/>
      <c r="AS29" s="48"/>
      <c r="AT29" s="51">
        <f t="shared" si="23"/>
        <v>25</v>
      </c>
      <c r="AU29" s="49">
        <f t="shared" si="24"/>
        <v>2.4722719794850349E-2</v>
      </c>
      <c r="AV29" s="49">
        <f t="shared" si="25"/>
        <v>9.3919542498433622E-3</v>
      </c>
      <c r="AW29" s="50">
        <f xml:space="preserve"> IF(ISERROR(ROUND((1000*NPV($AT$1,$AV30:$AV$124)-$AW$1*($AU30+NPV($AT$1,$AU31:$AU$124)))/AU30,3)), 0, ROUND((1000*NPV($AT$1,$AV30:$AV$124)-$AW$1*($AU30+NPV($AT$1,$AU31:$AU$124)))/AU30,3))</f>
        <v>795.81200000000001</v>
      </c>
      <c r="AX29" s="50">
        <f>IF(ISERROR(ROUND(MAX(0,1000*NPV($AT$2,$AV30:$AV$124)-$AW$2*($AU30+NPV($AT$2,$AU31:$AU$124)))/AU30,3)), 0, ROUND(MAX(0,1000*NPV($AT$2,$AV30:$AV$124)-$AW$2*($AU30+NPV($AT$2,$AU31:$AU$124)))/AU30,3))</f>
        <v>727.96400000000006</v>
      </c>
    </row>
    <row r="30" spans="1:50" ht="15" x14ac:dyDescent="0.25">
      <c r="A30">
        <v>5</v>
      </c>
      <c r="B30">
        <v>4.7462775762274799E-4</v>
      </c>
      <c r="C30">
        <f t="shared" si="30"/>
        <v>4.461500921653831E-4</v>
      </c>
      <c r="D30" s="60">
        <v>40</v>
      </c>
      <c r="E30" s="5">
        <v>1084106.7596667905</v>
      </c>
      <c r="F30" s="5">
        <v>45551.426544548827</v>
      </c>
      <c r="G30" s="8"/>
      <c r="H30" s="63"/>
      <c r="I30" s="51">
        <v>26</v>
      </c>
      <c r="J30" s="41"/>
      <c r="K30" s="41" t="str">
        <f t="shared" si="26"/>
        <v/>
      </c>
      <c r="L30" s="42">
        <f t="shared" si="27"/>
        <v>25</v>
      </c>
      <c r="M30" s="41">
        <f t="shared" si="28"/>
        <v>2000000</v>
      </c>
      <c r="N30" s="43">
        <f t="shared" si="1"/>
        <v>742.32899999999995</v>
      </c>
      <c r="O30" s="44">
        <f t="shared" si="2"/>
        <v>806.947</v>
      </c>
      <c r="P30" s="41">
        <f t="shared" si="3"/>
        <v>1484658</v>
      </c>
      <c r="Q30" s="41">
        <f t="shared" si="4"/>
        <v>1613894</v>
      </c>
      <c r="R30" s="44"/>
      <c r="S30" s="44">
        <f>IF(I30&lt;&gt;"",_xlfn.XLOOKUP(D$4+I30,A$26:A$145,$C$26:$C$145,0) * 1000,"")</f>
        <v>409.39441422141084</v>
      </c>
      <c r="T30" s="52">
        <f t="shared" si="29"/>
        <v>0</v>
      </c>
      <c r="U30" s="53">
        <f t="shared" si="12"/>
        <v>1.5330765545006987E-2</v>
      </c>
      <c r="V30" s="53">
        <f t="shared" si="13"/>
        <v>6.2763297798639241E-3</v>
      </c>
      <c r="W30" s="53">
        <f t="shared" si="14"/>
        <v>0</v>
      </c>
      <c r="X30" s="46">
        <f t="shared" si="5"/>
        <v>9.0544357651430631E-3</v>
      </c>
      <c r="Y30" s="54"/>
      <c r="Z30" s="41">
        <f t="shared" si="15"/>
        <v>24400.814379806201</v>
      </c>
      <c r="AA30" s="41">
        <f t="shared" si="16"/>
        <v>306.61531090013972</v>
      </c>
      <c r="AB30" s="41">
        <f t="shared" si="6"/>
        <v>14612.899554749798</v>
      </c>
      <c r="AC30" s="41">
        <f t="shared" si="7"/>
        <v>181.08871530286126</v>
      </c>
      <c r="AD30" s="54"/>
      <c r="AE30" s="41">
        <f t="shared" si="8"/>
        <v>0</v>
      </c>
      <c r="AF30" s="41"/>
      <c r="AG30" s="41">
        <f t="shared" si="9"/>
        <v>-0.22636089412857657</v>
      </c>
      <c r="AH30" s="41">
        <f t="shared" si="17"/>
        <v>-12552.659559727848</v>
      </c>
      <c r="AI30" s="41">
        <f t="shared" si="18"/>
        <v>0</v>
      </c>
      <c r="AJ30" s="41">
        <f t="shared" si="19"/>
        <v>-12552.885920621977</v>
      </c>
      <c r="AK30" s="41">
        <f t="shared" si="10"/>
        <v>9787.9148250564031</v>
      </c>
      <c r="AL30" s="41">
        <f t="shared" si="20"/>
        <v>988.2971876282536</v>
      </c>
      <c r="AM30" s="41">
        <f t="shared" si="21"/>
        <v>-1776.6739079373201</v>
      </c>
      <c r="AN30" s="41">
        <f t="shared" si="11"/>
        <v>125.52659559727846</v>
      </c>
      <c r="AO30" s="41">
        <f t="shared" si="22"/>
        <v>-1651.1473123400417</v>
      </c>
      <c r="AP30" s="45"/>
      <c r="AQ30" s="55"/>
      <c r="AR30" s="48"/>
      <c r="AS30" s="48"/>
      <c r="AT30" s="51">
        <f t="shared" si="23"/>
        <v>26</v>
      </c>
      <c r="AU30" s="49">
        <f t="shared" si="24"/>
        <v>1.5330765545006987E-2</v>
      </c>
      <c r="AV30" s="49">
        <f t="shared" si="25"/>
        <v>6.2763297798639241E-3</v>
      </c>
      <c r="AW30" s="50">
        <f xml:space="preserve"> IF(ISERROR(ROUND((1000*NPV($AT$1,$AV31:$AV$124)-$AW$1*($AU31+NPV($AT$1,$AU32:$AU$124)))/AU31,3)), 0, ROUND((1000*NPV($AT$1,$AV31:$AV$124)-$AW$1*($AU31+NPV($AT$1,$AU32:$AU$124)))/AU31,3))</f>
        <v>806.947</v>
      </c>
      <c r="AX30" s="50">
        <f>IF(ISERROR(ROUND(MAX(0,1000*NPV($AT$2,$AV31:$AV$124)-$AW$2*($AU31+NPV($AT$2,$AU32:$AU$124)))/AU31,3)), 0, ROUND(MAX(0,1000*NPV($AT$2,$AV31:$AV$124)-$AW$2*($AU31+NPV($AT$2,$AU32:$AU$124)))/AU31,3))</f>
        <v>742.32899999999995</v>
      </c>
    </row>
    <row r="31" spans="1:50" ht="15" x14ac:dyDescent="0.25">
      <c r="A31">
        <v>6</v>
      </c>
      <c r="B31">
        <v>4.4384843989575502E-4</v>
      </c>
      <c r="C31">
        <f t="shared" si="30"/>
        <v>4.1721753350200971E-4</v>
      </c>
      <c r="D31" s="60">
        <v>41</v>
      </c>
      <c r="E31" s="5">
        <v>1119058.2915329637</v>
      </c>
      <c r="F31" s="5">
        <v>46856.282328557456</v>
      </c>
      <c r="G31" s="8"/>
      <c r="H31" s="63"/>
      <c r="I31" s="51">
        <v>27</v>
      </c>
      <c r="J31" s="41"/>
      <c r="K31" s="41" t="str">
        <f t="shared" si="26"/>
        <v/>
      </c>
      <c r="L31" s="42">
        <f t="shared" si="27"/>
        <v>25</v>
      </c>
      <c r="M31" s="41">
        <f t="shared" si="28"/>
        <v>2000000</v>
      </c>
      <c r="N31" s="43">
        <f t="shared" si="1"/>
        <v>755.38699999999994</v>
      </c>
      <c r="O31" s="44">
        <f t="shared" si="2"/>
        <v>817.04</v>
      </c>
      <c r="P31" s="41">
        <f t="shared" si="3"/>
        <v>1510774</v>
      </c>
      <c r="Q31" s="41">
        <f t="shared" si="4"/>
        <v>1634080</v>
      </c>
      <c r="R31" s="44"/>
      <c r="S31" s="44">
        <f>IF(I31&lt;&gt;"",_xlfn.XLOOKUP(D$4+I31,A$26:A$145,$C$26:$C$145,0) * 1000,"")</f>
        <v>440.11179142343946</v>
      </c>
      <c r="T31" s="52">
        <f t="shared" si="29"/>
        <v>0</v>
      </c>
      <c r="U31" s="53">
        <f t="shared" si="12"/>
        <v>9.0544357651430631E-3</v>
      </c>
      <c r="V31" s="53">
        <f t="shared" si="13"/>
        <v>3.9849639449255746E-3</v>
      </c>
      <c r="W31" s="53">
        <f t="shared" si="14"/>
        <v>0</v>
      </c>
      <c r="X31" s="46">
        <f t="shared" si="5"/>
        <v>5.0694718202174884E-3</v>
      </c>
      <c r="Y31" s="54"/>
      <c r="Z31" s="41">
        <f t="shared" si="15"/>
        <v>14612.899554749798</v>
      </c>
      <c r="AA31" s="41">
        <f t="shared" si="16"/>
        <v>181.08871530286126</v>
      </c>
      <c r="AB31" s="41">
        <f t="shared" si="6"/>
        <v>8283.9225119809926</v>
      </c>
      <c r="AC31" s="41">
        <f t="shared" si="7"/>
        <v>101.38943640434977</v>
      </c>
      <c r="AD31" s="54"/>
      <c r="AE31" s="41">
        <f t="shared" si="8"/>
        <v>0</v>
      </c>
      <c r="AF31" s="41"/>
      <c r="AG31" s="41">
        <f t="shared" si="9"/>
        <v>-0.12673679550543721</v>
      </c>
      <c r="AH31" s="41">
        <f t="shared" si="17"/>
        <v>-7969.9278898511493</v>
      </c>
      <c r="AI31" s="41">
        <f t="shared" si="18"/>
        <v>0</v>
      </c>
      <c r="AJ31" s="41">
        <f t="shared" si="19"/>
        <v>-7970.0546266466545</v>
      </c>
      <c r="AK31" s="41">
        <f t="shared" si="10"/>
        <v>6328.9770427688054</v>
      </c>
      <c r="AL31" s="41">
        <f t="shared" si="20"/>
        <v>591.75953080210638</v>
      </c>
      <c r="AM31" s="41">
        <f t="shared" si="21"/>
        <v>-1049.3180530757427</v>
      </c>
      <c r="AN31" s="41">
        <f t="shared" si="11"/>
        <v>79.699278898511494</v>
      </c>
      <c r="AO31" s="41">
        <f t="shared" si="22"/>
        <v>-969.61877417723122</v>
      </c>
      <c r="AP31" s="45"/>
      <c r="AQ31" s="55"/>
      <c r="AR31" s="48"/>
      <c r="AS31" s="48"/>
      <c r="AT31" s="51">
        <f t="shared" si="23"/>
        <v>27</v>
      </c>
      <c r="AU31" s="49">
        <f t="shared" si="24"/>
        <v>9.0544357651430631E-3</v>
      </c>
      <c r="AV31" s="49">
        <f t="shared" si="25"/>
        <v>3.9849639449255746E-3</v>
      </c>
      <c r="AW31" s="50">
        <f xml:space="preserve"> IF(ISERROR(ROUND((1000*NPV($AT$1,$AV32:$AV$124)-$AW$1*($AU32+NPV($AT$1,$AU33:$AU$124)))/AU32,3)), 0, ROUND((1000*NPV($AT$1,$AV32:$AV$124)-$AW$1*($AU32+NPV($AT$1,$AU33:$AU$124)))/AU32,3))</f>
        <v>817.04</v>
      </c>
      <c r="AX31" s="50">
        <f>IF(ISERROR(ROUND(MAX(0,1000*NPV($AT$2,$AV32:$AV$124)-$AW$2*($AU32+NPV($AT$2,$AU33:$AU$124)))/AU32,3)), 0, ROUND(MAX(0,1000*NPV($AT$2,$AV32:$AV$124)-$AW$2*($AU32+NPV($AT$2,$AU33:$AU$124)))/AU32,3))</f>
        <v>755.38699999999994</v>
      </c>
    </row>
    <row r="32" spans="1:50" ht="15" x14ac:dyDescent="0.25">
      <c r="A32">
        <v>7</v>
      </c>
      <c r="B32">
        <v>4.1586347742672601E-4</v>
      </c>
      <c r="C32">
        <f t="shared" si="30"/>
        <v>3.9091166878112241E-4</v>
      </c>
      <c r="D32" s="60">
        <v>42</v>
      </c>
      <c r="E32" s="5">
        <v>1154835.3908824949</v>
      </c>
      <c r="F32" s="5">
        <v>48182.667484157486</v>
      </c>
      <c r="G32" s="8"/>
      <c r="H32" s="63"/>
      <c r="I32" s="51">
        <v>28</v>
      </c>
      <c r="J32" s="41"/>
      <c r="K32" s="41" t="str">
        <f t="shared" si="26"/>
        <v/>
      </c>
      <c r="L32" s="42">
        <f t="shared" si="27"/>
        <v>25</v>
      </c>
      <c r="M32" s="41">
        <f t="shared" si="28"/>
        <v>2000000</v>
      </c>
      <c r="N32" s="43">
        <f t="shared" si="1"/>
        <v>767.25</v>
      </c>
      <c r="O32" s="44">
        <f t="shared" si="2"/>
        <v>826.18399999999997</v>
      </c>
      <c r="P32" s="41">
        <f t="shared" si="3"/>
        <v>1534500</v>
      </c>
      <c r="Q32" s="41">
        <f t="shared" si="4"/>
        <v>1652368</v>
      </c>
      <c r="R32" s="44"/>
      <c r="S32" s="44">
        <f>IF(I32&lt;&gt;"",_xlfn.XLOOKUP(D$4+I32,A$26:A$145,$C$26:$C$145,0) * 1000,"")</f>
        <v>471.04527856723695</v>
      </c>
      <c r="T32" s="52">
        <f t="shared" si="29"/>
        <v>0</v>
      </c>
      <c r="U32" s="53">
        <f t="shared" si="12"/>
        <v>5.0694718202174884E-3</v>
      </c>
      <c r="V32" s="53">
        <f t="shared" si="13"/>
        <v>2.3879507657431046E-3</v>
      </c>
      <c r="W32" s="53">
        <f t="shared" si="14"/>
        <v>0</v>
      </c>
      <c r="X32" s="46">
        <f t="shared" si="5"/>
        <v>2.6815210544743838E-3</v>
      </c>
      <c r="Y32" s="54"/>
      <c r="Z32" s="41">
        <f t="shared" si="15"/>
        <v>8283.9225119809926</v>
      </c>
      <c r="AA32" s="41">
        <f t="shared" si="16"/>
        <v>101.38943640434977</v>
      </c>
      <c r="AB32" s="41">
        <f t="shared" si="6"/>
        <v>4430.859581739729</v>
      </c>
      <c r="AC32" s="41">
        <f t="shared" si="7"/>
        <v>53.630421089487676</v>
      </c>
      <c r="AD32" s="54"/>
      <c r="AE32" s="41">
        <f t="shared" si="8"/>
        <v>0</v>
      </c>
      <c r="AF32" s="41"/>
      <c r="AG32" s="41">
        <f t="shared" si="9"/>
        <v>-6.7038026361859598E-2</v>
      </c>
      <c r="AH32" s="41">
        <f t="shared" si="17"/>
        <v>-4775.901531486209</v>
      </c>
      <c r="AI32" s="41">
        <f t="shared" si="18"/>
        <v>0</v>
      </c>
      <c r="AJ32" s="41">
        <f t="shared" si="19"/>
        <v>-4775.9685695125709</v>
      </c>
      <c r="AK32" s="41">
        <f t="shared" si="10"/>
        <v>3853.0629302412635</v>
      </c>
      <c r="AL32" s="41">
        <f t="shared" si="20"/>
        <v>335.41247793541373</v>
      </c>
      <c r="AM32" s="41">
        <f t="shared" si="21"/>
        <v>-587.49316133589355</v>
      </c>
      <c r="AN32" s="41">
        <f t="shared" si="11"/>
        <v>47.75901531486209</v>
      </c>
      <c r="AO32" s="41">
        <f t="shared" si="22"/>
        <v>-539.73414602103151</v>
      </c>
      <c r="AP32" s="45"/>
      <c r="AQ32" s="55"/>
      <c r="AR32" s="48"/>
      <c r="AS32" s="48"/>
      <c r="AT32" s="51">
        <f t="shared" si="23"/>
        <v>28</v>
      </c>
      <c r="AU32" s="49">
        <f t="shared" si="24"/>
        <v>5.0694718202174884E-3</v>
      </c>
      <c r="AV32" s="49">
        <f t="shared" si="25"/>
        <v>2.3879507657431046E-3</v>
      </c>
      <c r="AW32" s="50">
        <f xml:space="preserve"> IF(ISERROR(ROUND((1000*NPV($AT$1,$AV33:$AV$124)-$AW$1*($AU33+NPV($AT$1,$AU34:$AU$124)))/AU33,3)), 0, ROUND((1000*NPV($AT$1,$AV33:$AV$124)-$AW$1*($AU33+NPV($AT$1,$AU34:$AU$124)))/AU33,3))</f>
        <v>826.18399999999997</v>
      </c>
      <c r="AX32" s="50">
        <f>IF(ISERROR(ROUND(MAX(0,1000*NPV($AT$2,$AV33:$AV$124)-$AW$2*($AU33+NPV($AT$2,$AU34:$AU$124)))/AU33,3)), 0, ROUND(MAX(0,1000*NPV($AT$2,$AV33:$AV$124)-$AW$2*($AU33+NPV($AT$2,$AU34:$AU$124)))/AU33,3))</f>
        <v>767.25</v>
      </c>
    </row>
    <row r="33" spans="1:50" ht="15" x14ac:dyDescent="0.25">
      <c r="A33">
        <v>8</v>
      </c>
      <c r="B33">
        <v>3.8716051526033201E-4</v>
      </c>
      <c r="C33">
        <f t="shared" si="30"/>
        <v>3.6393088434471209E-4</v>
      </c>
      <c r="D33" s="60">
        <v>43</v>
      </c>
      <c r="E33" s="5">
        <v>1191410.5920932135</v>
      </c>
      <c r="F33" s="5">
        <v>49528.083266847767</v>
      </c>
      <c r="G33" s="8"/>
      <c r="H33" s="63"/>
      <c r="I33" s="51">
        <v>29</v>
      </c>
      <c r="J33" s="41"/>
      <c r="K33" s="41" t="str">
        <f t="shared" si="26"/>
        <v/>
      </c>
      <c r="L33" s="42">
        <f t="shared" si="27"/>
        <v>25</v>
      </c>
      <c r="M33" s="41">
        <f t="shared" si="28"/>
        <v>2000000</v>
      </c>
      <c r="N33" s="43">
        <f t="shared" si="1"/>
        <v>778.17600000000004</v>
      </c>
      <c r="O33" s="44">
        <f t="shared" si="2"/>
        <v>834.58199999999999</v>
      </c>
      <c r="P33" s="41">
        <f t="shared" si="3"/>
        <v>1556352</v>
      </c>
      <c r="Q33" s="41">
        <f t="shared" si="4"/>
        <v>1669164</v>
      </c>
      <c r="R33" s="44"/>
      <c r="S33" s="44">
        <f>IF(I33&lt;&gt;"",_xlfn.XLOOKUP(D$4+I33,A$26:A$145,$C$26:$C$145,0) * 1000,"")</f>
        <v>501.68261100813947</v>
      </c>
      <c r="T33" s="52">
        <f t="shared" si="29"/>
        <v>0</v>
      </c>
      <c r="U33" s="53">
        <f t="shared" si="12"/>
        <v>2.6815210544743838E-3</v>
      </c>
      <c r="V33" s="53">
        <f t="shared" si="13"/>
        <v>1.3452724840820082E-3</v>
      </c>
      <c r="W33" s="53">
        <f t="shared" si="14"/>
        <v>0</v>
      </c>
      <c r="X33" s="46">
        <f t="shared" si="5"/>
        <v>1.3362485703923756E-3</v>
      </c>
      <c r="Y33" s="54"/>
      <c r="Z33" s="41">
        <f t="shared" si="15"/>
        <v>4430.859581739729</v>
      </c>
      <c r="AA33" s="41">
        <f t="shared" si="16"/>
        <v>53.630421089487676</v>
      </c>
      <c r="AB33" s="41">
        <f t="shared" si="6"/>
        <v>2230.4180087504192</v>
      </c>
      <c r="AC33" s="41">
        <f t="shared" si="7"/>
        <v>26.724971407847512</v>
      </c>
      <c r="AD33" s="54"/>
      <c r="AE33" s="41">
        <f t="shared" si="8"/>
        <v>0</v>
      </c>
      <c r="AF33" s="41"/>
      <c r="AG33" s="41">
        <f t="shared" si="9"/>
        <v>-3.3406214259809393E-2</v>
      </c>
      <c r="AH33" s="41">
        <f t="shared" si="17"/>
        <v>-2690.5449681640166</v>
      </c>
      <c r="AI33" s="41">
        <f t="shared" si="18"/>
        <v>0</v>
      </c>
      <c r="AJ33" s="41">
        <f t="shared" si="19"/>
        <v>-2690.5783743782763</v>
      </c>
      <c r="AK33" s="41">
        <f t="shared" si="10"/>
        <v>2200.4415729893099</v>
      </c>
      <c r="AL33" s="41">
        <f t="shared" si="20"/>
        <v>179.37960011316866</v>
      </c>
      <c r="AM33" s="41">
        <f t="shared" si="21"/>
        <v>-310.7572012757978</v>
      </c>
      <c r="AN33" s="41">
        <f t="shared" si="11"/>
        <v>26.905449681640164</v>
      </c>
      <c r="AO33" s="41">
        <f t="shared" si="22"/>
        <v>-283.85175159415763</v>
      </c>
      <c r="AP33" s="45"/>
      <c r="AQ33" s="55"/>
      <c r="AR33" s="48"/>
      <c r="AS33" s="48"/>
      <c r="AT33" s="51">
        <f t="shared" si="23"/>
        <v>29</v>
      </c>
      <c r="AU33" s="49">
        <f t="shared" si="24"/>
        <v>2.6815210544743838E-3</v>
      </c>
      <c r="AV33" s="49">
        <f t="shared" si="25"/>
        <v>1.3452724840820082E-3</v>
      </c>
      <c r="AW33" s="50">
        <f xml:space="preserve"> IF(ISERROR(ROUND((1000*NPV($AT$1,$AV34:$AV$124)-$AW$1*($AU34+NPV($AT$1,$AU35:$AU$124)))/AU34,3)), 0, ROUND((1000*NPV($AT$1,$AV34:$AV$124)-$AW$1*($AU34+NPV($AT$1,$AU35:$AU$124)))/AU34,3))</f>
        <v>834.58199999999999</v>
      </c>
      <c r="AX33" s="50">
        <f>IF(ISERROR(ROUND(MAX(0,1000*NPV($AT$2,$AV34:$AV$124)-$AW$2*($AU34+NPV($AT$2,$AU35:$AU$124)))/AU34,3)), 0, ROUND(MAX(0,1000*NPV($AT$2,$AV34:$AV$124)-$AW$2*($AU34+NPV($AT$2,$AU35:$AU$124)))/AU34,3))</f>
        <v>778.17600000000004</v>
      </c>
    </row>
    <row r="34" spans="1:50" ht="15" x14ac:dyDescent="0.25">
      <c r="A34">
        <v>9</v>
      </c>
      <c r="B34">
        <v>3.8015418393122502E-4</v>
      </c>
      <c r="C34">
        <f t="shared" si="30"/>
        <v>3.5734493289535152E-4</v>
      </c>
      <c r="D34" s="60">
        <v>44</v>
      </c>
      <c r="E34" s="5">
        <v>1228791.1846213981</v>
      </c>
      <c r="F34" s="5">
        <v>50892.07707923546</v>
      </c>
      <c r="G34" s="8"/>
      <c r="H34" s="63"/>
      <c r="I34" s="51">
        <v>30</v>
      </c>
      <c r="J34" s="41"/>
      <c r="K34" s="41" t="str">
        <f t="shared" si="26"/>
        <v/>
      </c>
      <c r="L34" s="42">
        <f t="shared" si="27"/>
        <v>25</v>
      </c>
      <c r="M34" s="41">
        <f t="shared" si="28"/>
        <v>2000000</v>
      </c>
      <c r="N34" s="43">
        <f t="shared" si="1"/>
        <v>788.05899999999997</v>
      </c>
      <c r="O34" s="44">
        <f t="shared" si="2"/>
        <v>842.16099999999994</v>
      </c>
      <c r="P34" s="41">
        <f t="shared" si="3"/>
        <v>1576118</v>
      </c>
      <c r="Q34" s="41">
        <f t="shared" si="4"/>
        <v>1684322</v>
      </c>
      <c r="R34" s="44"/>
      <c r="S34" s="44">
        <f>IF(I34&lt;&gt;"",_xlfn.XLOOKUP(D$4+I34,A$26:A$145,$C$26:$C$145,0) * 1000,"")</f>
        <v>533.08769310175251</v>
      </c>
      <c r="T34" s="52">
        <f t="shared" si="29"/>
        <v>0</v>
      </c>
      <c r="U34" s="53">
        <f t="shared" si="12"/>
        <v>1.3362485703923756E-3</v>
      </c>
      <c r="V34" s="53">
        <f t="shared" si="13"/>
        <v>7.1233766780098634E-4</v>
      </c>
      <c r="W34" s="53">
        <f t="shared" si="14"/>
        <v>0</v>
      </c>
      <c r="X34" s="46">
        <f t="shared" si="5"/>
        <v>6.2391090259138931E-4</v>
      </c>
      <c r="Y34" s="54"/>
      <c r="Z34" s="41">
        <f t="shared" si="15"/>
        <v>2230.4180087504192</v>
      </c>
      <c r="AA34" s="41">
        <f t="shared" si="16"/>
        <v>26.724971407847512</v>
      </c>
      <c r="AB34" s="41">
        <f t="shared" si="6"/>
        <v>1050.8668592745339</v>
      </c>
      <c r="AC34" s="41">
        <f t="shared" si="7"/>
        <v>12.478218051827787</v>
      </c>
      <c r="AD34" s="54"/>
      <c r="AE34" s="41">
        <f t="shared" si="8"/>
        <v>0</v>
      </c>
      <c r="AF34" s="41"/>
      <c r="AG34" s="41">
        <f t="shared" si="9"/>
        <v>-1.5597772564784732E-2</v>
      </c>
      <c r="AH34" s="41">
        <f t="shared" si="17"/>
        <v>-1424.6753356019726</v>
      </c>
      <c r="AI34" s="41">
        <f t="shared" si="18"/>
        <v>0</v>
      </c>
      <c r="AJ34" s="41">
        <f t="shared" si="19"/>
        <v>-1424.6909333745375</v>
      </c>
      <c r="AK34" s="41">
        <f t="shared" si="10"/>
        <v>1179.5511494758853</v>
      </c>
      <c r="AL34" s="41">
        <f t="shared" si="20"/>
        <v>90.285719206330668</v>
      </c>
      <c r="AM34" s="41">
        <f t="shared" si="21"/>
        <v>-154.85406469232157</v>
      </c>
      <c r="AN34" s="41">
        <f t="shared" si="11"/>
        <v>14.246753356019726</v>
      </c>
      <c r="AO34" s="41">
        <f t="shared" si="22"/>
        <v>-140.60731133630185</v>
      </c>
      <c r="AP34" s="45"/>
      <c r="AQ34" s="55"/>
      <c r="AR34" s="48"/>
      <c r="AS34" s="48"/>
      <c r="AT34" s="51">
        <f t="shared" si="23"/>
        <v>30</v>
      </c>
      <c r="AU34" s="49">
        <f t="shared" si="24"/>
        <v>1.3362485703923756E-3</v>
      </c>
      <c r="AV34" s="49">
        <f t="shared" si="25"/>
        <v>7.1233766780098634E-4</v>
      </c>
      <c r="AW34" s="50">
        <f xml:space="preserve"> IF(ISERROR(ROUND((1000*NPV($AT$1,$AV35:$AV$124)-$AW$1*($AU35+NPV($AT$1,$AU36:$AU$124)))/AU35,3)), 0, ROUND((1000*NPV($AT$1,$AV35:$AV$124)-$AW$1*($AU35+NPV($AT$1,$AU36:$AU$124)))/AU35,3))</f>
        <v>842.16099999999994</v>
      </c>
      <c r="AX34" s="50">
        <f>IF(ISERROR(ROUND(MAX(0,1000*NPV($AT$2,$AV35:$AV$124)-$AW$2*($AU35+NPV($AT$2,$AU36:$AU$124)))/AU35,3)), 0, ROUND(MAX(0,1000*NPV($AT$2,$AV35:$AV$124)-$AW$2*($AU35+NPV($AT$2,$AU36:$AU$124)))/AU35,3))</f>
        <v>788.05899999999997</v>
      </c>
    </row>
    <row r="35" spans="1:50" ht="15" x14ac:dyDescent="0.25">
      <c r="A35">
        <v>10</v>
      </c>
      <c r="B35">
        <v>3.7632034048262801E-4</v>
      </c>
      <c r="C35">
        <f t="shared" si="30"/>
        <v>3.5374112005367032E-4</v>
      </c>
      <c r="D35" s="60">
        <v>45</v>
      </c>
      <c r="E35" s="5">
        <v>1266975.3651429226</v>
      </c>
      <c r="F35" s="5">
        <v>52273.931974501</v>
      </c>
      <c r="G35" s="8"/>
      <c r="H35" s="63"/>
      <c r="I35" s="51">
        <v>31</v>
      </c>
      <c r="J35" s="41"/>
      <c r="K35" s="41" t="str">
        <f t="shared" si="26"/>
        <v/>
      </c>
      <c r="L35" s="42">
        <f t="shared" si="27"/>
        <v>25</v>
      </c>
      <c r="M35" s="41">
        <f t="shared" si="28"/>
        <v>2000000</v>
      </c>
      <c r="N35" s="43">
        <f t="shared" si="1"/>
        <v>797.13499999999999</v>
      </c>
      <c r="O35" s="44">
        <f t="shared" si="2"/>
        <v>849.10599999999999</v>
      </c>
      <c r="P35" s="41">
        <f t="shared" si="3"/>
        <v>1594270</v>
      </c>
      <c r="Q35" s="41">
        <f t="shared" si="4"/>
        <v>1698212</v>
      </c>
      <c r="R35" s="44"/>
      <c r="S35" s="44">
        <f>IF(I35&lt;&gt;"",_xlfn.XLOOKUP(D$4+I35,A$26:A$145,$C$26:$C$145,0) * 1000,"")</f>
        <v>563.83738086638857</v>
      </c>
      <c r="T35" s="52">
        <f t="shared" si="29"/>
        <v>0</v>
      </c>
      <c r="U35" s="53">
        <f t="shared" si="12"/>
        <v>6.2391090259138931E-4</v>
      </c>
      <c r="V35" s="53">
        <f t="shared" si="13"/>
        <v>3.5178428921111345E-4</v>
      </c>
      <c r="W35" s="53">
        <f t="shared" si="14"/>
        <v>0</v>
      </c>
      <c r="X35" s="46">
        <f t="shared" si="5"/>
        <v>2.7212661338027585E-4</v>
      </c>
      <c r="Y35" s="54"/>
      <c r="Z35" s="41">
        <f t="shared" si="15"/>
        <v>1050.8668592745339</v>
      </c>
      <c r="AA35" s="41">
        <f t="shared" si="16"/>
        <v>12.478218051827787</v>
      </c>
      <c r="AB35" s="41">
        <f t="shared" si="6"/>
        <v>462.12868036174501</v>
      </c>
      <c r="AC35" s="41">
        <f t="shared" si="7"/>
        <v>5.4425322676055172</v>
      </c>
      <c r="AD35" s="54"/>
      <c r="AE35" s="41">
        <f t="shared" si="8"/>
        <v>0</v>
      </c>
      <c r="AF35" s="41"/>
      <c r="AG35" s="41">
        <f t="shared" si="9"/>
        <v>-6.803165334506896E-3</v>
      </c>
      <c r="AH35" s="41">
        <f t="shared" si="17"/>
        <v>-703.56857842222689</v>
      </c>
      <c r="AI35" s="41">
        <f t="shared" si="18"/>
        <v>0</v>
      </c>
      <c r="AJ35" s="41">
        <f t="shared" si="19"/>
        <v>-703.57538158756142</v>
      </c>
      <c r="AK35" s="41">
        <f t="shared" si="10"/>
        <v>588.73817891278895</v>
      </c>
      <c r="AL35" s="41">
        <f t="shared" si="20"/>
        <v>42.533803093054466</v>
      </c>
      <c r="AM35" s="41">
        <f t="shared" si="21"/>
        <v>-72.303399581717997</v>
      </c>
      <c r="AN35" s="41">
        <f t="shared" si="11"/>
        <v>7.0356857842222693</v>
      </c>
      <c r="AO35" s="41">
        <f t="shared" si="22"/>
        <v>-65.26771379749573</v>
      </c>
      <c r="AP35" s="45"/>
      <c r="AQ35" s="55"/>
      <c r="AR35" s="48"/>
      <c r="AS35" s="48"/>
      <c r="AT35" s="51">
        <f t="shared" si="23"/>
        <v>31</v>
      </c>
      <c r="AU35" s="49">
        <f t="shared" si="24"/>
        <v>6.2391090259138931E-4</v>
      </c>
      <c r="AV35" s="49">
        <f t="shared" si="25"/>
        <v>3.5178428921111345E-4</v>
      </c>
      <c r="AW35" s="50">
        <f xml:space="preserve"> IF(ISERROR(ROUND((1000*NPV($AT$1,$AV36:$AV$124)-$AW$1*($AU36+NPV($AT$1,$AU37:$AU$124)))/AU36,3)), 0, ROUND((1000*NPV($AT$1,$AV36:$AV$124)-$AW$1*($AU36+NPV($AT$1,$AU37:$AU$124)))/AU36,3))</f>
        <v>849.10599999999999</v>
      </c>
      <c r="AX35" s="50">
        <f>IF(ISERROR(ROUND(MAX(0,1000*NPV($AT$2,$AV36:$AV$124)-$AW$2*($AU36+NPV($AT$2,$AU37:$AU$124)))/AU36,3)), 0, ROUND(MAX(0,1000*NPV($AT$2,$AV36:$AV$124)-$AW$2*($AU36+NPV($AT$2,$AU37:$AU$124)))/AU36,3))</f>
        <v>797.13499999999999</v>
      </c>
    </row>
    <row r="36" spans="1:50" ht="15" x14ac:dyDescent="0.25">
      <c r="A36">
        <v>11</v>
      </c>
      <c r="B36">
        <v>4.1233024301578998E-4</v>
      </c>
      <c r="C36">
        <f t="shared" si="30"/>
        <v>3.8759042843484256E-4</v>
      </c>
      <c r="D36" s="60">
        <v>46</v>
      </c>
      <c r="E36" s="5">
        <v>1306225.9467005611</v>
      </c>
      <c r="F36" s="5">
        <v>53688.682772457832</v>
      </c>
      <c r="G36" s="8"/>
      <c r="H36" s="63"/>
      <c r="I36" s="51">
        <v>32</v>
      </c>
      <c r="J36" s="41"/>
      <c r="K36" s="41" t="str">
        <f t="shared" si="26"/>
        <v/>
      </c>
      <c r="L36" s="42">
        <f t="shared" si="27"/>
        <v>25</v>
      </c>
      <c r="M36" s="41">
        <f t="shared" si="28"/>
        <v>2000000</v>
      </c>
      <c r="N36" s="43">
        <f t="shared" si="1"/>
        <v>805.41200000000003</v>
      </c>
      <c r="O36" s="44">
        <f t="shared" si="2"/>
        <v>855.42399999999998</v>
      </c>
      <c r="P36" s="41">
        <f t="shared" si="3"/>
        <v>1610824</v>
      </c>
      <c r="Q36" s="41">
        <f t="shared" si="4"/>
        <v>1710848</v>
      </c>
      <c r="R36" s="44"/>
      <c r="S36" s="44">
        <f>IF(I36&lt;&gt;"",_xlfn.XLOOKUP(D$4+I36,A$26:A$145,$C$26:$C$145,0) * 1000,"")</f>
        <v>594.72859459913786</v>
      </c>
      <c r="T36" s="52">
        <f t="shared" si="29"/>
        <v>0</v>
      </c>
      <c r="U36" s="53">
        <f t="shared" si="12"/>
        <v>2.7212661338027585E-4</v>
      </c>
      <c r="V36" s="53">
        <f t="shared" si="13"/>
        <v>1.6184147832867441E-4</v>
      </c>
      <c r="W36" s="53">
        <f t="shared" si="14"/>
        <v>0</v>
      </c>
      <c r="X36" s="46">
        <f t="shared" si="5"/>
        <v>1.1028513505160144E-4</v>
      </c>
      <c r="Y36" s="54"/>
      <c r="Z36" s="41">
        <f t="shared" si="15"/>
        <v>462.12868036174501</v>
      </c>
      <c r="AA36" s="41">
        <f t="shared" si="16"/>
        <v>5.4425322676055172</v>
      </c>
      <c r="AB36" s="41">
        <f t="shared" si="6"/>
        <v>188.68110273276224</v>
      </c>
      <c r="AC36" s="41">
        <f t="shared" si="7"/>
        <v>2.2057027010320289</v>
      </c>
      <c r="AD36" s="54"/>
      <c r="AE36" s="41">
        <f t="shared" si="8"/>
        <v>0</v>
      </c>
      <c r="AF36" s="41"/>
      <c r="AG36" s="41">
        <f t="shared" si="9"/>
        <v>-2.7571283762900362E-3</v>
      </c>
      <c r="AH36" s="41">
        <f t="shared" si="17"/>
        <v>-323.68295665734883</v>
      </c>
      <c r="AI36" s="41">
        <f t="shared" si="18"/>
        <v>0</v>
      </c>
      <c r="AJ36" s="41">
        <f t="shared" si="19"/>
        <v>-323.68571378572511</v>
      </c>
      <c r="AK36" s="41">
        <f t="shared" si="10"/>
        <v>273.4475776289828</v>
      </c>
      <c r="AL36" s="41">
        <f t="shared" si="20"/>
        <v>18.702848505174021</v>
      </c>
      <c r="AM36" s="41">
        <f t="shared" si="21"/>
        <v>-31.535287651568293</v>
      </c>
      <c r="AN36" s="41">
        <f t="shared" si="11"/>
        <v>3.2368295665734883</v>
      </c>
      <c r="AO36" s="41">
        <f t="shared" si="22"/>
        <v>-28.298458084994806</v>
      </c>
      <c r="AP36" s="45"/>
      <c r="AQ36" s="55"/>
      <c r="AR36" s="48"/>
      <c r="AS36" s="48"/>
      <c r="AT36" s="51">
        <f t="shared" si="23"/>
        <v>32</v>
      </c>
      <c r="AU36" s="49">
        <f t="shared" si="24"/>
        <v>2.7212661338027585E-4</v>
      </c>
      <c r="AV36" s="49">
        <f t="shared" si="25"/>
        <v>1.6184147832867441E-4</v>
      </c>
      <c r="AW36" s="50">
        <f xml:space="preserve"> IF(ISERROR(ROUND((1000*NPV($AT$1,$AV37:$AV$124)-$AW$1*($AU37+NPV($AT$1,$AU38:$AU$124)))/AU37,3)), 0, ROUND((1000*NPV($AT$1,$AV37:$AV$124)-$AW$1*($AU37+NPV($AT$1,$AU38:$AU$124)))/AU37,3))</f>
        <v>855.42399999999998</v>
      </c>
      <c r="AX36" s="50">
        <f>IF(ISERROR(ROUND(MAX(0,1000*NPV($AT$2,$AV37:$AV$124)-$AW$2*($AU37+NPV($AT$2,$AU38:$AU$124)))/AU37,3)), 0, ROUND(MAX(0,1000*NPV($AT$2,$AV37:$AV$124)-$AW$2*($AU37+NPV($AT$2,$AU38:$AU$124)))/AU37,3))</f>
        <v>805.41200000000003</v>
      </c>
    </row>
    <row r="37" spans="1:50" ht="15" x14ac:dyDescent="0.25">
      <c r="A37">
        <v>12</v>
      </c>
      <c r="B37">
        <v>4.3716160267393001E-4</v>
      </c>
      <c r="C37">
        <f t="shared" si="30"/>
        <v>4.1093190651349417E-4</v>
      </c>
      <c r="D37" s="60">
        <v>47</v>
      </c>
      <c r="E37" s="5">
        <v>1346260.2270645599</v>
      </c>
      <c r="F37" s="5">
        <v>55118.577356497641</v>
      </c>
      <c r="G37" s="8"/>
      <c r="H37" s="63"/>
      <c r="I37" s="51">
        <v>33</v>
      </c>
      <c r="J37" s="41"/>
      <c r="K37" s="41" t="str">
        <f t="shared" si="26"/>
        <v/>
      </c>
      <c r="L37" s="42">
        <f t="shared" si="27"/>
        <v>25</v>
      </c>
      <c r="M37" s="41">
        <f t="shared" si="28"/>
        <v>2000000</v>
      </c>
      <c r="N37" s="43">
        <f t="shared" si="1"/>
        <v>812.80100000000004</v>
      </c>
      <c r="O37" s="44">
        <f t="shared" si="2"/>
        <v>861.05499999999995</v>
      </c>
      <c r="P37" s="41">
        <f t="shared" si="3"/>
        <v>1625602</v>
      </c>
      <c r="Q37" s="41">
        <f t="shared" si="4"/>
        <v>1722110</v>
      </c>
      <c r="R37" s="44"/>
      <c r="S37" s="44">
        <f>IF(I37&lt;&gt;"",_xlfn.XLOOKUP(D$4+I37,A$26:A$145,$C$26:$C$145,0) * 1000,"")</f>
        <v>625.59807468778592</v>
      </c>
      <c r="T37" s="52">
        <f t="shared" si="29"/>
        <v>0</v>
      </c>
      <c r="U37" s="53">
        <f t="shared" si="12"/>
        <v>1.1028513505160144E-4</v>
      </c>
      <c r="V37" s="53">
        <f t="shared" si="13"/>
        <v>6.8994168154964315E-5</v>
      </c>
      <c r="W37" s="53">
        <f t="shared" si="14"/>
        <v>0</v>
      </c>
      <c r="X37" s="46">
        <f t="shared" si="5"/>
        <v>4.129096689663713E-5</v>
      </c>
      <c r="Y37" s="54"/>
      <c r="Z37" s="41">
        <f t="shared" si="15"/>
        <v>188.68110273276224</v>
      </c>
      <c r="AA37" s="41">
        <f t="shared" si="16"/>
        <v>2.2057027010320289</v>
      </c>
      <c r="AB37" s="41">
        <f t="shared" si="6"/>
        <v>71.107587002367765</v>
      </c>
      <c r="AC37" s="41">
        <f t="shared" si="7"/>
        <v>0.82581933793274265</v>
      </c>
      <c r="AD37" s="54"/>
      <c r="AE37" s="41">
        <f t="shared" si="8"/>
        <v>0</v>
      </c>
      <c r="AF37" s="41"/>
      <c r="AG37" s="41">
        <f t="shared" si="9"/>
        <v>-1.0322741724159282E-3</v>
      </c>
      <c r="AH37" s="41">
        <f t="shared" si="17"/>
        <v>-137.98833630992863</v>
      </c>
      <c r="AI37" s="41">
        <f t="shared" si="18"/>
        <v>0</v>
      </c>
      <c r="AJ37" s="41">
        <f t="shared" si="19"/>
        <v>-137.98936858410104</v>
      </c>
      <c r="AK37" s="41">
        <f t="shared" si="10"/>
        <v>117.57351573039448</v>
      </c>
      <c r="AL37" s="41">
        <f t="shared" si="20"/>
        <v>7.6354722173517713</v>
      </c>
      <c r="AM37" s="41">
        <f t="shared" si="21"/>
        <v>-12.780380636354796</v>
      </c>
      <c r="AN37" s="41">
        <f t="shared" si="11"/>
        <v>1.3798833630992862</v>
      </c>
      <c r="AO37" s="41">
        <f t="shared" si="22"/>
        <v>-11.40049727325551</v>
      </c>
      <c r="AP37" s="45"/>
      <c r="AQ37" s="55"/>
      <c r="AR37" s="48"/>
      <c r="AS37" s="48"/>
      <c r="AT37" s="51">
        <f t="shared" si="23"/>
        <v>33</v>
      </c>
      <c r="AU37" s="49">
        <f t="shared" si="24"/>
        <v>1.1028513505160144E-4</v>
      </c>
      <c r="AV37" s="49">
        <f t="shared" si="25"/>
        <v>6.8994168154964315E-5</v>
      </c>
      <c r="AW37" s="50">
        <f xml:space="preserve"> IF(ISERROR(ROUND((1000*NPV($AT$1,$AV38:$AV$124)-$AW$1*($AU38+NPV($AT$1,$AU39:$AU$124)))/AU38,3)), 0, ROUND((1000*NPV($AT$1,$AV38:$AV$124)-$AW$1*($AU38+NPV($AT$1,$AU39:$AU$124)))/AU38,3))</f>
        <v>861.05499999999995</v>
      </c>
      <c r="AX37" s="50">
        <f>IF(ISERROR(ROUND(MAX(0,1000*NPV($AT$2,$AV38:$AV$124)-$AW$2*($AU38+NPV($AT$2,$AU39:$AU$124)))/AU38,3)), 0, ROUND(MAX(0,1000*NPV($AT$2,$AV38:$AV$124)-$AW$2*($AU38+NPV($AT$2,$AU39:$AU$124)))/AU38,3))</f>
        <v>812.80100000000004</v>
      </c>
    </row>
    <row r="38" spans="1:50" ht="15" x14ac:dyDescent="0.25">
      <c r="A38">
        <v>13</v>
      </c>
      <c r="B38">
        <v>4.8523694367386101E-4</v>
      </c>
      <c r="C38">
        <f t="shared" si="30"/>
        <v>4.5612272705342934E-4</v>
      </c>
      <c r="D38" s="60">
        <v>48</v>
      </c>
      <c r="E38" s="5">
        <v>1387022.0400069798</v>
      </c>
      <c r="F38" s="5">
        <v>56559.672856005025</v>
      </c>
      <c r="G38" s="8"/>
      <c r="H38" s="63"/>
      <c r="I38" s="51">
        <v>34</v>
      </c>
      <c r="J38" s="41"/>
      <c r="K38" s="41" t="str">
        <f t="shared" si="26"/>
        <v/>
      </c>
      <c r="L38" s="42">
        <f t="shared" si="27"/>
        <v>25</v>
      </c>
      <c r="M38" s="41">
        <f t="shared" si="28"/>
        <v>2000000</v>
      </c>
      <c r="N38" s="43">
        <f t="shared" si="1"/>
        <v>819.47199999999998</v>
      </c>
      <c r="O38" s="44">
        <f t="shared" si="2"/>
        <v>866.12800000000004</v>
      </c>
      <c r="P38" s="41">
        <f t="shared" si="3"/>
        <v>1638944</v>
      </c>
      <c r="Q38" s="41">
        <f t="shared" si="4"/>
        <v>1732256</v>
      </c>
      <c r="R38" s="44"/>
      <c r="S38" s="44">
        <f>IF(I38&lt;&gt;"",_xlfn.XLOOKUP(D$4+I38,A$26:A$145,$C$26:$C$145,0) * 1000,"")</f>
        <v>655.15158529309781</v>
      </c>
      <c r="T38" s="52">
        <f t="shared" si="29"/>
        <v>0</v>
      </c>
      <c r="U38" s="53">
        <f t="shared" si="12"/>
        <v>4.129096689663713E-5</v>
      </c>
      <c r="V38" s="53">
        <f t="shared" si="13"/>
        <v>2.7051842420616638E-5</v>
      </c>
      <c r="W38" s="53">
        <f t="shared" si="14"/>
        <v>0</v>
      </c>
      <c r="X38" s="46">
        <f t="shared" si="5"/>
        <v>1.4239124476020491E-5</v>
      </c>
      <c r="Y38" s="54"/>
      <c r="Z38" s="41">
        <f t="shared" si="15"/>
        <v>71.107587002367765</v>
      </c>
      <c r="AA38" s="41">
        <f t="shared" si="16"/>
        <v>0.82581933793274265</v>
      </c>
      <c r="AB38" s="41">
        <f t="shared" si="6"/>
        <v>24.665808808333352</v>
      </c>
      <c r="AC38" s="41">
        <f t="shared" si="7"/>
        <v>0.28478248952040985</v>
      </c>
      <c r="AD38" s="54"/>
      <c r="AE38" s="41">
        <f t="shared" si="8"/>
        <v>0</v>
      </c>
      <c r="AF38" s="41"/>
      <c r="AG38" s="41">
        <f t="shared" si="9"/>
        <v>-3.5597811190051231E-4</v>
      </c>
      <c r="AH38" s="41">
        <f t="shared" si="17"/>
        <v>-54.103684841233274</v>
      </c>
      <c r="AI38" s="41">
        <f t="shared" si="18"/>
        <v>0</v>
      </c>
      <c r="AJ38" s="41">
        <f t="shared" si="19"/>
        <v>-54.104040819345173</v>
      </c>
      <c r="AK38" s="41">
        <f t="shared" si="10"/>
        <v>46.441778194034413</v>
      </c>
      <c r="AL38" s="41">
        <f t="shared" si="20"/>
        <v>2.8773362536120204</v>
      </c>
      <c r="AM38" s="41">
        <f t="shared" si="21"/>
        <v>-4.7849263716987398</v>
      </c>
      <c r="AN38" s="41">
        <f t="shared" si="11"/>
        <v>0.54103684841233279</v>
      </c>
      <c r="AO38" s="41">
        <f t="shared" si="22"/>
        <v>-4.2438895232864073</v>
      </c>
      <c r="AP38" s="45"/>
      <c r="AQ38" s="55"/>
      <c r="AR38" s="48"/>
      <c r="AS38" s="48"/>
      <c r="AT38" s="51">
        <f t="shared" si="23"/>
        <v>34</v>
      </c>
      <c r="AU38" s="49">
        <f t="shared" si="24"/>
        <v>4.129096689663713E-5</v>
      </c>
      <c r="AV38" s="49">
        <f t="shared" si="25"/>
        <v>2.7051842420616638E-5</v>
      </c>
      <c r="AW38" s="50">
        <f xml:space="preserve"> IF(ISERROR(ROUND((1000*NPV($AT$1,$AV39:$AV$124)-$AW$1*($AU39+NPV($AT$1,$AU40:$AU$124)))/AU39,3)), 0, ROUND((1000*NPV($AT$1,$AV39:$AV$124)-$AW$1*($AU39+NPV($AT$1,$AU40:$AU$124)))/AU39,3))</f>
        <v>866.12800000000004</v>
      </c>
      <c r="AX38" s="50">
        <f>IF(ISERROR(ROUND(MAX(0,1000*NPV($AT$2,$AV39:$AV$124)-$AW$2*($AU39+NPV($AT$2,$AU40:$AU$124)))/AU39,3)), 0, ROUND(MAX(0,1000*NPV($AT$2,$AV39:$AV$124)-$AW$2*($AU39+NPV($AT$2,$AU40:$AU$124)))/AU39,3))</f>
        <v>819.47199999999998</v>
      </c>
    </row>
    <row r="39" spans="1:50" ht="15" x14ac:dyDescent="0.25">
      <c r="A39">
        <v>14</v>
      </c>
      <c r="B39">
        <v>5.4486717927493299E-4</v>
      </c>
      <c r="C39">
        <f t="shared" si="30"/>
        <v>5.1217514851843694E-4</v>
      </c>
      <c r="D39" s="60">
        <v>49</v>
      </c>
      <c r="E39" s="5">
        <v>1428530.0135898413</v>
      </c>
      <c r="F39" s="5">
        <v>58012.283429946168</v>
      </c>
      <c r="G39" s="8"/>
      <c r="H39" s="63"/>
      <c r="I39" s="51">
        <v>35</v>
      </c>
      <c r="J39" s="41"/>
      <c r="K39" s="41" t="str">
        <f t="shared" si="26"/>
        <v/>
      </c>
      <c r="L39" s="42">
        <f t="shared" si="27"/>
        <v>25</v>
      </c>
      <c r="M39" s="41">
        <f t="shared" si="28"/>
        <v>2000000</v>
      </c>
      <c r="N39" s="43">
        <f t="shared" si="1"/>
        <v>825.33399999999995</v>
      </c>
      <c r="O39" s="44">
        <f t="shared" si="2"/>
        <v>870.58</v>
      </c>
      <c r="P39" s="41">
        <f t="shared" si="3"/>
        <v>1650668</v>
      </c>
      <c r="Q39" s="41">
        <f t="shared" si="4"/>
        <v>1741160</v>
      </c>
      <c r="R39" s="44"/>
      <c r="S39" s="44">
        <f>IF(I39&lt;&gt;"",_xlfn.XLOOKUP(D$4+I39,A$26:A$145,$C$26:$C$145,0) * 1000,"")</f>
        <v>684.06003969416668</v>
      </c>
      <c r="T39" s="52">
        <f t="shared" si="29"/>
        <v>0</v>
      </c>
      <c r="U39" s="53">
        <f t="shared" si="12"/>
        <v>1.4239124476020491E-5</v>
      </c>
      <c r="V39" s="53">
        <f t="shared" si="13"/>
        <v>9.7404160542767578E-6</v>
      </c>
      <c r="W39" s="53">
        <f t="shared" si="14"/>
        <v>0</v>
      </c>
      <c r="X39" s="46">
        <f t="shared" si="5"/>
        <v>4.4987084217437336E-6</v>
      </c>
      <c r="Y39" s="54"/>
      <c r="Z39" s="41">
        <f t="shared" si="15"/>
        <v>24.665808808333352</v>
      </c>
      <c r="AA39" s="41">
        <f t="shared" si="16"/>
        <v>0.28478248952040985</v>
      </c>
      <c r="AB39" s="41">
        <f t="shared" si="6"/>
        <v>7.8329711556033192</v>
      </c>
      <c r="AC39" s="41">
        <f t="shared" si="7"/>
        <v>8.9974168434874671E-2</v>
      </c>
      <c r="AD39" s="54"/>
      <c r="AE39" s="41">
        <f t="shared" si="8"/>
        <v>0</v>
      </c>
      <c r="AF39" s="41"/>
      <c r="AG39" s="41">
        <f t="shared" si="9"/>
        <v>-1.1246771054359334E-4</v>
      </c>
      <c r="AH39" s="41">
        <f t="shared" si="17"/>
        <v>-19.480832108553514</v>
      </c>
      <c r="AI39" s="41">
        <f t="shared" si="18"/>
        <v>0</v>
      </c>
      <c r="AJ39" s="41">
        <f t="shared" si="19"/>
        <v>-19.480944576264058</v>
      </c>
      <c r="AK39" s="41">
        <f t="shared" si="10"/>
        <v>16.832837652730035</v>
      </c>
      <c r="AL39" s="41">
        <f t="shared" si="20"/>
        <v>0.99802365191415054</v>
      </c>
      <c r="AM39" s="41">
        <f t="shared" si="21"/>
        <v>-1.6500832716198723</v>
      </c>
      <c r="AN39" s="41">
        <f t="shared" si="11"/>
        <v>0.1948083210855352</v>
      </c>
      <c r="AO39" s="41">
        <f t="shared" si="22"/>
        <v>-1.4552749505343372</v>
      </c>
      <c r="AP39" s="45"/>
      <c r="AQ39" s="55"/>
      <c r="AR39" s="48"/>
      <c r="AS39" s="48"/>
      <c r="AT39" s="51">
        <f t="shared" si="23"/>
        <v>35</v>
      </c>
      <c r="AU39" s="49">
        <f t="shared" si="24"/>
        <v>1.4239124476020491E-5</v>
      </c>
      <c r="AV39" s="49">
        <f t="shared" si="25"/>
        <v>9.7404160542767578E-6</v>
      </c>
      <c r="AW39" s="50">
        <f xml:space="preserve"> IF(ISERROR(ROUND((1000*NPV($AT$1,$AV40:$AV$124)-$AW$1*($AU40+NPV($AT$1,$AU41:$AU$124)))/AU40,3)), 0, ROUND((1000*NPV($AT$1,$AV40:$AV$124)-$AW$1*($AU40+NPV($AT$1,$AU41:$AU$124)))/AU40,3))</f>
        <v>870.58</v>
      </c>
      <c r="AX39" s="50">
        <f>IF(ISERROR(ROUND(MAX(0,1000*NPV($AT$2,$AV40:$AV$124)-$AW$2*($AU40+NPV($AT$2,$AU41:$AU$124)))/AU40,3)), 0, ROUND(MAX(0,1000*NPV($AT$2,$AV40:$AV$124)-$AW$2*($AU40+NPV($AT$2,$AU41:$AU$124)))/AU40,3))</f>
        <v>825.33399999999995</v>
      </c>
    </row>
    <row r="40" spans="1:50" ht="15" x14ac:dyDescent="0.25">
      <c r="A40">
        <v>15</v>
      </c>
      <c r="B40">
        <v>6.5570701581385603E-4</v>
      </c>
      <c r="C40">
        <f t="shared" si="30"/>
        <v>6.1636459486502464E-4</v>
      </c>
      <c r="D40" s="60">
        <v>50</v>
      </c>
      <c r="E40" s="5">
        <v>1470770.0730327144</v>
      </c>
      <c r="F40" s="5">
        <v>59475.068824225338</v>
      </c>
      <c r="G40" s="8"/>
      <c r="H40" s="63"/>
      <c r="I40" s="51">
        <v>36</v>
      </c>
      <c r="J40" s="41"/>
      <c r="K40" s="41" t="str">
        <f t="shared" si="26"/>
        <v/>
      </c>
      <c r="L40" s="42">
        <f t="shared" si="27"/>
        <v>25</v>
      </c>
      <c r="M40" s="41">
        <f t="shared" si="28"/>
        <v>2000000</v>
      </c>
      <c r="N40" s="43">
        <f t="shared" si="1"/>
        <v>830.44500000000005</v>
      </c>
      <c r="O40" s="44">
        <f t="shared" si="2"/>
        <v>874.45699999999999</v>
      </c>
      <c r="P40" s="41">
        <f t="shared" si="3"/>
        <v>1660890</v>
      </c>
      <c r="Q40" s="41">
        <f t="shared" si="4"/>
        <v>1748914</v>
      </c>
      <c r="R40" s="44"/>
      <c r="S40" s="44">
        <f>IF(I40&lt;&gt;"",_xlfn.XLOOKUP(D$4+I40,A$26:A$145,$C$26:$C$145,0) * 1000,"")</f>
        <v>711.18274438555261</v>
      </c>
      <c r="T40" s="52">
        <f t="shared" si="29"/>
        <v>0</v>
      </c>
      <c r="U40" s="53">
        <f t="shared" si="12"/>
        <v>4.4987084217437336E-6</v>
      </c>
      <c r="V40" s="53">
        <f t="shared" si="13"/>
        <v>3.1994038015661064E-6</v>
      </c>
      <c r="W40" s="53">
        <f t="shared" si="14"/>
        <v>0</v>
      </c>
      <c r="X40" s="46">
        <f t="shared" si="5"/>
        <v>1.2993046201776273E-6</v>
      </c>
      <c r="Y40" s="54"/>
      <c r="Z40" s="41">
        <f t="shared" si="15"/>
        <v>7.8329711556033192</v>
      </c>
      <c r="AA40" s="41">
        <f t="shared" si="16"/>
        <v>8.9974168434874671E-2</v>
      </c>
      <c r="AB40" s="41">
        <f t="shared" si="6"/>
        <v>2.2723720404933347</v>
      </c>
      <c r="AC40" s="41">
        <f t="shared" si="7"/>
        <v>2.5986092403552544E-2</v>
      </c>
      <c r="AD40" s="54"/>
      <c r="AE40" s="41">
        <f t="shared" si="8"/>
        <v>0</v>
      </c>
      <c r="AF40" s="41"/>
      <c r="AG40" s="41">
        <f t="shared" si="9"/>
        <v>-3.2482615504440681E-5</v>
      </c>
      <c r="AH40" s="41">
        <f t="shared" si="17"/>
        <v>-6.3988076031322123</v>
      </c>
      <c r="AI40" s="41">
        <f t="shared" si="18"/>
        <v>0</v>
      </c>
      <c r="AJ40" s="41">
        <f t="shared" si="19"/>
        <v>-6.3988400857477163</v>
      </c>
      <c r="AK40" s="41">
        <f t="shared" si="10"/>
        <v>5.5605991151099845</v>
      </c>
      <c r="AL40" s="41">
        <f t="shared" si="20"/>
        <v>0.31691781296152777</v>
      </c>
      <c r="AM40" s="41">
        <f t="shared" si="21"/>
        <v>-0.52132315767620407</v>
      </c>
      <c r="AN40" s="41">
        <f t="shared" si="11"/>
        <v>6.398807603132213E-2</v>
      </c>
      <c r="AO40" s="41">
        <f t="shared" si="22"/>
        <v>-0.45733508164488196</v>
      </c>
      <c r="AP40" s="45"/>
      <c r="AQ40" s="55"/>
      <c r="AR40" s="48"/>
      <c r="AS40" s="48"/>
      <c r="AT40" s="51">
        <f t="shared" si="23"/>
        <v>36</v>
      </c>
      <c r="AU40" s="49">
        <f t="shared" si="24"/>
        <v>4.4987084217437336E-6</v>
      </c>
      <c r="AV40" s="49">
        <f t="shared" si="25"/>
        <v>3.1994038015661064E-6</v>
      </c>
      <c r="AW40" s="50">
        <f xml:space="preserve"> IF(ISERROR(ROUND((1000*NPV($AT$1,$AV41:$AV$124)-$AW$1*($AU41+NPV($AT$1,$AU42:$AU$124)))/AU41,3)), 0, ROUND((1000*NPV($AT$1,$AV41:$AV$124)-$AW$1*($AU41+NPV($AT$1,$AU42:$AU$124)))/AU41,3))</f>
        <v>874.45699999999999</v>
      </c>
      <c r="AX40" s="50">
        <f>IF(ISERROR(ROUND(MAX(0,1000*NPV($AT$2,$AV41:$AV$124)-$AW$2*($AU41+NPV($AT$2,$AU42:$AU$124)))/AU41,3)), 0, ROUND(MAX(0,1000*NPV($AT$2,$AV41:$AV$124)-$AW$2*($AU41+NPV($AT$2,$AU42:$AU$124)))/AU41,3))</f>
        <v>830.44500000000005</v>
      </c>
    </row>
    <row r="41" spans="1:50" ht="15" x14ac:dyDescent="0.25">
      <c r="A41">
        <v>16</v>
      </c>
      <c r="B41">
        <v>7.9361379296416501E-4</v>
      </c>
      <c r="C41">
        <f t="shared" si="30"/>
        <v>7.4599696538631512E-4</v>
      </c>
      <c r="D41" s="60">
        <v>51</v>
      </c>
      <c r="E41" s="5">
        <v>1513752.0664013436</v>
      </c>
      <c r="F41" s="5">
        <v>60947.957351089222</v>
      </c>
      <c r="G41" s="8"/>
      <c r="H41" s="63"/>
      <c r="I41" s="51">
        <v>37</v>
      </c>
      <c r="J41" s="41"/>
      <c r="K41" s="41" t="str">
        <f t="shared" si="26"/>
        <v/>
      </c>
      <c r="L41" s="42">
        <f t="shared" si="27"/>
        <v>25</v>
      </c>
      <c r="M41" s="41">
        <f t="shared" si="28"/>
        <v>2000000</v>
      </c>
      <c r="N41" s="43">
        <f t="shared" si="1"/>
        <v>835.03599999999994</v>
      </c>
      <c r="O41" s="44">
        <f t="shared" si="2"/>
        <v>877.93600000000004</v>
      </c>
      <c r="P41" s="41">
        <f t="shared" si="3"/>
        <v>1670072</v>
      </c>
      <c r="Q41" s="41">
        <f t="shared" si="4"/>
        <v>1755872</v>
      </c>
      <c r="R41" s="44"/>
      <c r="S41" s="44">
        <f>IF(I41&lt;&gt;"",_xlfn.XLOOKUP(D$4+I41,A$26:A$145,$C$26:$C$145,0) * 1000,"")</f>
        <v>735.98534886609934</v>
      </c>
      <c r="T41" s="52">
        <f t="shared" si="29"/>
        <v>0</v>
      </c>
      <c r="U41" s="53">
        <f t="shared" si="12"/>
        <v>1.2993046201776273E-6</v>
      </c>
      <c r="V41" s="53">
        <f t="shared" si="13"/>
        <v>9.5626916416476571E-7</v>
      </c>
      <c r="W41" s="53">
        <f t="shared" si="14"/>
        <v>0</v>
      </c>
      <c r="X41" s="46">
        <f t="shared" si="5"/>
        <v>3.4303545601286157E-7</v>
      </c>
      <c r="Y41" s="54"/>
      <c r="Z41" s="41">
        <f t="shared" si="15"/>
        <v>2.2723720404933347</v>
      </c>
      <c r="AA41" s="41">
        <f t="shared" si="16"/>
        <v>2.5986092403552544E-2</v>
      </c>
      <c r="AB41" s="41">
        <f t="shared" si="6"/>
        <v>0.60232635222021524</v>
      </c>
      <c r="AC41" s="41">
        <f t="shared" si="7"/>
        <v>6.8607091202572317E-3</v>
      </c>
      <c r="AD41" s="54"/>
      <c r="AE41" s="41">
        <f t="shared" si="8"/>
        <v>0</v>
      </c>
      <c r="AF41" s="41"/>
      <c r="AG41" s="41">
        <f t="shared" si="9"/>
        <v>-8.5758864003215389E-6</v>
      </c>
      <c r="AH41" s="41">
        <f t="shared" si="17"/>
        <v>-1.9125383283295314</v>
      </c>
      <c r="AI41" s="41">
        <f t="shared" si="18"/>
        <v>0</v>
      </c>
      <c r="AJ41" s="41">
        <f t="shared" si="19"/>
        <v>-1.9125469042159318</v>
      </c>
      <c r="AK41" s="41">
        <f t="shared" si="10"/>
        <v>1.6700456882731194</v>
      </c>
      <c r="AL41" s="41">
        <f t="shared" si="20"/>
        <v>9.193432531587549E-2</v>
      </c>
      <c r="AM41" s="41">
        <f t="shared" si="21"/>
        <v>-0.1505668906269369</v>
      </c>
      <c r="AN41" s="41">
        <f t="shared" si="11"/>
        <v>1.9125383283295314E-2</v>
      </c>
      <c r="AO41" s="41">
        <f t="shared" si="22"/>
        <v>-0.13144150734364157</v>
      </c>
      <c r="AP41" s="45"/>
      <c r="AQ41" s="55"/>
      <c r="AR41" s="48"/>
      <c r="AS41" s="48"/>
      <c r="AT41" s="51">
        <f t="shared" si="23"/>
        <v>37</v>
      </c>
      <c r="AU41" s="49">
        <f t="shared" si="24"/>
        <v>1.2993046201776273E-6</v>
      </c>
      <c r="AV41" s="49">
        <f t="shared" si="25"/>
        <v>9.5626916416476571E-7</v>
      </c>
      <c r="AW41" s="50">
        <f xml:space="preserve"> IF(ISERROR(ROUND((1000*NPV($AT$1,$AV42:$AV$124)-$AW$1*($AU42+NPV($AT$1,$AU43:$AU$124)))/AU42,3)), 0, ROUND((1000*NPV($AT$1,$AV42:$AV$124)-$AW$1*($AU42+NPV($AT$1,$AU43:$AU$124)))/AU42,3))</f>
        <v>877.93600000000004</v>
      </c>
      <c r="AX41" s="50">
        <f>IF(ISERROR(ROUND(MAX(0,1000*NPV($AT$2,$AV42:$AV$124)-$AW$2*($AU42+NPV($AT$2,$AU43:$AU$124)))/AU42,3)), 0, ROUND(MAX(0,1000*NPV($AT$2,$AV42:$AV$124)-$AW$2*($AU42+NPV($AT$2,$AU43:$AU$124)))/AU42,3))</f>
        <v>835.03599999999994</v>
      </c>
    </row>
    <row r="42" spans="1:50" ht="15" x14ac:dyDescent="0.25">
      <c r="A42">
        <v>17</v>
      </c>
      <c r="B42">
        <v>9.5063126943828501E-4</v>
      </c>
      <c r="C42">
        <f t="shared" si="30"/>
        <v>8.9359339327198782E-4</v>
      </c>
      <c r="D42" s="60">
        <v>52</v>
      </c>
      <c r="E42" s="5">
        <v>1557400.4979054106</v>
      </c>
      <c r="F42" s="5">
        <v>62426.123726580292</v>
      </c>
      <c r="G42" s="8"/>
      <c r="H42" s="63"/>
      <c r="I42" s="51">
        <v>38</v>
      </c>
      <c r="J42" s="41"/>
      <c r="K42" s="41" t="str">
        <f t="shared" si="26"/>
        <v/>
      </c>
      <c r="L42" s="42">
        <f t="shared" si="27"/>
        <v>25</v>
      </c>
      <c r="M42" s="41">
        <f t="shared" si="28"/>
        <v>2000000</v>
      </c>
      <c r="N42" s="43">
        <f t="shared" si="1"/>
        <v>839.13400000000001</v>
      </c>
      <c r="O42" s="44">
        <f t="shared" si="2"/>
        <v>881.03800000000001</v>
      </c>
      <c r="P42" s="41">
        <f t="shared" si="3"/>
        <v>1678268</v>
      </c>
      <c r="Q42" s="41">
        <f t="shared" si="4"/>
        <v>1762076</v>
      </c>
      <c r="R42" s="44"/>
      <c r="S42" s="44">
        <f>IF(I42&lt;&gt;"",_xlfn.XLOOKUP(D$4+I42,A$26:A$145,$C$26:$C$145,0) * 1000,"")</f>
        <v>759.51484659432288</v>
      </c>
      <c r="T42" s="52">
        <f t="shared" si="29"/>
        <v>0</v>
      </c>
      <c r="U42" s="53">
        <f t="shared" si="12"/>
        <v>3.4303545601286157E-7</v>
      </c>
      <c r="V42" s="53">
        <f t="shared" si="13"/>
        <v>2.6054052175002217E-7</v>
      </c>
      <c r="W42" s="53">
        <f t="shared" si="14"/>
        <v>0</v>
      </c>
      <c r="X42" s="46">
        <f t="shared" si="5"/>
        <v>8.2494934262839403E-8</v>
      </c>
      <c r="Y42" s="54"/>
      <c r="Z42" s="41">
        <f t="shared" si="15"/>
        <v>0.60232635222021524</v>
      </c>
      <c r="AA42" s="41">
        <f t="shared" si="16"/>
        <v>6.8607091202572317E-3</v>
      </c>
      <c r="AB42" s="41">
        <f t="shared" si="6"/>
        <v>0.145362343786127</v>
      </c>
      <c r="AC42" s="41">
        <f t="shared" si="7"/>
        <v>1.6498986852567881E-3</v>
      </c>
      <c r="AD42" s="54"/>
      <c r="AE42" s="41">
        <f t="shared" si="8"/>
        <v>0</v>
      </c>
      <c r="AF42" s="41"/>
      <c r="AG42" s="41">
        <f t="shared" si="9"/>
        <v>-2.0623733565709852E-6</v>
      </c>
      <c r="AH42" s="41">
        <f t="shared" si="17"/>
        <v>-0.52108104350004436</v>
      </c>
      <c r="AI42" s="41">
        <f t="shared" si="18"/>
        <v>0</v>
      </c>
      <c r="AJ42" s="41">
        <f t="shared" si="19"/>
        <v>-0.5210831058734009</v>
      </c>
      <c r="AK42" s="41">
        <f t="shared" si="10"/>
        <v>0.45696400843408824</v>
      </c>
      <c r="AL42" s="41">
        <f t="shared" si="20"/>
        <v>2.4367482453618902E-2</v>
      </c>
      <c r="AM42" s="41">
        <f t="shared" si="21"/>
        <v>-3.9751614985693753E-2</v>
      </c>
      <c r="AN42" s="41">
        <f t="shared" si="11"/>
        <v>5.2108104350004434E-3</v>
      </c>
      <c r="AO42" s="41">
        <f t="shared" si="22"/>
        <v>-3.4540804550693312E-2</v>
      </c>
      <c r="AP42" s="45"/>
      <c r="AQ42" s="55"/>
      <c r="AR42" s="48"/>
      <c r="AS42" s="48"/>
      <c r="AT42" s="51">
        <f t="shared" si="23"/>
        <v>38</v>
      </c>
      <c r="AU42" s="49">
        <f t="shared" si="24"/>
        <v>3.4303545601286157E-7</v>
      </c>
      <c r="AV42" s="49">
        <f t="shared" si="25"/>
        <v>2.6054052175002217E-7</v>
      </c>
      <c r="AW42" s="50">
        <f xml:space="preserve"> IF(ISERROR(ROUND((1000*NPV($AT$1,$AV43:$AV$124)-$AW$1*($AU43+NPV($AT$1,$AU44:$AU$124)))/AU43,3)), 0, ROUND((1000*NPV($AT$1,$AV43:$AV$124)-$AW$1*($AU43+NPV($AT$1,$AU44:$AU$124)))/AU43,3))</f>
        <v>881.03800000000001</v>
      </c>
      <c r="AX42" s="50">
        <f>IF(ISERROR(ROUND(MAX(0,1000*NPV($AT$2,$AV43:$AV$124)-$AW$2*($AU43+NPV($AT$2,$AU44:$AU$124)))/AU43,3)), 0, ROUND(MAX(0,1000*NPV($AT$2,$AV43:$AV$124)-$AW$2*($AU43+NPV($AT$2,$AU44:$AU$124)))/AU43,3))</f>
        <v>839.13400000000001</v>
      </c>
    </row>
    <row r="43" spans="1:50" ht="15" x14ac:dyDescent="0.25">
      <c r="A43">
        <v>18</v>
      </c>
      <c r="B43">
        <v>1.1369100273304099E-3</v>
      </c>
      <c r="C43">
        <f t="shared" si="30"/>
        <v>1.0686954256905854E-3</v>
      </c>
      <c r="D43" s="60">
        <v>53</v>
      </c>
      <c r="E43" s="5">
        <v>1601638.1350234849</v>
      </c>
      <c r="F43" s="5">
        <v>63904.341434124857</v>
      </c>
      <c r="G43" s="8"/>
      <c r="H43" s="63"/>
      <c r="I43" s="51">
        <v>39</v>
      </c>
      <c r="J43" s="41"/>
      <c r="K43" s="41" t="str">
        <f t="shared" si="26"/>
        <v/>
      </c>
      <c r="L43" s="42">
        <f t="shared" si="27"/>
        <v>25</v>
      </c>
      <c r="M43" s="41">
        <f t="shared" si="28"/>
        <v>2000000</v>
      </c>
      <c r="N43" s="43">
        <f t="shared" si="1"/>
        <v>842.76800000000003</v>
      </c>
      <c r="O43" s="44">
        <f t="shared" si="2"/>
        <v>883.78499999999997</v>
      </c>
      <c r="P43" s="41">
        <f t="shared" si="3"/>
        <v>1685536</v>
      </c>
      <c r="Q43" s="41">
        <f t="shared" si="4"/>
        <v>1767570</v>
      </c>
      <c r="R43" s="44"/>
      <c r="S43" s="44">
        <f>IF(I43&lt;&gt;"",_xlfn.XLOOKUP(D$4+I43,A$26:A$145,$C$26:$C$145,0) * 1000,"")</f>
        <v>781.58579874253576</v>
      </c>
      <c r="T43" s="52">
        <f t="shared" si="29"/>
        <v>0</v>
      </c>
      <c r="U43" s="53">
        <f t="shared" si="12"/>
        <v>8.2494934262839403E-8</v>
      </c>
      <c r="V43" s="53">
        <f t="shared" si="13"/>
        <v>6.4476869088034308E-8</v>
      </c>
      <c r="W43" s="53">
        <f t="shared" si="14"/>
        <v>0</v>
      </c>
      <c r="X43" s="46">
        <f t="shared" si="5"/>
        <v>1.8018065174805095E-8</v>
      </c>
      <c r="Y43" s="54"/>
      <c r="Z43" s="41">
        <f t="shared" si="15"/>
        <v>0.145362343786127</v>
      </c>
      <c r="AA43" s="41">
        <f t="shared" si="16"/>
        <v>1.6498986852567881E-3</v>
      </c>
      <c r="AB43" s="41">
        <f t="shared" si="6"/>
        <v>3.184819146103024E-2</v>
      </c>
      <c r="AC43" s="41">
        <f t="shared" si="7"/>
        <v>3.6036130349610191E-4</v>
      </c>
      <c r="AD43" s="54"/>
      <c r="AE43" s="41">
        <f t="shared" si="8"/>
        <v>0</v>
      </c>
      <c r="AF43" s="41"/>
      <c r="AG43" s="41">
        <f t="shared" si="9"/>
        <v>-4.504516293701274E-7</v>
      </c>
      <c r="AH43" s="41">
        <f t="shared" si="17"/>
        <v>-0.12895373817606862</v>
      </c>
      <c r="AI43" s="41">
        <f t="shared" si="18"/>
        <v>0</v>
      </c>
      <c r="AJ43" s="41">
        <f t="shared" si="19"/>
        <v>-0.12895418862769797</v>
      </c>
      <c r="AK43" s="41">
        <f t="shared" si="10"/>
        <v>0.11351415232509676</v>
      </c>
      <c r="AL43" s="41">
        <f t="shared" si="20"/>
        <v>5.8804896988553512E-3</v>
      </c>
      <c r="AM43" s="41">
        <f t="shared" si="21"/>
        <v>-9.559546603745861E-3</v>
      </c>
      <c r="AN43" s="41">
        <f t="shared" si="11"/>
        <v>1.2895373817606861E-3</v>
      </c>
      <c r="AO43" s="41">
        <f t="shared" si="22"/>
        <v>-8.2700092219851751E-3</v>
      </c>
      <c r="AP43" s="45"/>
      <c r="AQ43" s="55"/>
      <c r="AR43" s="48"/>
      <c r="AS43" s="48"/>
      <c r="AT43" s="51">
        <f t="shared" si="23"/>
        <v>39</v>
      </c>
      <c r="AU43" s="49">
        <f t="shared" si="24"/>
        <v>8.2494934262839403E-8</v>
      </c>
      <c r="AV43" s="49">
        <f t="shared" si="25"/>
        <v>6.4476869088034308E-8</v>
      </c>
      <c r="AW43" s="50">
        <f xml:space="preserve"> IF(ISERROR(ROUND((1000*NPV($AT$1,$AV44:$AV$124)-$AW$1*($AU44+NPV($AT$1,$AU45:$AU$124)))/AU44,3)), 0, ROUND((1000*NPV($AT$1,$AV44:$AV$124)-$AW$1*($AU44+NPV($AT$1,$AU45:$AU$124)))/AU44,3))</f>
        <v>883.78499999999997</v>
      </c>
      <c r="AX43" s="50">
        <f>IF(ISERROR(ROUND(MAX(0,1000*NPV($AT$2,$AV44:$AV$124)-$AW$2*($AU44+NPV($AT$2,$AU45:$AU$124)))/AU44,3)), 0, ROUND(MAX(0,1000*NPV($AT$2,$AV44:$AV$124)-$AW$2*($AU44+NPV($AT$2,$AU45:$AU$124)))/AU44,3))</f>
        <v>842.76800000000003</v>
      </c>
    </row>
    <row r="44" spans="1:50" ht="15" x14ac:dyDescent="0.25">
      <c r="A44">
        <v>19</v>
      </c>
      <c r="B44">
        <v>1.0283993510007399E-3</v>
      </c>
      <c r="C44">
        <f t="shared" si="30"/>
        <v>9.6669538994069546E-4</v>
      </c>
      <c r="D44" s="60">
        <v>54</v>
      </c>
      <c r="E44" s="5">
        <v>1646429.7590251886</v>
      </c>
      <c r="F44" s="5">
        <v>65380.398464341764</v>
      </c>
      <c r="G44" s="8"/>
      <c r="H44" s="63"/>
      <c r="I44" s="51">
        <v>40</v>
      </c>
      <c r="J44" s="41"/>
      <c r="K44" s="41" t="str">
        <f t="shared" si="26"/>
        <v/>
      </c>
      <c r="L44" s="42">
        <f t="shared" si="27"/>
        <v>25</v>
      </c>
      <c r="M44" s="41">
        <f t="shared" si="28"/>
        <v>2000000</v>
      </c>
      <c r="N44" s="43">
        <f t="shared" si="1"/>
        <v>845.97</v>
      </c>
      <c r="O44" s="44">
        <f t="shared" si="2"/>
        <v>886.20399999999995</v>
      </c>
      <c r="P44" s="41">
        <f t="shared" si="3"/>
        <v>1691940</v>
      </c>
      <c r="Q44" s="41">
        <f t="shared" si="4"/>
        <v>1772408</v>
      </c>
      <c r="R44" s="44"/>
      <c r="S44" s="44">
        <f>IF(I44&lt;&gt;"",_xlfn.XLOOKUP(D$4+I44,A$26:A$145,$C$26:$C$145,0) * 1000,"")</f>
        <v>802.04776042368576</v>
      </c>
      <c r="T44" s="52">
        <f t="shared" si="29"/>
        <v>0</v>
      </c>
      <c r="U44" s="53">
        <f t="shared" si="12"/>
        <v>1.8018065174805095E-8</v>
      </c>
      <c r="V44" s="53">
        <f t="shared" si="13"/>
        <v>1.4451348820620432E-8</v>
      </c>
      <c r="W44" s="53">
        <f t="shared" si="14"/>
        <v>0</v>
      </c>
      <c r="X44" s="46">
        <f t="shared" si="5"/>
        <v>3.5667163541846632E-9</v>
      </c>
      <c r="Y44" s="54"/>
      <c r="Z44" s="41">
        <f t="shared" si="15"/>
        <v>3.184819146103024E-2</v>
      </c>
      <c r="AA44" s="41">
        <f t="shared" si="16"/>
        <v>3.6036130349610191E-4</v>
      </c>
      <c r="AB44" s="41">
        <f t="shared" si="6"/>
        <v>6.3216765998877307E-3</v>
      </c>
      <c r="AC44" s="41">
        <f t="shared" si="7"/>
        <v>7.1334327083693265E-5</v>
      </c>
      <c r="AD44" s="54"/>
      <c r="AE44" s="41">
        <f t="shared" si="8"/>
        <v>0</v>
      </c>
      <c r="AF44" s="41"/>
      <c r="AG44" s="41">
        <f t="shared" si="9"/>
        <v>-8.9167908854616584E-8</v>
      </c>
      <c r="AH44" s="41">
        <f t="shared" si="17"/>
        <v>-2.8902697641240864E-2</v>
      </c>
      <c r="AI44" s="41">
        <f t="shared" si="18"/>
        <v>0</v>
      </c>
      <c r="AJ44" s="41">
        <f t="shared" si="19"/>
        <v>-2.8902786809149719E-2</v>
      </c>
      <c r="AK44" s="41">
        <f t="shared" si="10"/>
        <v>2.5526514861142508E-2</v>
      </c>
      <c r="AL44" s="41">
        <f t="shared" si="20"/>
        <v>1.2883421105810537E-3</v>
      </c>
      <c r="AM44" s="41">
        <f t="shared" si="21"/>
        <v>-2.0879298374261576E-3</v>
      </c>
      <c r="AN44" s="41">
        <f t="shared" si="11"/>
        <v>2.8902697641240867E-4</v>
      </c>
      <c r="AO44" s="41">
        <f t="shared" si="22"/>
        <v>-1.7989028610137488E-3</v>
      </c>
      <c r="AP44" s="45"/>
      <c r="AQ44" s="55"/>
      <c r="AR44" s="48"/>
      <c r="AS44" s="48"/>
      <c r="AT44" s="51">
        <f t="shared" si="23"/>
        <v>40</v>
      </c>
      <c r="AU44" s="49">
        <f t="shared" si="24"/>
        <v>1.8018065174805095E-8</v>
      </c>
      <c r="AV44" s="49">
        <f t="shared" si="25"/>
        <v>1.4451348820620432E-8</v>
      </c>
      <c r="AW44" s="50">
        <f xml:space="preserve"> IF(ISERROR(ROUND((1000*NPV($AT$1,$AV45:$AV$124)-$AW$1*($AU45+NPV($AT$1,$AU46:$AU$124)))/AU45,3)), 0, ROUND((1000*NPV($AT$1,$AV45:$AV$124)-$AW$1*($AU45+NPV($AT$1,$AU46:$AU$124)))/AU45,3))</f>
        <v>886.20399999999995</v>
      </c>
      <c r="AX44" s="50">
        <f>IF(ISERROR(ROUND(MAX(0,1000*NPV($AT$2,$AV45:$AV$124)-$AW$2*($AU45+NPV($AT$2,$AU46:$AU$124)))/AU45,3)), 0, ROUND(MAX(0,1000*NPV($AT$2,$AV45:$AV$124)-$AW$2*($AU45+NPV($AT$2,$AU46:$AU$124)))/AU45,3))</f>
        <v>845.97</v>
      </c>
    </row>
    <row r="45" spans="1:50" ht="15" x14ac:dyDescent="0.25">
      <c r="A45">
        <v>20</v>
      </c>
      <c r="B45">
        <v>1.11549916396647E-3</v>
      </c>
      <c r="C45">
        <f t="shared" si="30"/>
        <v>1.0485692141284817E-3</v>
      </c>
      <c r="D45" s="60">
        <v>55</v>
      </c>
      <c r="E45" s="5">
        <v>1691684.3436856426</v>
      </c>
      <c r="F45" s="5">
        <v>66848.572573035839</v>
      </c>
      <c r="G45" s="8"/>
      <c r="H45" s="63"/>
      <c r="I45" s="51">
        <v>41</v>
      </c>
      <c r="J45" s="41"/>
      <c r="K45" s="41" t="str">
        <f t="shared" si="26"/>
        <v/>
      </c>
      <c r="L45" s="42">
        <f t="shared" si="27"/>
        <v>25</v>
      </c>
      <c r="M45" s="41">
        <f t="shared" si="28"/>
        <v>2000000</v>
      </c>
      <c r="N45" s="43">
        <f t="shared" si="1"/>
        <v>848.79</v>
      </c>
      <c r="O45" s="44">
        <f t="shared" si="2"/>
        <v>888.33299999999997</v>
      </c>
      <c r="P45" s="41">
        <f t="shared" si="3"/>
        <v>1697580</v>
      </c>
      <c r="Q45" s="41">
        <f t="shared" si="4"/>
        <v>1776666</v>
      </c>
      <c r="R45" s="44"/>
      <c r="S45" s="44">
        <f>IF(I45&lt;&gt;"",_xlfn.XLOOKUP(D$4+I45,A$26:A$145,$C$26:$C$145,0) * 1000,"")</f>
        <v>820.80171932833127</v>
      </c>
      <c r="T45" s="52">
        <f t="shared" si="29"/>
        <v>0</v>
      </c>
      <c r="U45" s="53">
        <f t="shared" si="12"/>
        <v>3.5667163541846632E-9</v>
      </c>
      <c r="V45" s="53">
        <f t="shared" si="13"/>
        <v>2.9275669158712487E-9</v>
      </c>
      <c r="W45" s="53">
        <f t="shared" si="14"/>
        <v>0</v>
      </c>
      <c r="X45" s="46">
        <f t="shared" si="5"/>
        <v>6.391494383134145E-10</v>
      </c>
      <c r="Y45" s="54"/>
      <c r="Z45" s="41">
        <f t="shared" si="15"/>
        <v>6.3216765998877307E-3</v>
      </c>
      <c r="AA45" s="41">
        <f t="shared" si="16"/>
        <v>7.1334327083693265E-5</v>
      </c>
      <c r="AB45" s="41">
        <f t="shared" si="6"/>
        <v>1.135555075970541E-3</v>
      </c>
      <c r="AC45" s="41">
        <f t="shared" si="7"/>
        <v>1.278298876626829E-5</v>
      </c>
      <c r="AD45" s="54"/>
      <c r="AE45" s="41">
        <f t="shared" si="8"/>
        <v>0</v>
      </c>
      <c r="AF45" s="41"/>
      <c r="AG45" s="41">
        <f t="shared" si="9"/>
        <v>-1.5978735957835364E-8</v>
      </c>
      <c r="AH45" s="41">
        <f t="shared" si="17"/>
        <v>-5.8551338317424971E-3</v>
      </c>
      <c r="AI45" s="41">
        <f t="shared" si="18"/>
        <v>0</v>
      </c>
      <c r="AJ45" s="41">
        <f t="shared" si="19"/>
        <v>-5.8551498104784548E-3</v>
      </c>
      <c r="AK45" s="41">
        <f t="shared" si="10"/>
        <v>5.1861215239171893E-3</v>
      </c>
      <c r="AL45" s="41">
        <f t="shared" si="20"/>
        <v>2.5572043707885696E-4</v>
      </c>
      <c r="AM45" s="41">
        <f t="shared" si="21"/>
        <v>-4.1330784948240853E-4</v>
      </c>
      <c r="AN45" s="41">
        <f t="shared" si="11"/>
        <v>5.8551338317424974E-5</v>
      </c>
      <c r="AO45" s="41">
        <f t="shared" si="22"/>
        <v>-3.5475651116498357E-4</v>
      </c>
      <c r="AP45" s="45"/>
      <c r="AQ45" s="55"/>
      <c r="AR45" s="48"/>
      <c r="AS45" s="48"/>
      <c r="AT45" s="51">
        <f t="shared" si="23"/>
        <v>41</v>
      </c>
      <c r="AU45" s="49">
        <f t="shared" si="24"/>
        <v>3.5667163541846632E-9</v>
      </c>
      <c r="AV45" s="49">
        <f t="shared" si="25"/>
        <v>2.9275669158712487E-9</v>
      </c>
      <c r="AW45" s="50">
        <f xml:space="preserve"> IF(ISERROR(ROUND((1000*NPV($AT$1,$AV46:$AV$124)-$AW$1*($AU46+NPV($AT$1,$AU47:$AU$124)))/AU46,3)), 0, ROUND((1000*NPV($AT$1,$AV46:$AV$124)-$AW$1*($AU46+NPV($AT$1,$AU47:$AU$124)))/AU46,3))</f>
        <v>888.33299999999997</v>
      </c>
      <c r="AX45" s="50">
        <f>IF(ISERROR(ROUND(MAX(0,1000*NPV($AT$2,$AV46:$AV$124)-$AW$2*($AU46+NPV($AT$2,$AU47:$AU$124)))/AU46,3)), 0, ROUND(MAX(0,1000*NPV($AT$2,$AV46:$AV$124)-$AW$2*($AU46+NPV($AT$2,$AU47:$AU$124)))/AU46,3))</f>
        <v>848.79</v>
      </c>
    </row>
    <row r="46" spans="1:50" ht="15" x14ac:dyDescent="0.25">
      <c r="A46">
        <v>21</v>
      </c>
      <c r="B46">
        <v>1.20387355028129E-3</v>
      </c>
      <c r="C46">
        <f t="shared" si="30"/>
        <v>1.1316411372644126E-3</v>
      </c>
      <c r="D46" s="60">
        <v>56</v>
      </c>
      <c r="E46" s="5">
        <v>1738212.3423435285</v>
      </c>
      <c r="F46" s="5">
        <v>68355.075968175079</v>
      </c>
      <c r="G46" s="8"/>
      <c r="H46" s="63"/>
      <c r="I46" s="51">
        <v>42</v>
      </c>
      <c r="J46" s="41"/>
      <c r="K46" s="41" t="str">
        <f t="shared" si="26"/>
        <v/>
      </c>
      <c r="L46" s="42">
        <f t="shared" si="27"/>
        <v>25</v>
      </c>
      <c r="M46" s="41">
        <f t="shared" si="28"/>
        <v>2000000</v>
      </c>
      <c r="N46" s="43">
        <f t="shared" si="1"/>
        <v>851.27200000000005</v>
      </c>
      <c r="O46" s="44">
        <f t="shared" si="2"/>
        <v>890.20500000000004</v>
      </c>
      <c r="P46" s="41">
        <f t="shared" si="3"/>
        <v>1702544</v>
      </c>
      <c r="Q46" s="41">
        <f t="shared" si="4"/>
        <v>1780410</v>
      </c>
      <c r="R46" s="44"/>
      <c r="S46" s="44">
        <f>IF(I46&lt;&gt;"",_xlfn.XLOOKUP(D$4+I46,A$26:A$145,$C$26:$C$145,0) * 1000,"")</f>
        <v>837.915355267221</v>
      </c>
      <c r="T46" s="52">
        <f t="shared" si="29"/>
        <v>0</v>
      </c>
      <c r="U46" s="53">
        <f t="shared" si="12"/>
        <v>6.391494383134145E-10</v>
      </c>
      <c r="V46" s="53">
        <f t="shared" si="13"/>
        <v>5.3555312867322945E-10</v>
      </c>
      <c r="W46" s="53">
        <f t="shared" si="14"/>
        <v>0</v>
      </c>
      <c r="X46" s="46">
        <f t="shared" si="5"/>
        <v>1.0359630964018505E-10</v>
      </c>
      <c r="Y46" s="54"/>
      <c r="Z46" s="41">
        <f t="shared" si="15"/>
        <v>1.135555075970541E-3</v>
      </c>
      <c r="AA46" s="41">
        <f t="shared" si="16"/>
        <v>1.278298876626829E-5</v>
      </c>
      <c r="AB46" s="41">
        <f t="shared" si="6"/>
        <v>1.8444390564648186E-4</v>
      </c>
      <c r="AC46" s="41">
        <f t="shared" si="7"/>
        <v>2.071926192803701E-6</v>
      </c>
      <c r="AD46" s="54"/>
      <c r="AE46" s="41">
        <f t="shared" si="8"/>
        <v>0</v>
      </c>
      <c r="AF46" s="41"/>
      <c r="AG46" s="41">
        <f t="shared" si="9"/>
        <v>-2.5899077410046262E-9</v>
      </c>
      <c r="AH46" s="41">
        <f t="shared" si="17"/>
        <v>-1.0711062573464589E-3</v>
      </c>
      <c r="AI46" s="41">
        <f t="shared" si="18"/>
        <v>0</v>
      </c>
      <c r="AJ46" s="41">
        <f t="shared" si="19"/>
        <v>-1.0711088472541998E-3</v>
      </c>
      <c r="AK46" s="41">
        <f t="shared" si="10"/>
        <v>9.5111117032405904E-4</v>
      </c>
      <c r="AL46" s="41">
        <f t="shared" si="20"/>
        <v>4.593352258947237E-5</v>
      </c>
      <c r="AM46" s="41">
        <f t="shared" si="21"/>
        <v>-7.4064154340668421E-5</v>
      </c>
      <c r="AN46" s="41">
        <f t="shared" si="11"/>
        <v>1.0711062573464588E-5</v>
      </c>
      <c r="AO46" s="41">
        <f t="shared" si="22"/>
        <v>-6.3353091767203836E-5</v>
      </c>
      <c r="AP46" s="45"/>
      <c r="AQ46" s="55"/>
      <c r="AR46" s="48"/>
      <c r="AS46" s="48"/>
      <c r="AT46" s="51">
        <f t="shared" si="23"/>
        <v>42</v>
      </c>
      <c r="AU46" s="49">
        <f t="shared" si="24"/>
        <v>6.391494383134145E-10</v>
      </c>
      <c r="AV46" s="49">
        <f t="shared" si="25"/>
        <v>5.3555312867322945E-10</v>
      </c>
      <c r="AW46" s="50">
        <f xml:space="preserve"> IF(ISERROR(ROUND((1000*NPV($AT$1,$AV47:$AV$124)-$AW$1*($AU47+NPV($AT$1,$AU48:$AU$124)))/AU47,3)), 0, ROUND((1000*NPV($AT$1,$AV47:$AV$124)-$AW$1*($AU47+NPV($AT$1,$AU48:$AU$124)))/AU47,3))</f>
        <v>890.20500000000004</v>
      </c>
      <c r="AX46" s="50">
        <f>IF(ISERROR(ROUND(MAX(0,1000*NPV($AT$2,$AV47:$AV$124)-$AW$2*($AU47+NPV($AT$2,$AU48:$AU$124)))/AU47,3)), 0, ROUND(MAX(0,1000*NPV($AT$2,$AV47:$AV$124)-$AW$2*($AU47+NPV($AT$2,$AU48:$AU$124)))/AU47,3))</f>
        <v>851.27200000000005</v>
      </c>
    </row>
    <row r="47" spans="1:50" ht="15" x14ac:dyDescent="0.25">
      <c r="A47">
        <v>22</v>
      </c>
      <c r="B47">
        <v>1.2643504691876E-3</v>
      </c>
      <c r="C47">
        <f t="shared" si="30"/>
        <v>1.188489441036344E-3</v>
      </c>
      <c r="D47" s="60">
        <v>57</v>
      </c>
      <c r="E47" s="5">
        <v>1785277.4020104152</v>
      </c>
      <c r="F47" s="5">
        <v>69857.667268046411</v>
      </c>
      <c r="G47" s="8"/>
      <c r="H47" s="63"/>
      <c r="I47" s="51">
        <v>43</v>
      </c>
      <c r="J47" s="41"/>
      <c r="K47" s="41" t="str">
        <f t="shared" si="26"/>
        <v/>
      </c>
      <c r="L47" s="42">
        <f t="shared" si="27"/>
        <v>25</v>
      </c>
      <c r="M47" s="41">
        <f t="shared" si="28"/>
        <v>2000000</v>
      </c>
      <c r="N47" s="43">
        <f t="shared" si="1"/>
        <v>853.43799999999999</v>
      </c>
      <c r="O47" s="44">
        <f t="shared" si="2"/>
        <v>891.83799999999997</v>
      </c>
      <c r="P47" s="41">
        <f t="shared" si="3"/>
        <v>1706876</v>
      </c>
      <c r="Q47" s="41">
        <f t="shared" si="4"/>
        <v>1783676</v>
      </c>
      <c r="R47" s="44"/>
      <c r="S47" s="44">
        <f>IF(I47&lt;&gt;"",_xlfn.XLOOKUP(D$4+I47,A$26:A$145,$C$26:$C$145,0) * 1000,"")</f>
        <v>853.46524050693347</v>
      </c>
      <c r="T47" s="52">
        <f t="shared" si="29"/>
        <v>0</v>
      </c>
      <c r="U47" s="53">
        <f t="shared" si="12"/>
        <v>1.0359630964018505E-10</v>
      </c>
      <c r="V47" s="53">
        <f t="shared" si="13"/>
        <v>8.8415849322691278E-11</v>
      </c>
      <c r="W47" s="53">
        <f t="shared" si="14"/>
        <v>0</v>
      </c>
      <c r="X47" s="46">
        <f t="shared" si="5"/>
        <v>1.5180460317493775E-11</v>
      </c>
      <c r="Y47" s="54"/>
      <c r="Z47" s="41">
        <f t="shared" si="15"/>
        <v>1.8444390564648186E-4</v>
      </c>
      <c r="AA47" s="41">
        <f t="shared" si="16"/>
        <v>2.071926192803701E-6</v>
      </c>
      <c r="AB47" s="41">
        <f t="shared" si="6"/>
        <v>2.7077022737266028E-5</v>
      </c>
      <c r="AC47" s="41">
        <f t="shared" si="7"/>
        <v>3.0360920634987552E-7</v>
      </c>
      <c r="AD47" s="54"/>
      <c r="AE47" s="41">
        <f t="shared" si="8"/>
        <v>0</v>
      </c>
      <c r="AF47" s="41"/>
      <c r="AG47" s="41">
        <f t="shared" si="9"/>
        <v>-3.7951150793734436E-10</v>
      </c>
      <c r="AH47" s="41">
        <f t="shared" si="17"/>
        <v>-1.7683169864538256E-4</v>
      </c>
      <c r="AI47" s="41">
        <f t="shared" si="18"/>
        <v>0</v>
      </c>
      <c r="AJ47" s="41">
        <f t="shared" si="19"/>
        <v>-1.768320781568905E-4</v>
      </c>
      <c r="AK47" s="41">
        <f t="shared" si="10"/>
        <v>1.5736688290921583E-4</v>
      </c>
      <c r="AL47" s="41">
        <f t="shared" si="20"/>
        <v>7.4606332735714229E-6</v>
      </c>
      <c r="AM47" s="41">
        <f t="shared" si="21"/>
        <v>-1.2004561974103245E-5</v>
      </c>
      <c r="AN47" s="41">
        <f t="shared" si="11"/>
        <v>1.7683169864538255E-6</v>
      </c>
      <c r="AO47" s="41">
        <f t="shared" si="22"/>
        <v>-1.0236244987649419E-5</v>
      </c>
      <c r="AP47" s="45"/>
      <c r="AQ47" s="55"/>
      <c r="AR47" s="48"/>
      <c r="AS47" s="48"/>
      <c r="AT47" s="51">
        <f t="shared" si="23"/>
        <v>43</v>
      </c>
      <c r="AU47" s="49">
        <f t="shared" si="24"/>
        <v>1.0359630964018505E-10</v>
      </c>
      <c r="AV47" s="49">
        <f t="shared" si="25"/>
        <v>8.8415849322691278E-11</v>
      </c>
      <c r="AW47" s="50">
        <f xml:space="preserve"> IF(ISERROR(ROUND((1000*NPV($AT$1,$AV48:$AV$124)-$AW$1*($AU48+NPV($AT$1,$AU49:$AU$124)))/AU48,3)), 0, ROUND((1000*NPV($AT$1,$AV48:$AV$124)-$AW$1*($AU48+NPV($AT$1,$AU49:$AU$124)))/AU48,3))</f>
        <v>891.83799999999997</v>
      </c>
      <c r="AX47" s="50">
        <f>IF(ISERROR(ROUND(MAX(0,1000*NPV($AT$2,$AV48:$AV$124)-$AW$2*($AU48+NPV($AT$2,$AU49:$AU$124)))/AU48,3)), 0, ROUND(MAX(0,1000*NPV($AT$2,$AV48:$AV$124)-$AW$2*($AU48+NPV($AT$2,$AU49:$AU$124)))/AU48,3))</f>
        <v>853.43799999999999</v>
      </c>
    </row>
    <row r="48" spans="1:50" ht="15" x14ac:dyDescent="0.25">
      <c r="A48">
        <v>23</v>
      </c>
      <c r="B48">
        <v>1.3121580844162001E-3</v>
      </c>
      <c r="C48">
        <f t="shared" si="30"/>
        <v>1.2334285993512279E-3</v>
      </c>
      <c r="D48" s="60">
        <v>58</v>
      </c>
      <c r="E48" s="5">
        <v>1832906.452839033</v>
      </c>
      <c r="F48" s="5">
        <v>71357.872287340811</v>
      </c>
      <c r="G48" s="8"/>
      <c r="H48" s="63"/>
      <c r="I48" s="51">
        <v>44</v>
      </c>
      <c r="J48" s="41"/>
      <c r="K48" s="41" t="str">
        <f t="shared" si="26"/>
        <v/>
      </c>
      <c r="L48" s="42">
        <f t="shared" si="27"/>
        <v>25</v>
      </c>
      <c r="M48" s="41">
        <f t="shared" si="28"/>
        <v>2000000</v>
      </c>
      <c r="N48" s="43">
        <f t="shared" si="1"/>
        <v>855.33500000000004</v>
      </c>
      <c r="O48" s="44">
        <f t="shared" si="2"/>
        <v>893.26800000000003</v>
      </c>
      <c r="P48" s="41">
        <f t="shared" si="3"/>
        <v>1710670</v>
      </c>
      <c r="Q48" s="41">
        <f t="shared" si="4"/>
        <v>1786536</v>
      </c>
      <c r="R48" s="44"/>
      <c r="S48" s="44">
        <f>IF(I48&lt;&gt;"",_xlfn.XLOOKUP(D$4+I48,A$26:A$145,$C$26:$C$145,0) * 1000,"")</f>
        <v>867.41907592380937</v>
      </c>
      <c r="T48" s="52">
        <f t="shared" si="29"/>
        <v>0</v>
      </c>
      <c r="U48" s="53">
        <f t="shared" si="12"/>
        <v>1.5180460317493775E-11</v>
      </c>
      <c r="V48" s="53">
        <f t="shared" si="13"/>
        <v>1.3167820860698509E-11</v>
      </c>
      <c r="W48" s="53">
        <f t="shared" si="14"/>
        <v>0</v>
      </c>
      <c r="X48" s="46">
        <f t="shared" si="5"/>
        <v>2.012639456795266E-12</v>
      </c>
      <c r="Y48" s="54"/>
      <c r="Z48" s="41">
        <f t="shared" si="15"/>
        <v>2.7077022737266028E-5</v>
      </c>
      <c r="AA48" s="41">
        <f t="shared" si="16"/>
        <v>3.0360920634987552E-7</v>
      </c>
      <c r="AB48" s="41">
        <f t="shared" si="6"/>
        <v>3.5956528445851873E-6</v>
      </c>
      <c r="AC48" s="41">
        <f t="shared" si="7"/>
        <v>4.0252789135905317E-8</v>
      </c>
      <c r="AD48" s="54"/>
      <c r="AE48" s="41">
        <f t="shared" si="8"/>
        <v>0</v>
      </c>
      <c r="AF48" s="41"/>
      <c r="AG48" s="41">
        <f t="shared" si="9"/>
        <v>-5.0315986419881651E-11</v>
      </c>
      <c r="AH48" s="41">
        <f t="shared" si="17"/>
        <v>-2.6335641721397017E-5</v>
      </c>
      <c r="AI48" s="41">
        <f t="shared" si="18"/>
        <v>0</v>
      </c>
      <c r="AJ48" s="41">
        <f t="shared" si="19"/>
        <v>-2.6335692037383437E-5</v>
      </c>
      <c r="AK48" s="41">
        <f t="shared" si="10"/>
        <v>2.3481369892680841E-5</v>
      </c>
      <c r="AL48" s="41">
        <f t="shared" si="20"/>
        <v>1.0952252777446362E-6</v>
      </c>
      <c r="AM48" s="41">
        <f t="shared" si="21"/>
        <v>-1.7590968669579605E-6</v>
      </c>
      <c r="AN48" s="41">
        <f t="shared" si="11"/>
        <v>2.6335641721397018E-7</v>
      </c>
      <c r="AO48" s="41">
        <f t="shared" si="22"/>
        <v>-1.4957404497439903E-6</v>
      </c>
      <c r="AP48" s="45"/>
      <c r="AQ48" s="55"/>
      <c r="AR48" s="48"/>
      <c r="AS48" s="48"/>
      <c r="AT48" s="51">
        <f t="shared" si="23"/>
        <v>44</v>
      </c>
      <c r="AU48" s="49">
        <f t="shared" si="24"/>
        <v>1.5180460317493775E-11</v>
      </c>
      <c r="AV48" s="49">
        <f t="shared" si="25"/>
        <v>1.3167820860698509E-11</v>
      </c>
      <c r="AW48" s="50">
        <f xml:space="preserve"> IF(ISERROR(ROUND((1000*NPV($AT$1,$AV49:$AV$124)-$AW$1*($AU49+NPV($AT$1,$AU50:$AU$124)))/AU49,3)), 0, ROUND((1000*NPV($AT$1,$AV49:$AV$124)-$AW$1*($AU49+NPV($AT$1,$AU50:$AU$124)))/AU49,3))</f>
        <v>893.26800000000003</v>
      </c>
      <c r="AX48" s="50">
        <f>IF(ISERROR(ROUND(MAX(0,1000*NPV($AT$2,$AV49:$AV$124)-$AW$2*($AU49+NPV($AT$2,$AU50:$AU$124)))/AU49,3)), 0, ROUND(MAX(0,1000*NPV($AT$2,$AV49:$AV$124)-$AW$2*($AU49+NPV($AT$2,$AU50:$AU$124)))/AU49,3))</f>
        <v>855.33500000000004</v>
      </c>
    </row>
    <row r="49" spans="1:50" ht="15" x14ac:dyDescent="0.25">
      <c r="A49">
        <v>24</v>
      </c>
      <c r="B49">
        <v>1.3172739125596499E-3</v>
      </c>
      <c r="C49">
        <f t="shared" si="30"/>
        <v>1.2382374778060709E-3</v>
      </c>
      <c r="D49" s="60">
        <v>59</v>
      </c>
      <c r="E49" s="5">
        <v>1881080.548869363</v>
      </c>
      <c r="F49" s="5">
        <v>72854.723492974299</v>
      </c>
      <c r="G49" s="8"/>
      <c r="H49" s="63"/>
      <c r="I49" s="51">
        <v>45</v>
      </c>
      <c r="J49" s="41"/>
      <c r="K49" s="41" t="str">
        <f t="shared" si="26"/>
        <v/>
      </c>
      <c r="L49" s="42">
        <f t="shared" si="27"/>
        <v>25</v>
      </c>
      <c r="M49" s="41">
        <f t="shared" si="28"/>
        <v>2000000</v>
      </c>
      <c r="N49" s="43">
        <f t="shared" si="1"/>
        <v>857.18200000000002</v>
      </c>
      <c r="O49" s="44">
        <f t="shared" si="2"/>
        <v>894.65899999999999</v>
      </c>
      <c r="P49" s="41">
        <f t="shared" si="3"/>
        <v>1714364</v>
      </c>
      <c r="Q49" s="41">
        <f t="shared" si="4"/>
        <v>1789318</v>
      </c>
      <c r="R49" s="44"/>
      <c r="S49" s="44">
        <f>IF(I49&lt;&gt;"",_xlfn.XLOOKUP(D$4+I49,A$26:A$145,$C$26:$C$145,0) * 1000,"")</f>
        <v>879.78326940377565</v>
      </c>
      <c r="T49" s="52">
        <f t="shared" si="29"/>
        <v>0</v>
      </c>
      <c r="U49" s="53">
        <f t="shared" si="12"/>
        <v>2.012639456795266E-12</v>
      </c>
      <c r="V49" s="53">
        <f t="shared" si="13"/>
        <v>1.770686521430378E-12</v>
      </c>
      <c r="W49" s="53">
        <f t="shared" si="14"/>
        <v>0</v>
      </c>
      <c r="X49" s="46">
        <f t="shared" si="5"/>
        <v>2.4195293536488798E-13</v>
      </c>
      <c r="Y49" s="54"/>
      <c r="Z49" s="41">
        <f t="shared" si="15"/>
        <v>3.5956528445851873E-6</v>
      </c>
      <c r="AA49" s="41">
        <f t="shared" si="16"/>
        <v>4.0252789135905317E-8</v>
      </c>
      <c r="AB49" s="41">
        <f t="shared" si="6"/>
        <v>4.329307424012306E-7</v>
      </c>
      <c r="AC49" s="41">
        <f t="shared" si="7"/>
        <v>4.8390587072977596E-9</v>
      </c>
      <c r="AD49" s="54"/>
      <c r="AE49" s="41">
        <f t="shared" si="8"/>
        <v>0</v>
      </c>
      <c r="AF49" s="41"/>
      <c r="AG49" s="41">
        <f t="shared" si="9"/>
        <v>-6.0488233841221991E-12</v>
      </c>
      <c r="AH49" s="41">
        <f t="shared" si="17"/>
        <v>-3.5413730428607561E-6</v>
      </c>
      <c r="AI49" s="41">
        <f t="shared" si="18"/>
        <v>0</v>
      </c>
      <c r="AJ49" s="41">
        <f t="shared" si="19"/>
        <v>-3.5413790916841402E-6</v>
      </c>
      <c r="AK49" s="41">
        <f t="shared" si="10"/>
        <v>3.1627221021839566E-6</v>
      </c>
      <c r="AL49" s="41">
        <f t="shared" si="20"/>
        <v>1.4543622534884369E-7</v>
      </c>
      <c r="AM49" s="41">
        <f t="shared" si="21"/>
        <v>-2.3322076415133986E-7</v>
      </c>
      <c r="AN49" s="41">
        <f t="shared" si="11"/>
        <v>3.5413730428607554E-8</v>
      </c>
      <c r="AO49" s="41">
        <f t="shared" si="22"/>
        <v>-1.9780703372273232E-7</v>
      </c>
      <c r="AP49" s="45"/>
      <c r="AQ49" s="45"/>
      <c r="AR49" s="48"/>
      <c r="AS49" s="48"/>
      <c r="AT49" s="51">
        <f t="shared" si="23"/>
        <v>45</v>
      </c>
      <c r="AU49" s="49">
        <f t="shared" si="24"/>
        <v>2.012639456795266E-12</v>
      </c>
      <c r="AV49" s="49">
        <f t="shared" si="25"/>
        <v>1.770686521430378E-12</v>
      </c>
      <c r="AW49" s="50">
        <f xml:space="preserve"> IF(ISERROR(ROUND((1000*NPV($AT$1,$AV50:$AV$124)-$AW$1*($AU50+NPV($AT$1,$AU51:$AU$124)))/AU50,3)), 0, ROUND((1000*NPV($AT$1,$AV50:$AV$124)-$AW$1*($AU50+NPV($AT$1,$AU51:$AU$124)))/AU50,3))</f>
        <v>894.65899999999999</v>
      </c>
      <c r="AX49" s="50">
        <f>IF(ISERROR(ROUND(MAX(0,1000*NPV($AT$2,$AV50:$AV$124)-$AW$2*($AU50+NPV($AT$2,$AU51:$AU$124)))/AU50,3)), 0, ROUND(MAX(0,1000*NPV($AT$2,$AV50:$AV$124)-$AW$2*($AU50+NPV($AT$2,$AU51:$AU$124)))/AU50,3))</f>
        <v>857.18200000000002</v>
      </c>
    </row>
    <row r="50" spans="1:50" ht="15" x14ac:dyDescent="0.25">
      <c r="A50">
        <v>25</v>
      </c>
      <c r="B50">
        <v>1.32409499276931E-3</v>
      </c>
      <c r="C50">
        <f t="shared" si="30"/>
        <v>1.2446492932031512E-3</v>
      </c>
      <c r="D50" s="60">
        <v>60</v>
      </c>
      <c r="E50" s="5">
        <v>1929598.6840457437</v>
      </c>
      <c r="F50" s="5">
        <v>74337.217048142804</v>
      </c>
      <c r="G50" s="8"/>
      <c r="H50" s="63"/>
      <c r="I50" s="51">
        <v>46</v>
      </c>
      <c r="J50" s="41"/>
      <c r="K50" s="41" t="str">
        <f t="shared" si="26"/>
        <v/>
      </c>
      <c r="L50" s="42">
        <f t="shared" si="27"/>
        <v>25</v>
      </c>
      <c r="M50" s="41">
        <f t="shared" si="28"/>
        <v>2000000</v>
      </c>
      <c r="N50" s="43">
        <f t="shared" si="1"/>
        <v>858.72</v>
      </c>
      <c r="O50" s="44">
        <f t="shared" si="2"/>
        <v>895.81700000000001</v>
      </c>
      <c r="P50" s="41">
        <f t="shared" si="3"/>
        <v>1717440</v>
      </c>
      <c r="Q50" s="41">
        <f t="shared" si="4"/>
        <v>1791634</v>
      </c>
      <c r="R50" s="44"/>
      <c r="S50" s="44">
        <f>IF(I50&lt;&gt;"",_xlfn.XLOOKUP(D$4+I50,A$26:A$145,$C$26:$C$145,0) * 1000,"")</f>
        <v>892.33024949735284</v>
      </c>
      <c r="T50" s="52">
        <f t="shared" si="29"/>
        <v>0</v>
      </c>
      <c r="U50" s="53">
        <f t="shared" si="12"/>
        <v>2.4195293536488798E-13</v>
      </c>
      <c r="V50" s="53">
        <f t="shared" si="13"/>
        <v>2.1590192318076737E-13</v>
      </c>
      <c r="W50" s="53">
        <f t="shared" si="14"/>
        <v>0</v>
      </c>
      <c r="X50" s="46">
        <f t="shared" si="5"/>
        <v>2.6051012184120609E-14</v>
      </c>
      <c r="Y50" s="54"/>
      <c r="Z50" s="41">
        <f t="shared" si="15"/>
        <v>4.329307424012306E-7</v>
      </c>
      <c r="AA50" s="41">
        <f t="shared" si="16"/>
        <v>4.8390587072977596E-9</v>
      </c>
      <c r="AB50" s="41">
        <f t="shared" si="6"/>
        <v>4.6673879163484747E-8</v>
      </c>
      <c r="AC50" s="41">
        <f t="shared" si="7"/>
        <v>5.2102024368241221E-10</v>
      </c>
      <c r="AD50" s="54"/>
      <c r="AE50" s="41">
        <f t="shared" si="8"/>
        <v>0</v>
      </c>
      <c r="AF50" s="41"/>
      <c r="AG50" s="41">
        <f t="shared" si="9"/>
        <v>-6.5127530460301529E-13</v>
      </c>
      <c r="AH50" s="41">
        <f t="shared" si="17"/>
        <v>-4.3180384636153475E-7</v>
      </c>
      <c r="AI50" s="41">
        <f t="shared" si="18"/>
        <v>0</v>
      </c>
      <c r="AJ50" s="41">
        <f t="shared" si="19"/>
        <v>-4.3180449763683934E-7</v>
      </c>
      <c r="AK50" s="41">
        <f t="shared" si="10"/>
        <v>3.8625686323774586E-7</v>
      </c>
      <c r="AL50" s="41">
        <f t="shared" si="20"/>
        <v>1.7510792044341136E-8</v>
      </c>
      <c r="AM50" s="41">
        <f t="shared" si="21"/>
        <v>-2.8036842354752335E-8</v>
      </c>
      <c r="AN50" s="41">
        <f t="shared" si="11"/>
        <v>4.3180384636153474E-9</v>
      </c>
      <c r="AO50" s="41">
        <f t="shared" si="22"/>
        <v>-2.3718803891136989E-8</v>
      </c>
      <c r="AP50" s="45"/>
      <c r="AQ50" s="45"/>
      <c r="AR50" s="48"/>
      <c r="AS50" s="48"/>
      <c r="AT50" s="51">
        <f t="shared" si="23"/>
        <v>46</v>
      </c>
      <c r="AU50" s="49">
        <f t="shared" si="24"/>
        <v>2.4195293536488798E-13</v>
      </c>
      <c r="AV50" s="49">
        <f t="shared" si="25"/>
        <v>2.1590192318076737E-13</v>
      </c>
      <c r="AW50" s="50">
        <f xml:space="preserve"> IF(ISERROR(ROUND((1000*NPV($AT$1,$AV51:$AV$124)-$AW$1*($AU51+NPV($AT$1,$AU52:$AU$124)))/AU51,3)), 0, ROUND((1000*NPV($AT$1,$AV51:$AV$124)-$AW$1*($AU51+NPV($AT$1,$AU52:$AU$124)))/AU51,3))</f>
        <v>895.81700000000001</v>
      </c>
      <c r="AX50" s="50">
        <f>IF(ISERROR(ROUND(MAX(0,1000*NPV($AT$2,$AV51:$AV$124)-$AW$2*($AU51+NPV($AT$2,$AU52:$AU$124)))/AU51,3)), 0, ROUND(MAX(0,1000*NPV($AT$2,$AV51:$AV$124)-$AW$2*($AU51+NPV($AT$2,$AU52:$AU$124)))/AU51,3))</f>
        <v>858.72</v>
      </c>
    </row>
    <row r="51" spans="1:50" ht="15" x14ac:dyDescent="0.25">
      <c r="A51">
        <v>26</v>
      </c>
      <c r="B51">
        <v>1.2447593427817899E-3</v>
      </c>
      <c r="C51">
        <f t="shared" si="30"/>
        <v>1.1700737822148825E-3</v>
      </c>
      <c r="D51" s="60">
        <v>61</v>
      </c>
      <c r="E51" s="5">
        <v>1978509.98976276</v>
      </c>
      <c r="F51" s="5">
        <v>75808.629517576657</v>
      </c>
      <c r="G51" s="8"/>
      <c r="H51" s="63"/>
      <c r="I51" s="51">
        <v>47</v>
      </c>
      <c r="J51" s="41"/>
      <c r="K51" s="41" t="str">
        <f t="shared" si="26"/>
        <v/>
      </c>
      <c r="L51" s="42">
        <f t="shared" si="27"/>
        <v>25</v>
      </c>
      <c r="M51" s="41">
        <f t="shared" si="28"/>
        <v>2000000</v>
      </c>
      <c r="N51" s="43">
        <f t="shared" si="1"/>
        <v>859.98699999999997</v>
      </c>
      <c r="O51" s="44">
        <f t="shared" si="2"/>
        <v>896.77</v>
      </c>
      <c r="P51" s="41">
        <f t="shared" si="3"/>
        <v>1719974</v>
      </c>
      <c r="Q51" s="41">
        <f t="shared" si="4"/>
        <v>1793540</v>
      </c>
      <c r="R51" s="44"/>
      <c r="S51" s="44">
        <f>IF(I51&lt;&gt;"",_xlfn.XLOOKUP(D$4+I51,A$26:A$145,$C$26:$C$145,0) * 1000,"")</f>
        <v>903.00218533578447</v>
      </c>
      <c r="T51" s="52">
        <f t="shared" si="29"/>
        <v>0</v>
      </c>
      <c r="U51" s="53">
        <f t="shared" si="12"/>
        <v>2.6051012184120609E-14</v>
      </c>
      <c r="V51" s="53">
        <f t="shared" si="13"/>
        <v>2.3524120932470058E-14</v>
      </c>
      <c r="W51" s="53">
        <f t="shared" si="14"/>
        <v>0</v>
      </c>
      <c r="X51" s="46">
        <f t="shared" si="5"/>
        <v>2.5268912516505519E-15</v>
      </c>
      <c r="Y51" s="54"/>
      <c r="Z51" s="41">
        <f t="shared" si="15"/>
        <v>4.6673879163484747E-8</v>
      </c>
      <c r="AA51" s="41">
        <f t="shared" si="16"/>
        <v>5.2102024368241221E-10</v>
      </c>
      <c r="AB51" s="41">
        <f t="shared" si="6"/>
        <v>4.5320805354853308E-9</v>
      </c>
      <c r="AC51" s="41">
        <f t="shared" si="7"/>
        <v>5.0537825033011039E-11</v>
      </c>
      <c r="AD51" s="54"/>
      <c r="AE51" s="41">
        <f t="shared" si="8"/>
        <v>0</v>
      </c>
      <c r="AF51" s="41"/>
      <c r="AG51" s="41">
        <f t="shared" si="9"/>
        <v>-6.3172281291263801E-14</v>
      </c>
      <c r="AH51" s="41">
        <f t="shared" si="17"/>
        <v>-4.7048241864940117E-8</v>
      </c>
      <c r="AI51" s="41">
        <f t="shared" si="18"/>
        <v>0</v>
      </c>
      <c r="AJ51" s="41">
        <f t="shared" si="19"/>
        <v>-4.7048305037221407E-8</v>
      </c>
      <c r="AK51" s="41">
        <f t="shared" si="10"/>
        <v>4.2141798627999415E-8</v>
      </c>
      <c r="AL51" s="41">
        <f t="shared" si="20"/>
        <v>1.8877959762866865E-9</v>
      </c>
      <c r="AM51" s="41">
        <f t="shared" si="21"/>
        <v>-3.0187104329353057E-9</v>
      </c>
      <c r="AN51" s="41">
        <f t="shared" si="11"/>
        <v>4.7048241864940115E-10</v>
      </c>
      <c r="AO51" s="41">
        <f t="shared" si="22"/>
        <v>-2.5482280142859044E-9</v>
      </c>
      <c r="AP51" s="45"/>
      <c r="AQ51" s="45"/>
      <c r="AR51" s="48"/>
      <c r="AS51" s="48"/>
      <c r="AT51" s="51">
        <f t="shared" si="23"/>
        <v>47</v>
      </c>
      <c r="AU51" s="49">
        <f t="shared" si="24"/>
        <v>2.6051012184120609E-14</v>
      </c>
      <c r="AV51" s="49">
        <f t="shared" si="25"/>
        <v>2.3524120932470058E-14</v>
      </c>
      <c r="AW51" s="50">
        <f xml:space="preserve"> IF(ISERROR(ROUND((1000*NPV($AT$1,$AV52:$AV$124)-$AW$1*($AU52+NPV($AT$1,$AU53:$AU$124)))/AU52,3)), 0, ROUND((1000*NPV($AT$1,$AV52:$AV$124)-$AW$1*($AU52+NPV($AT$1,$AU53:$AU$124)))/AU52,3))</f>
        <v>896.77</v>
      </c>
      <c r="AX51" s="50">
        <f>IF(ISERROR(ROUND(MAX(0,1000*NPV($AT$2,$AV52:$AV$124)-$AW$2*($AU52+NPV($AT$2,$AU53:$AU$124)))/AU52,3)), 0, ROUND(MAX(0,1000*NPV($AT$2,$AV52:$AV$124)-$AW$2*($AU52+NPV($AT$2,$AU53:$AU$124)))/AU52,3))</f>
        <v>859.98699999999997</v>
      </c>
    </row>
    <row r="52" spans="1:50" ht="15" x14ac:dyDescent="0.25">
      <c r="A52">
        <v>27</v>
      </c>
      <c r="B52">
        <v>1.2724679951190399E-3</v>
      </c>
      <c r="C52">
        <f t="shared" si="30"/>
        <v>1.1961199154118974E-3</v>
      </c>
      <c r="D52" s="60">
        <v>62</v>
      </c>
      <c r="E52" s="5">
        <v>2028037.868049019</v>
      </c>
      <c r="F52" s="5">
        <v>77281.942573115462</v>
      </c>
      <c r="G52" s="8"/>
      <c r="H52" s="63"/>
      <c r="I52" s="51">
        <v>48</v>
      </c>
      <c r="J52" s="41"/>
      <c r="K52" s="41" t="str">
        <f t="shared" si="26"/>
        <v/>
      </c>
      <c r="L52" s="42">
        <f t="shared" si="27"/>
        <v>25</v>
      </c>
      <c r="M52" s="41">
        <f t="shared" si="28"/>
        <v>2000000</v>
      </c>
      <c r="N52" s="43">
        <f t="shared" si="1"/>
        <v>861.01400000000001</v>
      </c>
      <c r="O52" s="44">
        <f t="shared" si="2"/>
        <v>897.54300000000001</v>
      </c>
      <c r="P52" s="41">
        <f t="shared" si="3"/>
        <v>1722028</v>
      </c>
      <c r="Q52" s="41">
        <f t="shared" si="4"/>
        <v>1795086</v>
      </c>
      <c r="R52" s="44"/>
      <c r="S52" s="44">
        <f>IF(I52&lt;&gt;"",_xlfn.XLOOKUP(D$4+I52,A$26:A$145,$C$26:$C$145,0) * 1000,"")</f>
        <v>911.9440017761292</v>
      </c>
      <c r="T52" s="52">
        <f t="shared" si="29"/>
        <v>0</v>
      </c>
      <c r="U52" s="53">
        <f t="shared" si="12"/>
        <v>2.5268912516505519E-15</v>
      </c>
      <c r="V52" s="53">
        <f t="shared" si="13"/>
        <v>2.3043833200832966E-15</v>
      </c>
      <c r="W52" s="53">
        <f t="shared" si="14"/>
        <v>0</v>
      </c>
      <c r="X52" s="46">
        <f t="shared" si="5"/>
        <v>2.2250793156725532E-16</v>
      </c>
      <c r="Y52" s="54"/>
      <c r="Z52" s="41">
        <f t="shared" si="15"/>
        <v>4.5320805354853308E-9</v>
      </c>
      <c r="AA52" s="41">
        <f t="shared" si="16"/>
        <v>5.0537825033011039E-11</v>
      </c>
      <c r="AB52" s="41">
        <f t="shared" si="6"/>
        <v>3.9942087284533809E-10</v>
      </c>
      <c r="AC52" s="41">
        <f t="shared" si="7"/>
        <v>4.4501586313451063E-12</v>
      </c>
      <c r="AD52" s="54"/>
      <c r="AE52" s="41">
        <f t="shared" si="8"/>
        <v>0</v>
      </c>
      <c r="AF52" s="41"/>
      <c r="AG52" s="41">
        <f t="shared" si="9"/>
        <v>-5.562698289181383E-15</v>
      </c>
      <c r="AH52" s="41">
        <f t="shared" si="17"/>
        <v>-4.6087666401665929E-9</v>
      </c>
      <c r="AI52" s="41">
        <f t="shared" si="18"/>
        <v>0</v>
      </c>
      <c r="AJ52" s="41">
        <f t="shared" si="19"/>
        <v>-4.6087722028648824E-9</v>
      </c>
      <c r="AK52" s="41">
        <f t="shared" si="10"/>
        <v>4.1326596626399926E-9</v>
      </c>
      <c r="AL52" s="41">
        <f t="shared" si="20"/>
        <v>1.8330473442073369E-10</v>
      </c>
      <c r="AM52" s="41">
        <f>SUM(AJ52:AL52)</f>
        <v>-2.9280780580415613E-10</v>
      </c>
      <c r="AN52" s="41">
        <f t="shared" si="11"/>
        <v>4.6087666401665932E-11</v>
      </c>
      <c r="AO52" s="41">
        <f t="shared" si="22"/>
        <v>-2.4672013940249017E-10</v>
      </c>
      <c r="AP52" s="45"/>
      <c r="AQ52" s="45"/>
      <c r="AR52" s="48"/>
      <c r="AS52" s="48"/>
      <c r="AT52" s="51">
        <f t="shared" si="23"/>
        <v>48</v>
      </c>
      <c r="AU52" s="49">
        <f t="shared" si="24"/>
        <v>2.5268912516505519E-15</v>
      </c>
      <c r="AV52" s="49">
        <f t="shared" si="25"/>
        <v>2.3043833200832966E-15</v>
      </c>
      <c r="AW52" s="50">
        <f xml:space="preserve"> IF(ISERROR(ROUND((1000*NPV($AT$1,$AV53:$AV$124)-$AW$1*($AU53+NPV($AT$1,$AU54:$AU$124)))/AU53,3)), 0, ROUND((1000*NPV($AT$1,$AV53:$AV$124)-$AW$1*($AU53+NPV($AT$1,$AU54:$AU$124)))/AU53,3))</f>
        <v>897.54300000000001</v>
      </c>
      <c r="AX52" s="50">
        <f>IF(ISERROR(ROUND(MAX(0,1000*NPV($AT$2,$AV53:$AV$124)-$AW$2*($AU53+NPV($AT$2,$AU54:$AU$124)))/AU53,3)), 0, ROUND(MAX(0,1000*NPV($AT$2,$AV53:$AV$124)-$AW$2*($AU53+NPV($AT$2,$AU54:$AU$124)))/AU53,3))</f>
        <v>861.01400000000001</v>
      </c>
    </row>
    <row r="53" spans="1:50" ht="15" x14ac:dyDescent="0.25">
      <c r="A53">
        <v>28</v>
      </c>
      <c r="B53">
        <v>1.30537269745901E-3</v>
      </c>
      <c r="C53">
        <f t="shared" si="30"/>
        <v>1.2270503356114693E-3</v>
      </c>
      <c r="D53" s="60">
        <v>63</v>
      </c>
      <c r="E53" s="5">
        <v>2078195.0620236748</v>
      </c>
      <c r="F53" s="5">
        <v>78758.86154389102</v>
      </c>
      <c r="G53" s="8"/>
      <c r="H53" s="63"/>
      <c r="I53" s="51">
        <v>49</v>
      </c>
      <c r="J53" s="41"/>
      <c r="K53" s="41" t="str">
        <f t="shared" si="26"/>
        <v/>
      </c>
      <c r="L53" s="42">
        <f t="shared" si="27"/>
        <v>25</v>
      </c>
      <c r="M53" s="41">
        <f t="shared" si="28"/>
        <v>2000000</v>
      </c>
      <c r="N53" s="43">
        <f t="shared" si="1"/>
        <v>861.83299999999997</v>
      </c>
      <c r="O53" s="44">
        <f t="shared" si="2"/>
        <v>898.15899999999999</v>
      </c>
      <c r="P53" s="41">
        <f t="shared" si="3"/>
        <v>1723666</v>
      </c>
      <c r="Q53" s="41">
        <f t="shared" si="4"/>
        <v>1796318</v>
      </c>
      <c r="R53" s="44"/>
      <c r="S53" s="44">
        <f>IF(I53&lt;&gt;"",_xlfn.XLOOKUP(D$4+I53,A$26:A$145,$C$26:$C$145,0) * 1000,"")</f>
        <v>919.30598122126014</v>
      </c>
      <c r="T53" s="52">
        <f t="shared" si="29"/>
        <v>0</v>
      </c>
      <c r="U53" s="53">
        <f t="shared" si="12"/>
        <v>2.2250793156725532E-16</v>
      </c>
      <c r="V53" s="53">
        <f t="shared" si="13"/>
        <v>2.0455287235894865E-16</v>
      </c>
      <c r="W53" s="53">
        <f t="shared" si="14"/>
        <v>0</v>
      </c>
      <c r="X53" s="46">
        <f t="shared" si="5"/>
        <v>1.7955059208306667E-17</v>
      </c>
      <c r="Y53" s="54"/>
      <c r="Z53" s="41">
        <f t="shared" si="15"/>
        <v>3.9942087284533809E-10</v>
      </c>
      <c r="AA53" s="41">
        <f t="shared" si="16"/>
        <v>4.4501586313451063E-12</v>
      </c>
      <c r="AB53" s="41">
        <f t="shared" si="6"/>
        <v>3.2252996046947013E-11</v>
      </c>
      <c r="AC53" s="41">
        <f t="shared" si="7"/>
        <v>3.5910118416613334E-13</v>
      </c>
      <c r="AD53" s="54"/>
      <c r="AE53" s="41">
        <f t="shared" si="8"/>
        <v>0</v>
      </c>
      <c r="AF53" s="41"/>
      <c r="AG53" s="41">
        <f t="shared" si="9"/>
        <v>-4.488764802076667E-16</v>
      </c>
      <c r="AH53" s="41">
        <f t="shared" si="17"/>
        <v>-4.0910574471789731E-10</v>
      </c>
      <c r="AI53" s="41">
        <f t="shared" si="18"/>
        <v>0</v>
      </c>
      <c r="AJ53" s="41">
        <f t="shared" si="19"/>
        <v>-4.0910619359437752E-10</v>
      </c>
      <c r="AK53" s="41">
        <f t="shared" si="10"/>
        <v>3.6716787679839108E-10</v>
      </c>
      <c r="AL53" s="41">
        <f t="shared" si="20"/>
        <v>1.6154841259067329E-11</v>
      </c>
      <c r="AM53" s="41">
        <f t="shared" si="21"/>
        <v>-2.578347553691911E-11</v>
      </c>
      <c r="AN53" s="41">
        <f t="shared" si="11"/>
        <v>4.0910574471789727E-12</v>
      </c>
      <c r="AO53" s="41">
        <f t="shared" si="22"/>
        <v>-2.1692418089740138E-11</v>
      </c>
      <c r="AP53" s="45"/>
      <c r="AQ53" s="45"/>
      <c r="AR53" s="48"/>
      <c r="AS53" s="48"/>
      <c r="AT53" s="51">
        <f t="shared" si="23"/>
        <v>49</v>
      </c>
      <c r="AU53" s="49">
        <f t="shared" si="24"/>
        <v>2.2250793156725532E-16</v>
      </c>
      <c r="AV53" s="49">
        <f t="shared" si="25"/>
        <v>2.0455287235894865E-16</v>
      </c>
      <c r="AW53" s="50">
        <f xml:space="preserve"> IF(ISERROR(ROUND((1000*NPV($AT$1,$AV54:$AV$124)-$AW$1*($AU54+NPV($AT$1,$AU55:$AU$124)))/AU54,3)), 0, ROUND((1000*NPV($AT$1,$AV54:$AV$124)-$AW$1*($AU54+NPV($AT$1,$AU55:$AU$124)))/AU54,3))</f>
        <v>898.15899999999999</v>
      </c>
      <c r="AX53" s="50">
        <f>IF(ISERROR(ROUND(MAX(0,1000*NPV($AT$2,$AV54:$AV$124)-$AW$2*($AU54+NPV($AT$2,$AU55:$AU$124)))/AU54,3)), 0, ROUND(MAX(0,1000*NPV($AT$2,$AV54:$AV$124)-$AW$2*($AU54+NPV($AT$2,$AU55:$AU$124)))/AU54,3))</f>
        <v>861.83299999999997</v>
      </c>
    </row>
    <row r="54" spans="1:50" ht="15" x14ac:dyDescent="0.25">
      <c r="A54">
        <v>29</v>
      </c>
      <c r="B54">
        <v>1.3408889032565699E-3</v>
      </c>
      <c r="C54">
        <f t="shared" si="30"/>
        <v>1.2604355690611756E-3</v>
      </c>
      <c r="D54" s="60">
        <v>64</v>
      </c>
      <c r="E54" s="5">
        <v>2129092.4263611678</v>
      </c>
      <c r="F54" s="5">
        <v>80246.764765520347</v>
      </c>
      <c r="G54" s="8"/>
      <c r="H54" s="63"/>
      <c r="I54" s="51">
        <v>50</v>
      </c>
      <c r="J54" s="41"/>
      <c r="K54" s="41" t="str">
        <f t="shared" si="26"/>
        <v/>
      </c>
      <c r="L54" s="42">
        <f t="shared" si="27"/>
        <v>25</v>
      </c>
      <c r="M54" s="41">
        <f t="shared" si="28"/>
        <v>2000000</v>
      </c>
      <c r="N54" s="43">
        <f t="shared" si="1"/>
        <v>862.47400000000005</v>
      </c>
      <c r="O54" s="44">
        <f t="shared" si="2"/>
        <v>898.64</v>
      </c>
      <c r="P54" s="41">
        <f t="shared" si="3"/>
        <v>1724948</v>
      </c>
      <c r="Q54" s="41">
        <f t="shared" si="4"/>
        <v>1797280</v>
      </c>
      <c r="R54" s="44"/>
      <c r="S54" s="44">
        <f>IF(I54&lt;&gt;"",_xlfn.XLOOKUP(D$4+I54,A$26:A$145,$C$26:$C$145,0) * 1000,"")</f>
        <v>925.24201385091874</v>
      </c>
      <c r="T54" s="52">
        <f t="shared" si="29"/>
        <v>0</v>
      </c>
      <c r="U54" s="53">
        <f t="shared" si="12"/>
        <v>1.7955059208306667E-17</v>
      </c>
      <c r="V54" s="53">
        <f t="shared" si="13"/>
        <v>1.6612775140706146E-17</v>
      </c>
      <c r="W54" s="53">
        <f t="shared" si="14"/>
        <v>0</v>
      </c>
      <c r="X54" s="46">
        <f t="shared" si="5"/>
        <v>1.3422840676005211E-18</v>
      </c>
      <c r="Y54" s="54"/>
      <c r="Z54" s="41">
        <f t="shared" si="15"/>
        <v>3.2252996046947013E-11</v>
      </c>
      <c r="AA54" s="41">
        <f t="shared" si="16"/>
        <v>3.5910118416613334E-13</v>
      </c>
      <c r="AB54" s="41">
        <f t="shared" si="6"/>
        <v>2.4124603090170645E-12</v>
      </c>
      <c r="AC54" s="41">
        <f t="shared" si="7"/>
        <v>2.6845681352010422E-14</v>
      </c>
      <c r="AD54" s="54"/>
      <c r="AE54" s="41">
        <f t="shared" si="8"/>
        <v>0</v>
      </c>
      <c r="AF54" s="41"/>
      <c r="AG54" s="41">
        <f t="shared" si="9"/>
        <v>-3.3557101690013031E-17</v>
      </c>
      <c r="AH54" s="41">
        <f t="shared" si="17"/>
        <v>-3.3225550281412293E-11</v>
      </c>
      <c r="AI54" s="41">
        <f t="shared" si="18"/>
        <v>0</v>
      </c>
      <c r="AJ54" s="41">
        <f t="shared" si="19"/>
        <v>-3.3225583838513983E-11</v>
      </c>
      <c r="AK54" s="41">
        <f t="shared" si="10"/>
        <v>2.9840535737929946E-11</v>
      </c>
      <c r="AL54" s="41">
        <f t="shared" si="20"/>
        <v>1.3044838892445259E-12</v>
      </c>
      <c r="AM54" s="41">
        <f t="shared" si="21"/>
        <v>-2.0805642113395106E-12</v>
      </c>
      <c r="AN54" s="41">
        <f t="shared" si="11"/>
        <v>3.3225550281412294E-13</v>
      </c>
      <c r="AO54" s="41">
        <f t="shared" si="22"/>
        <v>-1.7483087085253878E-12</v>
      </c>
      <c r="AP54" s="45"/>
      <c r="AQ54" s="45"/>
      <c r="AR54" s="48"/>
      <c r="AS54" s="48"/>
      <c r="AT54" s="51">
        <f t="shared" si="23"/>
        <v>50</v>
      </c>
      <c r="AU54" s="49">
        <f t="shared" si="24"/>
        <v>1.7955059208306667E-17</v>
      </c>
      <c r="AV54" s="49">
        <f t="shared" si="25"/>
        <v>1.6612775140706146E-17</v>
      </c>
      <c r="AW54" s="50">
        <f xml:space="preserve"> IF(ISERROR(ROUND((1000*NPV($AT$1,$AV55:$AV$124)-$AW$1*($AU55+NPV($AT$1,$AU56:$AU$124)))/AU55,3)), 0, ROUND((1000*NPV($AT$1,$AV55:$AV$124)-$AW$1*($AU55+NPV($AT$1,$AU56:$AU$124)))/AU55,3))</f>
        <v>898.64</v>
      </c>
      <c r="AX54" s="50">
        <f>IF(ISERROR(ROUND(MAX(0,1000*NPV($AT$2,$AV55:$AV$124)-$AW$2*($AU55+NPV($AT$2,$AU56:$AU$124)))/AU55,3)), 0, ROUND(MAX(0,1000*NPV($AT$2,$AV55:$AV$124)-$AW$2*($AU55+NPV($AT$2,$AU56:$AU$124)))/AU55,3))</f>
        <v>862.47400000000005</v>
      </c>
    </row>
    <row r="55" spans="1:50" ht="15" x14ac:dyDescent="0.25">
      <c r="A55">
        <v>30</v>
      </c>
      <c r="B55">
        <v>1.38683866228873E-3</v>
      </c>
      <c r="C55">
        <f t="shared" si="30"/>
        <v>1.3036283425514061E-3</v>
      </c>
      <c r="D55" s="60">
        <v>65</v>
      </c>
      <c r="E55" s="5">
        <v>2179524.7762407036</v>
      </c>
      <c r="F55" s="5">
        <v>81683.024099265458</v>
      </c>
      <c r="G55" s="8"/>
      <c r="H55" s="63"/>
      <c r="I55" s="51">
        <v>51</v>
      </c>
      <c r="J55" s="41"/>
      <c r="K55" s="41" t="str">
        <f t="shared" si="26"/>
        <v/>
      </c>
      <c r="L55" s="42">
        <f t="shared" si="27"/>
        <v>25</v>
      </c>
      <c r="M55" s="41">
        <f t="shared" si="28"/>
        <v>2000000</v>
      </c>
      <c r="N55" s="43">
        <f t="shared" si="1"/>
        <v>862.96299999999997</v>
      </c>
      <c r="O55" s="44">
        <f t="shared" si="2"/>
        <v>899.00900000000001</v>
      </c>
      <c r="P55" s="41">
        <f t="shared" si="3"/>
        <v>1725926</v>
      </c>
      <c r="Q55" s="41">
        <f t="shared" si="4"/>
        <v>1798018</v>
      </c>
      <c r="R55" s="44"/>
      <c r="S55" s="44">
        <f>IF(I55&lt;&gt;"",_xlfn.XLOOKUP(D$4+I55,A$26:A$145,$C$26:$C$145,0) * 1000,"")</f>
        <v>929.9311174598306</v>
      </c>
      <c r="T55" s="52">
        <f t="shared" si="29"/>
        <v>0</v>
      </c>
      <c r="U55" s="53">
        <f t="shared" si="12"/>
        <v>1.3422840676005211E-18</v>
      </c>
      <c r="V55" s="53">
        <f t="shared" si="13"/>
        <v>1.2482317229322795E-18</v>
      </c>
      <c r="W55" s="53">
        <f t="shared" si="14"/>
        <v>0</v>
      </c>
      <c r="X55" s="46">
        <f t="shared" si="5"/>
        <v>9.4052344668241657E-20</v>
      </c>
      <c r="Y55" s="54"/>
      <c r="Z55" s="41">
        <f t="shared" si="15"/>
        <v>2.4124603090170645E-12</v>
      </c>
      <c r="AA55" s="41">
        <f t="shared" si="16"/>
        <v>2.6845681352010422E-14</v>
      </c>
      <c r="AB55" s="41">
        <f t="shared" si="6"/>
        <v>1.6910780865570254E-13</v>
      </c>
      <c r="AC55" s="41">
        <f t="shared" si="7"/>
        <v>1.8810468933648332E-15</v>
      </c>
      <c r="AD55" s="54"/>
      <c r="AE55" s="41">
        <f t="shared" si="8"/>
        <v>0</v>
      </c>
      <c r="AF55" s="41"/>
      <c r="AG55" s="41">
        <f t="shared" si="9"/>
        <v>-2.3513086167060414E-18</v>
      </c>
      <c r="AH55" s="41">
        <f t="shared" si="17"/>
        <v>-2.496463445864559E-12</v>
      </c>
      <c r="AI55" s="41">
        <f t="shared" si="18"/>
        <v>0</v>
      </c>
      <c r="AJ55" s="41">
        <f t="shared" si="19"/>
        <v>-2.4964657971731759E-12</v>
      </c>
      <c r="AK55" s="41">
        <f t="shared" si="10"/>
        <v>2.243352500361362E-12</v>
      </c>
      <c r="AL55" s="41">
        <f t="shared" si="20"/>
        <v>9.7572239614763003E-14</v>
      </c>
      <c r="AM55" s="41">
        <f t="shared" si="21"/>
        <v>-1.5554105719705088E-13</v>
      </c>
      <c r="AN55" s="41">
        <f t="shared" si="11"/>
        <v>2.4964634458645589E-14</v>
      </c>
      <c r="AO55" s="41">
        <f t="shared" si="22"/>
        <v>-1.305764227384053E-13</v>
      </c>
      <c r="AP55" s="45"/>
      <c r="AQ55" s="45"/>
      <c r="AR55" s="48"/>
      <c r="AS55" s="48"/>
      <c r="AT55" s="51">
        <f t="shared" si="23"/>
        <v>51</v>
      </c>
      <c r="AU55" s="49">
        <f t="shared" si="24"/>
        <v>1.3422840676005211E-18</v>
      </c>
      <c r="AV55" s="49">
        <f t="shared" si="25"/>
        <v>1.2482317229322795E-18</v>
      </c>
      <c r="AW55" s="50">
        <f xml:space="preserve"> IF(ISERROR(ROUND((1000*NPV($AT$1,$AV56:$AV$124)-$AW$1*($AU56+NPV($AT$1,$AU57:$AU$124)))/AU56,3)), 0, ROUND((1000*NPV($AT$1,$AV56:$AV$124)-$AW$1*($AU56+NPV($AT$1,$AU57:$AU$124)))/AU56,3))</f>
        <v>899.00900000000001</v>
      </c>
      <c r="AX55" s="50">
        <f>IF(ISERROR(ROUND(MAX(0,1000*NPV($AT$2,$AV56:$AV$124)-$AW$2*($AU56+NPV($AT$2,$AU57:$AU$124)))/AU56,3)), 0, ROUND(MAX(0,1000*NPV($AT$2,$AV56:$AV$124)-$AW$2*($AU56+NPV($AT$2,$AU57:$AU$124)))/AU56,3))</f>
        <v>862.96299999999997</v>
      </c>
    </row>
    <row r="56" spans="1:50" ht="15" x14ac:dyDescent="0.25">
      <c r="A56">
        <v>31</v>
      </c>
      <c r="B56">
        <v>1.45533874037562E-3</v>
      </c>
      <c r="C56">
        <f t="shared" si="30"/>
        <v>1.3680184159530827E-3</v>
      </c>
      <c r="D56" s="60"/>
      <c r="E56" s="5"/>
      <c r="F56" s="5"/>
      <c r="G56" s="8"/>
      <c r="I56" s="51">
        <v>52</v>
      </c>
      <c r="J56" s="41"/>
      <c r="K56" s="41" t="str">
        <f t="shared" si="26"/>
        <v/>
      </c>
      <c r="L56" s="42">
        <f t="shared" si="27"/>
        <v>25</v>
      </c>
      <c r="M56" s="41">
        <f t="shared" si="28"/>
        <v>2000000</v>
      </c>
      <c r="N56" s="43">
        <f t="shared" si="1"/>
        <v>863.34500000000003</v>
      </c>
      <c r="O56" s="44">
        <f t="shared" si="2"/>
        <v>899.29600000000005</v>
      </c>
      <c r="P56" s="41">
        <f t="shared" si="3"/>
        <v>1726690</v>
      </c>
      <c r="Q56" s="41">
        <f t="shared" si="4"/>
        <v>1798592</v>
      </c>
      <c r="R56" s="44"/>
      <c r="S56" s="44">
        <f>IF(I56&lt;&gt;"",_xlfn.XLOOKUP(D$4+I56,A$26:A$145,$C$26:$C$145,0) * 1000,"")</f>
        <v>933.53318847535468</v>
      </c>
      <c r="T56" s="52">
        <f t="shared" si="29"/>
        <v>0</v>
      </c>
      <c r="U56" s="53">
        <f t="shared" si="12"/>
        <v>9.4052344668241657E-20</v>
      </c>
      <c r="V56" s="53">
        <f t="shared" si="13"/>
        <v>8.7800985201726665E-20</v>
      </c>
      <c r="W56" s="53">
        <f t="shared" si="14"/>
        <v>0</v>
      </c>
      <c r="X56" s="46">
        <f t="shared" si="5"/>
        <v>6.2513594665149922E-21</v>
      </c>
      <c r="Y56" s="54"/>
      <c r="Z56" s="41">
        <f t="shared" si="15"/>
        <v>1.6910780865570254E-13</v>
      </c>
      <c r="AA56" s="41">
        <f t="shared" si="16"/>
        <v>1.8810468933648332E-15</v>
      </c>
      <c r="AB56" s="41">
        <f t="shared" si="6"/>
        <v>1.1243645125598132E-14</v>
      </c>
      <c r="AC56" s="41">
        <f t="shared" si="7"/>
        <v>1.2502718933029983E-16</v>
      </c>
      <c r="AD56" s="54"/>
      <c r="AE56" s="41">
        <f t="shared" si="8"/>
        <v>0</v>
      </c>
      <c r="AF56" s="41"/>
      <c r="AG56" s="41">
        <f t="shared" si="9"/>
        <v>-1.5628398666287481E-19</v>
      </c>
      <c r="AH56" s="41">
        <f t="shared" si="17"/>
        <v>-1.7560197040345332E-13</v>
      </c>
      <c r="AI56" s="41">
        <f t="shared" si="18"/>
        <v>0</v>
      </c>
      <c r="AJ56" s="41">
        <f t="shared" si="19"/>
        <v>-1.7560212668743999E-13</v>
      </c>
      <c r="AK56" s="41">
        <f t="shared" si="10"/>
        <v>1.5786416353010442E-13</v>
      </c>
      <c r="AL56" s="41">
        <f t="shared" si="20"/>
        <v>6.8395542219626951E-15</v>
      </c>
      <c r="AM56" s="41">
        <f t="shared" si="21"/>
        <v>-1.0898408935372875E-14</v>
      </c>
      <c r="AN56" s="41">
        <f t="shared" si="11"/>
        <v>1.7560197040345334E-15</v>
      </c>
      <c r="AO56" s="41">
        <f t="shared" si="22"/>
        <v>-9.142389231338342E-15</v>
      </c>
      <c r="AP56" s="45"/>
      <c r="AQ56" s="45"/>
      <c r="AR56" s="48"/>
      <c r="AS56" s="48"/>
      <c r="AT56" s="51">
        <f t="shared" si="23"/>
        <v>52</v>
      </c>
      <c r="AU56" s="49">
        <f t="shared" si="24"/>
        <v>9.4052344668241657E-20</v>
      </c>
      <c r="AV56" s="49">
        <f t="shared" si="25"/>
        <v>8.7800985201726665E-20</v>
      </c>
      <c r="AW56" s="50">
        <f xml:space="preserve"> IF(ISERROR(ROUND((1000*NPV($AT$1,$AV57:$AV$124)-$AW$1*($AU57+NPV($AT$1,$AU58:$AU$124)))/AU57,3)), 0, ROUND((1000*NPV($AT$1,$AV57:$AV$124)-$AW$1*($AU57+NPV($AT$1,$AU58:$AU$124)))/AU57,3))</f>
        <v>899.29600000000005</v>
      </c>
      <c r="AX56" s="50">
        <f>IF(ISERROR(ROUND(MAX(0,1000*NPV($AT$2,$AV57:$AV$124)-$AW$2*($AU57+NPV($AT$2,$AU58:$AU$124)))/AU57,3)), 0, ROUND(MAX(0,1000*NPV($AT$2,$AV57:$AV$124)-$AW$2*($AU57+NPV($AT$2,$AU58:$AU$124)))/AU57,3))</f>
        <v>863.34500000000003</v>
      </c>
    </row>
    <row r="57" spans="1:50" ht="15" x14ac:dyDescent="0.25">
      <c r="A57">
        <v>32</v>
      </c>
      <c r="B57">
        <v>1.5377369758987601E-3</v>
      </c>
      <c r="C57">
        <f t="shared" si="30"/>
        <v>1.4454727573448344E-3</v>
      </c>
      <c r="D57" s="60"/>
      <c r="E57" s="5"/>
      <c r="F57" s="5"/>
      <c r="I57" s="51">
        <v>53</v>
      </c>
      <c r="J57" s="41"/>
      <c r="K57" s="41" t="str">
        <f t="shared" si="26"/>
        <v/>
      </c>
      <c r="L57" s="42">
        <f t="shared" si="27"/>
        <v>25</v>
      </c>
      <c r="M57" s="41">
        <f t="shared" si="28"/>
        <v>2000000</v>
      </c>
      <c r="N57" s="43">
        <f t="shared" si="1"/>
        <v>864.01800000000003</v>
      </c>
      <c r="O57" s="44">
        <f t="shared" si="2"/>
        <v>899.80799999999999</v>
      </c>
      <c r="P57" s="41">
        <f t="shared" si="3"/>
        <v>1728036</v>
      </c>
      <c r="Q57" s="41">
        <f t="shared" si="4"/>
        <v>1799616</v>
      </c>
      <c r="R57" s="44"/>
      <c r="S57" s="44">
        <f>IF(I57&lt;&gt;"",_xlfn.XLOOKUP(D$4+I57,A$26:A$145,$C$26:$C$145,0) * 1000,"")</f>
        <v>936.17817487415618</v>
      </c>
      <c r="T57" s="52">
        <f t="shared" si="29"/>
        <v>0</v>
      </c>
      <c r="U57" s="53">
        <f t="shared" si="12"/>
        <v>6.2513594665149922E-21</v>
      </c>
      <c r="V57" s="53">
        <f t="shared" si="13"/>
        <v>5.8523862958442837E-21</v>
      </c>
      <c r="W57" s="53">
        <f t="shared" si="14"/>
        <v>0</v>
      </c>
      <c r="X57" s="46">
        <f t="shared" si="5"/>
        <v>3.9897317067070847E-22</v>
      </c>
      <c r="Y57" s="54"/>
      <c r="Z57" s="41">
        <f t="shared" si="15"/>
        <v>1.1243645125598132E-14</v>
      </c>
      <c r="AA57" s="41">
        <f t="shared" si="16"/>
        <v>1.2502718933029983E-16</v>
      </c>
      <c r="AB57" s="41">
        <f t="shared" si="6"/>
        <v>7.1799850150973768E-16</v>
      </c>
      <c r="AC57" s="41">
        <f t="shared" si="7"/>
        <v>7.9794634134141693E-18</v>
      </c>
      <c r="AD57" s="54"/>
      <c r="AE57" s="41">
        <f t="shared" si="8"/>
        <v>0</v>
      </c>
      <c r="AF57" s="41"/>
      <c r="AG57" s="41">
        <f t="shared" si="9"/>
        <v>-9.9743292667677125E-21</v>
      </c>
      <c r="AH57" s="41">
        <f t="shared" si="17"/>
        <v>-1.1704772591688567E-14</v>
      </c>
      <c r="AI57" s="41">
        <f t="shared" si="18"/>
        <v>0</v>
      </c>
      <c r="AJ57" s="41">
        <f t="shared" si="19"/>
        <v>-1.1704782566017834E-14</v>
      </c>
      <c r="AK57" s="41">
        <f t="shared" si="10"/>
        <v>1.0525646624088395E-14</v>
      </c>
      <c r="AL57" s="41">
        <f t="shared" si="20"/>
        <v>4.5474689259713729E-16</v>
      </c>
      <c r="AM57" s="41">
        <f t="shared" si="21"/>
        <v>-7.2438904933230172E-16</v>
      </c>
      <c r="AN57" s="41">
        <f t="shared" si="11"/>
        <v>1.1704772591688567E-16</v>
      </c>
      <c r="AO57" s="41">
        <f t="shared" si="22"/>
        <v>-6.0734132341541607E-16</v>
      </c>
      <c r="AP57" s="45"/>
      <c r="AQ57" s="45"/>
      <c r="AR57" s="48"/>
      <c r="AS57" s="48"/>
      <c r="AT57" s="51">
        <f t="shared" si="23"/>
        <v>53</v>
      </c>
      <c r="AU57" s="49">
        <f t="shared" si="24"/>
        <v>6.2513594665149922E-21</v>
      </c>
      <c r="AV57" s="49">
        <f t="shared" si="25"/>
        <v>5.8523862958442837E-21</v>
      </c>
      <c r="AW57" s="50">
        <f xml:space="preserve"> IF(ISERROR(ROUND((1000*NPV($AT$1,$AV58:$AV$124)-$AW$1*($AU58+NPV($AT$1,$AU59:$AU$124)))/AU58,3)), 0, ROUND((1000*NPV($AT$1,$AV58:$AV$124)-$AW$1*($AU58+NPV($AT$1,$AU59:$AU$124)))/AU58,3))</f>
        <v>899.80799999999999</v>
      </c>
      <c r="AX57" s="50">
        <f>IF(ISERROR(ROUND(MAX(0,1000*NPV($AT$2,$AV58:$AV$124)-$AW$2*($AU58+NPV($AT$2,$AU59:$AU$124)))/AU58,3)), 0, ROUND(MAX(0,1000*NPV($AT$2,$AV58:$AV$124)-$AW$2*($AU58+NPV($AT$2,$AU59:$AU$124)))/AU58,3))</f>
        <v>864.01800000000003</v>
      </c>
    </row>
    <row r="58" spans="1:50" ht="15" x14ac:dyDescent="0.25">
      <c r="A58">
        <v>33</v>
      </c>
      <c r="B58">
        <v>1.61999112063216E-3</v>
      </c>
      <c r="C58">
        <f t="shared" si="30"/>
        <v>1.5227916533942303E-3</v>
      </c>
      <c r="D58" s="60"/>
      <c r="E58" s="5"/>
      <c r="F58" s="5"/>
      <c r="G58" s="11"/>
      <c r="I58" s="51">
        <v>54</v>
      </c>
      <c r="J58" s="41"/>
      <c r="K58" s="41" t="str">
        <f t="shared" si="26"/>
        <v/>
      </c>
      <c r="L58" s="42">
        <f t="shared" si="27"/>
        <v>25</v>
      </c>
      <c r="M58" s="41">
        <f t="shared" si="28"/>
        <v>2000000</v>
      </c>
      <c r="N58" s="43">
        <f t="shared" si="1"/>
        <v>871.53200000000004</v>
      </c>
      <c r="O58" s="44">
        <f t="shared" si="2"/>
        <v>905.44500000000005</v>
      </c>
      <c r="P58" s="41">
        <f t="shared" si="3"/>
        <v>1743064</v>
      </c>
      <c r="Q58" s="41">
        <f t="shared" si="4"/>
        <v>1810890</v>
      </c>
      <c r="R58" s="44"/>
      <c r="S58" s="44">
        <f>IF(I58&lt;&gt;"",_xlfn.XLOOKUP(D$4+I58,A$26:A$145,$C$26:$C$145,0) * 1000,"")</f>
        <v>938.00045020618973</v>
      </c>
      <c r="T58" s="52">
        <f t="shared" si="29"/>
        <v>0</v>
      </c>
      <c r="U58" s="53">
        <f t="shared" si="12"/>
        <v>3.9897317067070847E-22</v>
      </c>
      <c r="V58" s="53">
        <f t="shared" si="13"/>
        <v>3.7423701370931553E-22</v>
      </c>
      <c r="W58" s="53">
        <f t="shared" si="14"/>
        <v>0</v>
      </c>
      <c r="X58" s="46">
        <f t="shared" si="5"/>
        <v>2.4736156961392944E-23</v>
      </c>
      <c r="Y58" s="54"/>
      <c r="Z58" s="41">
        <f t="shared" si="15"/>
        <v>7.1799850150973768E-16</v>
      </c>
      <c r="AA58" s="41">
        <f t="shared" si="16"/>
        <v>7.9794634134141693E-18</v>
      </c>
      <c r="AB58" s="41">
        <f t="shared" si="6"/>
        <v>4.479445927981687E-17</v>
      </c>
      <c r="AC58" s="41">
        <f t="shared" si="7"/>
        <v>4.9472313922785892E-19</v>
      </c>
      <c r="AD58" s="54"/>
      <c r="AE58" s="41">
        <f t="shared" si="8"/>
        <v>0</v>
      </c>
      <c r="AF58" s="41"/>
      <c r="AG58" s="41">
        <f t="shared" si="9"/>
        <v>-6.1840392403482365E-22</v>
      </c>
      <c r="AH58" s="41">
        <f t="shared" si="17"/>
        <v>-7.4847402741863105E-16</v>
      </c>
      <c r="AI58" s="41">
        <f t="shared" si="18"/>
        <v>0</v>
      </c>
      <c r="AJ58" s="41">
        <f t="shared" si="19"/>
        <v>-7.4847464582255509E-16</v>
      </c>
      <c r="AK58" s="41">
        <f t="shared" si="10"/>
        <v>6.7320404222992078E-16</v>
      </c>
      <c r="AL58" s="41">
        <f t="shared" si="20"/>
        <v>2.9039118596926075E-17</v>
      </c>
      <c r="AM58" s="41">
        <f t="shared" si="21"/>
        <v>-4.6231484995708232E-17</v>
      </c>
      <c r="AN58" s="41">
        <f t="shared" si="11"/>
        <v>7.4847402741863112E-18</v>
      </c>
      <c r="AO58" s="41">
        <f t="shared" si="22"/>
        <v>-3.8746744721521921E-17</v>
      </c>
      <c r="AP58" s="45"/>
      <c r="AQ58" s="45"/>
      <c r="AR58" s="48"/>
      <c r="AS58" s="48"/>
      <c r="AT58" s="51">
        <f t="shared" si="23"/>
        <v>54</v>
      </c>
      <c r="AU58" s="49">
        <f t="shared" si="24"/>
        <v>3.9897317067070847E-22</v>
      </c>
      <c r="AV58" s="49">
        <f t="shared" si="25"/>
        <v>3.7423701370931553E-22</v>
      </c>
      <c r="AW58" s="50">
        <f xml:space="preserve"> IF(ISERROR(ROUND((1000*NPV($AT$1,$AV59:$AV$124)-$AW$1*($AU59+NPV($AT$1,$AU60:$AU$124)))/AU59,3)), 0, ROUND((1000*NPV($AT$1,$AV59:$AV$124)-$AW$1*($AU59+NPV($AT$1,$AU60:$AU$124)))/AU59,3))</f>
        <v>905.44500000000005</v>
      </c>
      <c r="AX58" s="50">
        <f>IF(ISERROR(ROUND(MAX(0,1000*NPV($AT$2,$AV59:$AV$124)-$AW$2*($AU59+NPV($AT$2,$AU60:$AU$124)))/AU59,3)), 0, ROUND(MAX(0,1000*NPV($AT$2,$AV59:$AV$124)-$AW$2*($AU59+NPV($AT$2,$AU60:$AU$124)))/AU59,3))</f>
        <v>871.53200000000004</v>
      </c>
    </row>
    <row r="59" spans="1:50" ht="15" x14ac:dyDescent="0.25">
      <c r="A59">
        <v>34</v>
      </c>
      <c r="B59">
        <v>1.7223752285900899E-3</v>
      </c>
      <c r="C59">
        <f t="shared" si="30"/>
        <v>1.6190327148746845E-3</v>
      </c>
      <c r="D59" s="60"/>
      <c r="E59" s="5"/>
      <c r="F59" s="5"/>
      <c r="I59" s="51">
        <v>55</v>
      </c>
      <c r="J59" s="41"/>
      <c r="K59" s="41" t="str">
        <f t="shared" si="26"/>
        <v/>
      </c>
      <c r="L59" s="42">
        <f t="shared" si="27"/>
        <v>25</v>
      </c>
      <c r="M59" s="41">
        <f t="shared" si="28"/>
        <v>2000000</v>
      </c>
      <c r="N59" s="43">
        <f t="shared" si="1"/>
        <v>0</v>
      </c>
      <c r="O59" s="44">
        <f t="shared" si="2"/>
        <v>0</v>
      </c>
      <c r="P59" s="41">
        <f t="shared" si="3"/>
        <v>0</v>
      </c>
      <c r="Q59" s="41">
        <f t="shared" si="4"/>
        <v>0</v>
      </c>
      <c r="R59" s="44"/>
      <c r="S59" s="44">
        <f>IF(I59&lt;&gt;"",_xlfn.XLOOKUP(D$4+I59,A$26:A$145,$C$26:$C$145,0) * 1000,"")</f>
        <v>1000</v>
      </c>
      <c r="T59" s="52">
        <f t="shared" si="29"/>
        <v>0</v>
      </c>
      <c r="U59" s="53">
        <f t="shared" si="12"/>
        <v>2.4736156961392944E-23</v>
      </c>
      <c r="V59" s="53">
        <f t="shared" si="13"/>
        <v>2.4736156961392944E-23</v>
      </c>
      <c r="W59" s="53">
        <f t="shared" si="14"/>
        <v>0</v>
      </c>
      <c r="X59" s="46">
        <f t="shared" si="5"/>
        <v>0</v>
      </c>
      <c r="Y59" s="54"/>
      <c r="Z59" s="41">
        <f t="shared" si="15"/>
        <v>4.479445927981687E-17</v>
      </c>
      <c r="AA59" s="41">
        <f t="shared" si="16"/>
        <v>4.9472313922785892E-19</v>
      </c>
      <c r="AB59" s="41">
        <f t="shared" si="6"/>
        <v>0</v>
      </c>
      <c r="AC59" s="41">
        <f t="shared" si="7"/>
        <v>0</v>
      </c>
      <c r="AD59" s="54"/>
      <c r="AE59" s="41">
        <f t="shared" si="8"/>
        <v>0</v>
      </c>
      <c r="AF59" s="41"/>
      <c r="AG59" s="41">
        <f t="shared" si="9"/>
        <v>0</v>
      </c>
      <c r="AH59" s="41">
        <f t="shared" si="17"/>
        <v>-4.9472313922785889E-17</v>
      </c>
      <c r="AI59" s="41">
        <f t="shared" si="18"/>
        <v>0</v>
      </c>
      <c r="AJ59" s="41">
        <f t="shared" si="19"/>
        <v>-4.9472313922785889E-17</v>
      </c>
      <c r="AK59" s="41">
        <f t="shared" si="10"/>
        <v>4.479445927981687E-17</v>
      </c>
      <c r="AL59" s="41">
        <f t="shared" si="20"/>
        <v>1.8115672967617892E-18</v>
      </c>
      <c r="AM59" s="41">
        <f t="shared" si="21"/>
        <v>-2.8662873462072292E-18</v>
      </c>
      <c r="AN59" s="41">
        <f t="shared" si="11"/>
        <v>4.9472313922785892E-19</v>
      </c>
      <c r="AO59" s="41">
        <f t="shared" si="22"/>
        <v>-2.3715642069793703E-18</v>
      </c>
      <c r="AP59" s="45"/>
      <c r="AQ59" s="45"/>
      <c r="AR59" s="48"/>
      <c r="AS59" s="48"/>
      <c r="AT59" s="51">
        <f t="shared" si="23"/>
        <v>55</v>
      </c>
      <c r="AU59" s="49">
        <f t="shared" si="24"/>
        <v>2.4736156961392944E-23</v>
      </c>
      <c r="AV59" s="49">
        <f t="shared" si="25"/>
        <v>2.4736156961392944E-23</v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1:50" ht="15" x14ac:dyDescent="0.25">
      <c r="A60">
        <v>35</v>
      </c>
      <c r="B60">
        <v>1.8295553875716799E-3</v>
      </c>
      <c r="C60">
        <f t="shared" si="30"/>
        <v>1.7197820643173791E-3</v>
      </c>
      <c r="D60" s="60"/>
      <c r="E60" s="5"/>
      <c r="F60" s="5"/>
      <c r="I60" s="51"/>
      <c r="J60" s="41"/>
      <c r="K60" s="41" t="str">
        <f t="shared" si="26"/>
        <v/>
      </c>
      <c r="L60" s="42" t="str">
        <f t="shared" si="27"/>
        <v/>
      </c>
      <c r="M60" s="41" t="str">
        <f t="shared" si="28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>IF(I60&lt;&gt;"",_xlfn.XLOOKUP(D$4+I60,A$26:A$145,$C$26:$C$145,0) * 1000,"")</f>
        <v/>
      </c>
      <c r="T60" s="52">
        <f t="shared" si="29"/>
        <v>0</v>
      </c>
      <c r="U60" s="53" t="str">
        <f t="shared" si="12"/>
        <v/>
      </c>
      <c r="V60" s="53" t="str">
        <f t="shared" si="13"/>
        <v/>
      </c>
      <c r="W60" s="53" t="str">
        <f t="shared" si="14"/>
        <v/>
      </c>
      <c r="X60" s="46" t="str">
        <f t="shared" si="5"/>
        <v/>
      </c>
      <c r="Y60" s="54"/>
      <c r="Z60" s="41" t="str">
        <f t="shared" si="15"/>
        <v/>
      </c>
      <c r="AA60" s="41" t="str">
        <f t="shared" si="16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/>
      <c r="AG60" s="41" t="str">
        <f t="shared" si="9"/>
        <v/>
      </c>
      <c r="AH60" s="41" t="str">
        <f t="shared" si="17"/>
        <v/>
      </c>
      <c r="AI60" s="41" t="str">
        <f t="shared" si="18"/>
        <v/>
      </c>
      <c r="AJ60" s="41">
        <f t="shared" si="19"/>
        <v>0</v>
      </c>
      <c r="AK60" s="41" t="str">
        <f t="shared" si="10"/>
        <v/>
      </c>
      <c r="AL60" s="41">
        <f t="shared" si="20"/>
        <v>0</v>
      </c>
      <c r="AM60" s="41">
        <f t="shared" si="21"/>
        <v>0</v>
      </c>
      <c r="AN60" s="41" t="str">
        <f t="shared" si="11"/>
        <v/>
      </c>
      <c r="AO60" s="41">
        <f t="shared" si="22"/>
        <v>0</v>
      </c>
      <c r="AP60" s="45"/>
      <c r="AQ60" s="45"/>
      <c r="AR60" s="48"/>
      <c r="AS60" s="48"/>
      <c r="AT60" s="51">
        <f t="shared" si="23"/>
        <v>56</v>
      </c>
      <c r="AU60" s="49" t="str">
        <f t="shared" si="24"/>
        <v/>
      </c>
      <c r="AV60" s="49" t="str">
        <f t="shared" si="25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1.9061096513621799E-3</v>
      </c>
      <c r="C61">
        <f t="shared" si="30"/>
        <v>1.7917430722804489E-3</v>
      </c>
      <c r="D61" s="60"/>
      <c r="E61" s="5"/>
      <c r="F61" s="5"/>
      <c r="I61" s="51"/>
      <c r="J61" s="41"/>
      <c r="K61" s="41" t="str">
        <f t="shared" si="26"/>
        <v/>
      </c>
      <c r="L61" s="42" t="str">
        <f t="shared" si="27"/>
        <v/>
      </c>
      <c r="M61" s="41" t="str">
        <f t="shared" si="28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>IF(I61&lt;&gt;"",_xlfn.XLOOKUP(D$4+I61,A$26:A$145,$C$26:$C$145,0) * 1000,"")</f>
        <v/>
      </c>
      <c r="T61" s="52">
        <f t="shared" si="29"/>
        <v>0</v>
      </c>
      <c r="U61" s="53" t="str">
        <f t="shared" si="12"/>
        <v/>
      </c>
      <c r="V61" s="53" t="str">
        <f t="shared" si="13"/>
        <v/>
      </c>
      <c r="W61" s="53" t="str">
        <f t="shared" si="14"/>
        <v/>
      </c>
      <c r="X61" s="46" t="str">
        <f t="shared" si="5"/>
        <v/>
      </c>
      <c r="Y61" s="54"/>
      <c r="Z61" s="41" t="str">
        <f t="shared" si="15"/>
        <v/>
      </c>
      <c r="AA61" s="41" t="str">
        <f t="shared" si="16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17"/>
        <v/>
      </c>
      <c r="AI61" s="41" t="str">
        <f t="shared" si="18"/>
        <v/>
      </c>
      <c r="AJ61" s="41">
        <f t="shared" si="19"/>
        <v>0</v>
      </c>
      <c r="AK61" s="41" t="str">
        <f t="shared" si="10"/>
        <v/>
      </c>
      <c r="AL61" s="41">
        <f t="shared" si="20"/>
        <v>0</v>
      </c>
      <c r="AM61" s="41">
        <f t="shared" si="21"/>
        <v>0</v>
      </c>
      <c r="AN61" s="41" t="str">
        <f t="shared" si="11"/>
        <v/>
      </c>
      <c r="AO61" s="41">
        <f t="shared" si="22"/>
        <v>0</v>
      </c>
      <c r="AP61" s="45"/>
      <c r="AQ61" s="45"/>
      <c r="AR61" s="48"/>
      <c r="AS61" s="48"/>
      <c r="AT61" s="51">
        <f t="shared" si="23"/>
        <v>57</v>
      </c>
      <c r="AU61" s="49" t="str">
        <f t="shared" si="24"/>
        <v/>
      </c>
      <c r="AV61" s="49" t="str">
        <f t="shared" si="25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2.0729855547864098E-3</v>
      </c>
      <c r="C62">
        <f t="shared" si="30"/>
        <v>1.9486064214992251E-3</v>
      </c>
      <c r="D62" s="60"/>
      <c r="E62" s="5"/>
      <c r="F62" s="5"/>
      <c r="I62" s="51"/>
      <c r="J62" s="41"/>
      <c r="K62" s="41" t="str">
        <f t="shared" si="26"/>
        <v/>
      </c>
      <c r="L62" s="42" t="str">
        <f t="shared" si="27"/>
        <v/>
      </c>
      <c r="M62" s="41" t="str">
        <f t="shared" si="28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>IF(I62&lt;&gt;"",_xlfn.XLOOKUP(D$4+I62,A$26:A$145,$C$26:$C$145,0) * 1000,"")</f>
        <v/>
      </c>
      <c r="T62" s="52">
        <f t="shared" si="29"/>
        <v>0</v>
      </c>
      <c r="U62" s="53" t="str">
        <f t="shared" si="12"/>
        <v/>
      </c>
      <c r="V62" s="53" t="str">
        <f t="shared" si="13"/>
        <v/>
      </c>
      <c r="W62" s="53" t="str">
        <f t="shared" si="14"/>
        <v/>
      </c>
      <c r="X62" s="46" t="str">
        <f t="shared" si="5"/>
        <v/>
      </c>
      <c r="Y62" s="54"/>
      <c r="Z62" s="41" t="str">
        <f t="shared" si="15"/>
        <v/>
      </c>
      <c r="AA62" s="41" t="str">
        <f t="shared" si="16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17"/>
        <v/>
      </c>
      <c r="AI62" s="41" t="str">
        <f t="shared" si="18"/>
        <v/>
      </c>
      <c r="AJ62" s="41">
        <f t="shared" si="19"/>
        <v>0</v>
      </c>
      <c r="AK62" s="41" t="str">
        <f t="shared" si="10"/>
        <v/>
      </c>
      <c r="AL62" s="41">
        <f t="shared" si="20"/>
        <v>0</v>
      </c>
      <c r="AM62" s="41">
        <f t="shared" si="21"/>
        <v>0</v>
      </c>
      <c r="AN62" s="41" t="str">
        <f t="shared" si="11"/>
        <v/>
      </c>
      <c r="AO62" s="41">
        <f t="shared" si="22"/>
        <v>0</v>
      </c>
      <c r="AP62" s="45"/>
      <c r="AQ62" s="45"/>
      <c r="AR62" s="48"/>
      <c r="AS62" s="48"/>
      <c r="AT62" s="51">
        <f t="shared" si="23"/>
        <v>58</v>
      </c>
      <c r="AU62" s="49" t="str">
        <f t="shared" si="24"/>
        <v/>
      </c>
      <c r="AV62" s="49" t="str">
        <f t="shared" si="25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2.2671550699864301E-3</v>
      </c>
      <c r="C63">
        <f t="shared" si="30"/>
        <v>2.1311257657872442E-3</v>
      </c>
      <c r="D63" s="60"/>
      <c r="E63" s="5"/>
      <c r="F63" s="5"/>
      <c r="I63" s="51"/>
      <c r="J63" s="41"/>
      <c r="K63" s="41" t="str">
        <f t="shared" si="26"/>
        <v/>
      </c>
      <c r="L63" s="42" t="str">
        <f t="shared" si="27"/>
        <v/>
      </c>
      <c r="M63" s="41" t="str">
        <f t="shared" si="28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>IF(I63&lt;&gt;"",_xlfn.XLOOKUP(D$4+I63,A$26:A$145,$C$26:$C$145,0) * 1000,"")</f>
        <v/>
      </c>
      <c r="T63" s="52">
        <f t="shared" si="29"/>
        <v>0</v>
      </c>
      <c r="U63" s="53" t="str">
        <f t="shared" si="12"/>
        <v/>
      </c>
      <c r="V63" s="53" t="str">
        <f t="shared" si="13"/>
        <v/>
      </c>
      <c r="W63" s="53" t="str">
        <f t="shared" si="14"/>
        <v/>
      </c>
      <c r="X63" s="46" t="str">
        <f t="shared" si="5"/>
        <v/>
      </c>
      <c r="Y63" s="54"/>
      <c r="Z63" s="41" t="str">
        <f t="shared" si="15"/>
        <v/>
      </c>
      <c r="AA63" s="41" t="str">
        <f t="shared" si="16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17"/>
        <v/>
      </c>
      <c r="AI63" s="41" t="str">
        <f t="shared" si="18"/>
        <v/>
      </c>
      <c r="AJ63" s="41">
        <f t="shared" si="19"/>
        <v>0</v>
      </c>
      <c r="AK63" s="41" t="str">
        <f t="shared" si="10"/>
        <v/>
      </c>
      <c r="AL63" s="41">
        <f t="shared" si="20"/>
        <v>0</v>
      </c>
      <c r="AM63" s="41">
        <f t="shared" si="21"/>
        <v>0</v>
      </c>
      <c r="AN63" s="41" t="str">
        <f t="shared" si="11"/>
        <v/>
      </c>
      <c r="AO63" s="41">
        <f t="shared" si="22"/>
        <v>0</v>
      </c>
      <c r="AP63" s="45"/>
      <c r="AQ63" s="45"/>
      <c r="AR63" s="48"/>
      <c r="AS63" s="48"/>
      <c r="AT63" s="51">
        <f t="shared" si="23"/>
        <v>59</v>
      </c>
      <c r="AU63" s="49" t="str">
        <f t="shared" si="24"/>
        <v/>
      </c>
      <c r="AV63" s="49" t="str">
        <f t="shared" si="25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2.4666126053971599E-3</v>
      </c>
      <c r="C64">
        <f t="shared" si="30"/>
        <v>2.3186158490733303E-3</v>
      </c>
      <c r="D64" s="60"/>
      <c r="E64" s="5"/>
      <c r="F64" s="5"/>
      <c r="I64" s="51"/>
      <c r="J64" s="41"/>
      <c r="K64" s="41" t="str">
        <f t="shared" si="26"/>
        <v/>
      </c>
      <c r="L64" s="42" t="str">
        <f t="shared" si="27"/>
        <v/>
      </c>
      <c r="M64" s="41" t="str">
        <f t="shared" si="28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>IF(I64&lt;&gt;"",_xlfn.XLOOKUP(D$4+I64,A$26:A$145,$C$26:$C$145,0) * 1000,"")</f>
        <v/>
      </c>
      <c r="T64" s="52">
        <f t="shared" si="29"/>
        <v>0</v>
      </c>
      <c r="U64" s="53" t="str">
        <f t="shared" si="12"/>
        <v/>
      </c>
      <c r="V64" s="53" t="str">
        <f t="shared" si="13"/>
        <v/>
      </c>
      <c r="W64" s="53" t="str">
        <f t="shared" si="14"/>
        <v/>
      </c>
      <c r="X64" s="46" t="str">
        <f t="shared" si="5"/>
        <v/>
      </c>
      <c r="Y64" s="54"/>
      <c r="Z64" s="41" t="str">
        <f t="shared" si="15"/>
        <v/>
      </c>
      <c r="AA64" s="41" t="str">
        <f t="shared" si="16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17"/>
        <v/>
      </c>
      <c r="AI64" s="41" t="str">
        <f t="shared" si="18"/>
        <v/>
      </c>
      <c r="AJ64" s="41">
        <f t="shared" si="19"/>
        <v>0</v>
      </c>
      <c r="AK64" s="41" t="str">
        <f t="shared" si="10"/>
        <v/>
      </c>
      <c r="AL64" s="41">
        <f t="shared" si="20"/>
        <v>0</v>
      </c>
      <c r="AM64" s="41">
        <f t="shared" si="21"/>
        <v>0</v>
      </c>
      <c r="AN64" s="41" t="str">
        <f t="shared" si="11"/>
        <v/>
      </c>
      <c r="AO64" s="41">
        <f t="shared" si="22"/>
        <v>0</v>
      </c>
      <c r="AP64" s="45"/>
      <c r="AQ64" s="45"/>
      <c r="AR64" s="48"/>
      <c r="AS64" s="48"/>
      <c r="AT64" s="51">
        <f t="shared" si="23"/>
        <v>60</v>
      </c>
      <c r="AU64" s="49" t="str">
        <f t="shared" si="24"/>
        <v/>
      </c>
      <c r="AV64" s="49" t="str">
        <f t="shared" si="25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2.6746803676074302E-3</v>
      </c>
      <c r="C65">
        <f t="shared" si="30"/>
        <v>2.5141995455509841E-3</v>
      </c>
      <c r="D65" s="60"/>
      <c r="E65" s="5"/>
      <c r="F65" s="5"/>
      <c r="I65" s="51"/>
      <c r="J65" s="41"/>
      <c r="K65" s="41" t="str">
        <f t="shared" si="26"/>
        <v/>
      </c>
      <c r="L65" s="42" t="str">
        <f t="shared" si="27"/>
        <v/>
      </c>
      <c r="M65" s="41" t="str">
        <f t="shared" si="28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>IF(I65&lt;&gt;"",_xlfn.XLOOKUP(D$4+I65,A$26:A$145,$C$26:$C$145,0) * 1000,"")</f>
        <v/>
      </c>
      <c r="T65" s="52">
        <f t="shared" si="29"/>
        <v>0</v>
      </c>
      <c r="U65" s="53" t="str">
        <f t="shared" si="12"/>
        <v/>
      </c>
      <c r="V65" s="53" t="str">
        <f t="shared" si="13"/>
        <v/>
      </c>
      <c r="W65" s="53" t="str">
        <f t="shared" si="14"/>
        <v/>
      </c>
      <c r="X65" s="46" t="str">
        <f t="shared" si="5"/>
        <v/>
      </c>
      <c r="Y65" s="54"/>
      <c r="Z65" s="41" t="str">
        <f t="shared" si="15"/>
        <v/>
      </c>
      <c r="AA65" s="41" t="str">
        <f t="shared" si="16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17"/>
        <v/>
      </c>
      <c r="AI65" s="41" t="str">
        <f t="shared" si="18"/>
        <v/>
      </c>
      <c r="AJ65" s="41">
        <f t="shared" si="19"/>
        <v>0</v>
      </c>
      <c r="AK65" s="41" t="str">
        <f t="shared" si="10"/>
        <v/>
      </c>
      <c r="AL65" s="41">
        <f t="shared" si="20"/>
        <v>0</v>
      </c>
      <c r="AM65" s="41">
        <f t="shared" si="21"/>
        <v>0</v>
      </c>
      <c r="AN65" s="41" t="str">
        <f t="shared" si="11"/>
        <v/>
      </c>
      <c r="AO65" s="41">
        <f t="shared" si="22"/>
        <v>0</v>
      </c>
      <c r="AP65" s="45"/>
      <c r="AQ65" s="45"/>
      <c r="AR65" s="48"/>
      <c r="AS65" s="48"/>
      <c r="AT65" s="51">
        <f t="shared" si="23"/>
        <v>61</v>
      </c>
      <c r="AU65" s="49" t="str">
        <f t="shared" si="24"/>
        <v/>
      </c>
      <c r="AV65" s="49" t="str">
        <f t="shared" si="25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2.91716333331404E-3</v>
      </c>
      <c r="C66">
        <f t="shared" si="30"/>
        <v>2.7421335333151975E-3</v>
      </c>
      <c r="D66" s="60"/>
      <c r="E66" s="5"/>
      <c r="F66" s="5"/>
      <c r="I66" s="51"/>
      <c r="J66" s="41"/>
      <c r="K66" s="41" t="str">
        <f t="shared" si="26"/>
        <v/>
      </c>
      <c r="L66" s="42" t="str">
        <f t="shared" si="27"/>
        <v/>
      </c>
      <c r="M66" s="41" t="str">
        <f t="shared" si="28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>IF(I66&lt;&gt;"",_xlfn.XLOOKUP(D$4+I66,A$26:A$145,$C$26:$C$145,0) * 1000,"")</f>
        <v/>
      </c>
      <c r="T66" s="52">
        <f t="shared" si="29"/>
        <v>0</v>
      </c>
      <c r="U66" s="53" t="str">
        <f t="shared" si="12"/>
        <v/>
      </c>
      <c r="V66" s="53" t="str">
        <f t="shared" si="13"/>
        <v/>
      </c>
      <c r="W66" s="53" t="str">
        <f t="shared" si="14"/>
        <v/>
      </c>
      <c r="X66" s="46" t="str">
        <f t="shared" si="5"/>
        <v/>
      </c>
      <c r="Y66" s="54"/>
      <c r="Z66" s="41" t="str">
        <f t="shared" si="15"/>
        <v/>
      </c>
      <c r="AA66" s="41" t="str">
        <f t="shared" si="16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17"/>
        <v/>
      </c>
      <c r="AI66" s="41" t="str">
        <f t="shared" si="18"/>
        <v/>
      </c>
      <c r="AJ66" s="41">
        <f t="shared" si="19"/>
        <v>0</v>
      </c>
      <c r="AK66" s="41" t="str">
        <f t="shared" si="10"/>
        <v/>
      </c>
      <c r="AL66" s="41">
        <f t="shared" si="20"/>
        <v>0</v>
      </c>
      <c r="AM66" s="41">
        <f t="shared" si="21"/>
        <v>0</v>
      </c>
      <c r="AN66" s="41" t="str">
        <f t="shared" si="11"/>
        <v/>
      </c>
      <c r="AO66" s="41">
        <f t="shared" si="22"/>
        <v>0</v>
      </c>
      <c r="AP66" s="45"/>
      <c r="AQ66" s="45"/>
      <c r="AR66" s="48"/>
      <c r="AS66" s="48"/>
      <c r="AT66" s="51">
        <f t="shared" si="23"/>
        <v>62</v>
      </c>
      <c r="AU66" s="49" t="str">
        <f t="shared" si="24"/>
        <v/>
      </c>
      <c r="AV66" s="49" t="str">
        <f t="shared" si="25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3.1578635799037699E-3</v>
      </c>
      <c r="C67">
        <f t="shared" si="30"/>
        <v>2.9683917651095433E-3</v>
      </c>
      <c r="D67" s="60"/>
      <c r="E67" s="5"/>
      <c r="F67" s="5"/>
      <c r="I67" s="51"/>
      <c r="J67" s="41"/>
      <c r="K67" s="41" t="str">
        <f t="shared" si="26"/>
        <v/>
      </c>
      <c r="L67" s="42" t="str">
        <f t="shared" si="27"/>
        <v/>
      </c>
      <c r="M67" s="41" t="str">
        <f t="shared" si="28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>IF(I67&lt;&gt;"",_xlfn.XLOOKUP(D$4+I67,A$26:A$145,$C$26:$C$145,0) * 1000,"")</f>
        <v/>
      </c>
      <c r="T67" s="52">
        <f t="shared" si="29"/>
        <v>0</v>
      </c>
      <c r="U67" s="53" t="str">
        <f t="shared" si="12"/>
        <v/>
      </c>
      <c r="V67" s="53" t="str">
        <f t="shared" si="13"/>
        <v/>
      </c>
      <c r="W67" s="53" t="str">
        <f t="shared" si="14"/>
        <v/>
      </c>
      <c r="X67" s="46" t="str">
        <f t="shared" si="5"/>
        <v/>
      </c>
      <c r="Y67" s="54"/>
      <c r="Z67" s="41" t="str">
        <f t="shared" si="15"/>
        <v/>
      </c>
      <c r="AA67" s="41" t="str">
        <f t="shared" si="16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17"/>
        <v/>
      </c>
      <c r="AI67" s="41" t="str">
        <f t="shared" si="18"/>
        <v/>
      </c>
      <c r="AJ67" s="41">
        <f t="shared" si="19"/>
        <v>0</v>
      </c>
      <c r="AK67" s="41" t="str">
        <f t="shared" si="10"/>
        <v/>
      </c>
      <c r="AL67" s="41">
        <f t="shared" si="20"/>
        <v>0</v>
      </c>
      <c r="AM67" s="41">
        <f t="shared" si="21"/>
        <v>0</v>
      </c>
      <c r="AN67" s="41" t="str">
        <f t="shared" si="11"/>
        <v/>
      </c>
      <c r="AO67" s="41">
        <f t="shared" si="22"/>
        <v>0</v>
      </c>
      <c r="AP67" s="45"/>
      <c r="AQ67" s="45"/>
      <c r="AR67" s="48"/>
      <c r="AS67" s="48"/>
      <c r="AT67" s="51">
        <f t="shared" si="23"/>
        <v>63</v>
      </c>
      <c r="AU67" s="49" t="str">
        <f t="shared" si="24"/>
        <v/>
      </c>
      <c r="AV67" s="49" t="str">
        <f t="shared" si="25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3.4323323492904101E-3</v>
      </c>
      <c r="C68">
        <f t="shared" si="30"/>
        <v>3.2263924083329853E-3</v>
      </c>
      <c r="D68" s="60"/>
      <c r="E68" s="5"/>
      <c r="F68" s="5"/>
      <c r="I68" s="51"/>
      <c r="J68" s="41"/>
      <c r="K68" s="41" t="str">
        <f t="shared" si="26"/>
        <v/>
      </c>
      <c r="L68" s="42" t="str">
        <f t="shared" si="27"/>
        <v/>
      </c>
      <c r="M68" s="41" t="str">
        <f t="shared" si="28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>IF(I68&lt;&gt;"",_xlfn.XLOOKUP(D$4+I68,A$26:A$145,$C$26:$C$145,0) * 1000,"")</f>
        <v/>
      </c>
      <c r="T68" s="52">
        <f t="shared" si="29"/>
        <v>0</v>
      </c>
      <c r="U68" s="53" t="str">
        <f t="shared" si="12"/>
        <v/>
      </c>
      <c r="V68" s="53" t="str">
        <f t="shared" si="13"/>
        <v/>
      </c>
      <c r="W68" s="53" t="str">
        <f t="shared" si="14"/>
        <v/>
      </c>
      <c r="X68" s="46" t="str">
        <f t="shared" si="5"/>
        <v/>
      </c>
      <c r="Y68" s="54"/>
      <c r="Z68" s="41" t="str">
        <f t="shared" si="15"/>
        <v/>
      </c>
      <c r="AA68" s="41" t="str">
        <f t="shared" si="16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17"/>
        <v/>
      </c>
      <c r="AI68" s="41" t="str">
        <f t="shared" si="18"/>
        <v/>
      </c>
      <c r="AJ68" s="41">
        <f t="shared" si="19"/>
        <v>0</v>
      </c>
      <c r="AK68" s="41" t="str">
        <f t="shared" si="10"/>
        <v/>
      </c>
      <c r="AL68" s="41">
        <f t="shared" si="20"/>
        <v>0</v>
      </c>
      <c r="AM68" s="41">
        <f t="shared" si="21"/>
        <v>0</v>
      </c>
      <c r="AN68" s="41" t="str">
        <f t="shared" si="11"/>
        <v/>
      </c>
      <c r="AO68" s="41">
        <f t="shared" si="22"/>
        <v>0</v>
      </c>
      <c r="AP68" s="45"/>
      <c r="AQ68" s="45"/>
      <c r="AR68" s="48"/>
      <c r="AS68" s="48"/>
      <c r="AT68" s="51">
        <f t="shared" si="23"/>
        <v>64</v>
      </c>
      <c r="AU68" s="49" t="str">
        <f t="shared" si="24"/>
        <v/>
      </c>
      <c r="AV68" s="49" t="str">
        <f t="shared" si="25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3.7277862310600698E-3</v>
      </c>
      <c r="C69">
        <f t="shared" si="30"/>
        <v>3.5041190571964654E-3</v>
      </c>
      <c r="D69" s="60"/>
      <c r="E69" s="5"/>
      <c r="F69" s="5"/>
      <c r="I69" s="51"/>
      <c r="J69" s="41"/>
      <c r="K69" s="41" t="str">
        <f t="shared" si="26"/>
        <v/>
      </c>
      <c r="L69" s="42" t="str">
        <f t="shared" si="27"/>
        <v/>
      </c>
      <c r="M69" s="41" t="str">
        <f t="shared" si="28"/>
        <v/>
      </c>
      <c r="N69" s="43">
        <f t="shared" ref="N69:N123" si="31">AX69</f>
        <v>0</v>
      </c>
      <c r="O69" s="44">
        <f t="shared" ref="O69:O123" si="32">AW69</f>
        <v>0</v>
      </c>
      <c r="P69" s="41" t="str">
        <f t="shared" ref="P69:P124" si="33">IF(I69&lt;&gt;"", M69*N69/1000, "")</f>
        <v/>
      </c>
      <c r="Q69" s="41" t="str">
        <f t="shared" ref="Q69:Q124" si="34">IF(I69&lt;&gt;"", M69*O69/1000, "")</f>
        <v/>
      </c>
      <c r="R69" s="44"/>
      <c r="S69" s="44" t="str">
        <f>IF(I69&lt;&gt;"",_xlfn.XLOOKUP(D$4+I69,A$26:A$145,$C$26:$C$145,0) * 1000,"")</f>
        <v/>
      </c>
      <c r="T69" s="52">
        <f t="shared" si="29"/>
        <v>0</v>
      </c>
      <c r="U69" s="53" t="str">
        <f t="shared" si="12"/>
        <v/>
      </c>
      <c r="V69" s="53" t="str">
        <f t="shared" si="13"/>
        <v/>
      </c>
      <c r="W69" s="53" t="str">
        <f t="shared" si="14"/>
        <v/>
      </c>
      <c r="X69" s="46" t="str">
        <f t="shared" ref="X69:X124" si="35">IF(I69&lt;&gt;"", U69-SUM(V69:W69), "")</f>
        <v/>
      </c>
      <c r="Y69" s="54"/>
      <c r="Z69" s="41" t="str">
        <f t="shared" si="15"/>
        <v/>
      </c>
      <c r="AA69" s="41" t="str">
        <f t="shared" si="16"/>
        <v/>
      </c>
      <c r="AB69" s="41" t="str">
        <f t="shared" ref="AB69:AB124" si="36">IF(I69&lt;&gt;"", Q69*X69, "" )</f>
        <v/>
      </c>
      <c r="AC69" s="41" t="str">
        <f t="shared" ref="AC69:AC124" si="37">IF(I69&lt;&gt;"", $H$14*M69*X69, "")</f>
        <v/>
      </c>
      <c r="AD69" s="54"/>
      <c r="AE69" s="41" t="str">
        <f t="shared" ref="AE69:AE124" si="38">IF(I69&lt;&gt;"", $X69*J69, "")</f>
        <v/>
      </c>
      <c r="AF69" s="41"/>
      <c r="AG69" s="41" t="str">
        <f t="shared" ref="AG69:AG124" si="39">IF(I69&lt;&gt;"", -$X69*L69, "")</f>
        <v/>
      </c>
      <c r="AH69" s="41" t="str">
        <f t="shared" si="17"/>
        <v/>
      </c>
      <c r="AI69" s="41" t="str">
        <f t="shared" si="18"/>
        <v/>
      </c>
      <c r="AJ69" s="41">
        <f t="shared" ref="AJ69:AJ124" si="40">SUM(AE69:AI69)</f>
        <v>0</v>
      </c>
      <c r="AK69" s="41" t="str">
        <f t="shared" ref="AK69:AK124" si="41">IF(I69&lt;&gt;"", Z69-AB69, "")</f>
        <v/>
      </c>
      <c r="AL69" s="41">
        <f t="shared" si="20"/>
        <v>0</v>
      </c>
      <c r="AM69" s="41">
        <f t="shared" ref="AM69:AM124" si="42">SUM(AJ69:AL69)</f>
        <v>0</v>
      </c>
      <c r="AN69" s="41" t="str">
        <f t="shared" ref="AN69:AN124" si="43">IF(I69&lt;&gt;"", AA69-AC69, "")</f>
        <v/>
      </c>
      <c r="AO69" s="41">
        <f t="shared" ref="AO69:AO78" si="44">SUM(AM69:AN69)</f>
        <v>0</v>
      </c>
      <c r="AP69" s="45"/>
      <c r="AQ69" s="45"/>
      <c r="AR69" s="48"/>
      <c r="AS69" s="48"/>
      <c r="AT69" s="51">
        <f t="shared" si="23"/>
        <v>65</v>
      </c>
      <c r="AU69" s="49" t="str">
        <f t="shared" si="24"/>
        <v/>
      </c>
      <c r="AV69" s="49" t="str">
        <f t="shared" si="25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4.0498596046726299E-3</v>
      </c>
      <c r="C70">
        <f t="shared" si="30"/>
        <v>3.8068680283922718E-3</v>
      </c>
      <c r="D70" s="60"/>
      <c r="E70" s="5"/>
      <c r="F70" s="5"/>
      <c r="I70" s="51"/>
      <c r="J70" s="41"/>
      <c r="K70" s="41" t="str">
        <f t="shared" si="26"/>
        <v/>
      </c>
      <c r="L70" s="42" t="str">
        <f t="shared" si="27"/>
        <v/>
      </c>
      <c r="M70" s="41" t="str">
        <f t="shared" si="28"/>
        <v/>
      </c>
      <c r="N70" s="43">
        <f t="shared" si="31"/>
        <v>0</v>
      </c>
      <c r="O70" s="44">
        <f t="shared" si="32"/>
        <v>0</v>
      </c>
      <c r="P70" s="41" t="str">
        <f t="shared" si="33"/>
        <v/>
      </c>
      <c r="Q70" s="41" t="str">
        <f t="shared" si="34"/>
        <v/>
      </c>
      <c r="R70" s="44"/>
      <c r="S70" s="44" t="str">
        <f>IF(I70&lt;&gt;"",_xlfn.XLOOKUP(D$4+I70,A$26:A$145,$C$26:$C$145,0) * 1000,"")</f>
        <v/>
      </c>
      <c r="T70" s="52">
        <f t="shared" si="29"/>
        <v>0</v>
      </c>
      <c r="U70" s="53" t="str">
        <f t="shared" ref="U70:U124" si="45">IF(I70&lt;&gt;"", X69, "")</f>
        <v/>
      </c>
      <c r="V70" s="53" t="str">
        <f t="shared" ref="V70:V124" si="46">IF(I70&lt;&gt;"", S70*U70/1000, "")</f>
        <v/>
      </c>
      <c r="W70" s="53" t="str">
        <f t="shared" ref="W70:W124" si="47">IF(I70&lt;&gt;"", MIN(T70*U70,U70-V70), "")</f>
        <v/>
      </c>
      <c r="X70" s="46" t="str">
        <f t="shared" si="35"/>
        <v/>
      </c>
      <c r="Y70" s="54"/>
      <c r="Z70" s="41" t="str">
        <f t="shared" ref="Z70:Z124" si="48">IF(I70&lt;&gt;"",AB69,"")</f>
        <v/>
      </c>
      <c r="AA70" s="41" t="str">
        <f t="shared" ref="AA70:AA124" si="49">IF(I70&lt;&gt;"", AC69, "")</f>
        <v/>
      </c>
      <c r="AB70" s="41" t="str">
        <f t="shared" si="36"/>
        <v/>
      </c>
      <c r="AC70" s="41" t="str">
        <f t="shared" si="37"/>
        <v/>
      </c>
      <c r="AD70" s="54"/>
      <c r="AE70" s="41" t="str">
        <f t="shared" si="38"/>
        <v/>
      </c>
      <c r="AF70" s="41"/>
      <c r="AG70" s="41" t="str">
        <f t="shared" si="39"/>
        <v/>
      </c>
      <c r="AH70" s="41" t="str">
        <f t="shared" ref="AH70:AH124" si="50">IF(I70&lt;&gt;"",-M70*V70,"")</f>
        <v/>
      </c>
      <c r="AI70" s="41" t="str">
        <f t="shared" ref="AI70:AI124" si="51">IF(I70 &lt;&gt; "", -P70*W70, "")</f>
        <v/>
      </c>
      <c r="AJ70" s="41">
        <f t="shared" si="40"/>
        <v>0</v>
      </c>
      <c r="AK70" s="41" t="str">
        <f t="shared" si="41"/>
        <v/>
      </c>
      <c r="AL70" s="41">
        <f t="shared" ref="AL70:AL124" si="52">$D$6*SUM(Z70:AA70,AE70:AF70)</f>
        <v>0</v>
      </c>
      <c r="AM70" s="41">
        <f t="shared" si="42"/>
        <v>0</v>
      </c>
      <c r="AN70" s="41" t="str">
        <f t="shared" si="43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3">AT69+1</f>
        <v>66</v>
      </c>
      <c r="AU70" s="49" t="str">
        <f t="shared" ref="AU70:AU124" si="54">IF(I70&lt;&gt;"", AU69-AV69, "")</f>
        <v/>
      </c>
      <c r="AV70" s="49" t="str">
        <f t="shared" ref="AV70:AV124" si="55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4.2849307627195196E-3</v>
      </c>
      <c r="C71">
        <f t="shared" si="30"/>
        <v>4.0278349169563486E-3</v>
      </c>
      <c r="D71" s="60"/>
      <c r="E71" s="5"/>
      <c r="F71" s="5"/>
      <c r="I71" s="51"/>
      <c r="J71" s="41"/>
      <c r="K71" s="41" t="str">
        <f t="shared" ref="K71:K124" si="56">IF(J71&lt;&gt;"",J71*$C$17,"")</f>
        <v/>
      </c>
      <c r="L71" s="42" t="str">
        <f t="shared" ref="L71:L124" si="57">IF(I71&lt;&gt;"",$C$21,"")</f>
        <v/>
      </c>
      <c r="M71" s="41" t="str">
        <f t="shared" ref="M71:M124" si="58">IF(I71&lt;&gt;"",$E$11,"")</f>
        <v/>
      </c>
      <c r="N71" s="43">
        <f t="shared" si="31"/>
        <v>0</v>
      </c>
      <c r="O71" s="44">
        <f t="shared" si="32"/>
        <v>0</v>
      </c>
      <c r="P71" s="41" t="str">
        <f t="shared" si="33"/>
        <v/>
      </c>
      <c r="Q71" s="41" t="str">
        <f t="shared" si="34"/>
        <v/>
      </c>
      <c r="R71" s="44"/>
      <c r="S71" s="44" t="str">
        <f>IF(I71&lt;&gt;"",_xlfn.XLOOKUP(D$4+I71,A$26:A$145,$C$26:$C$145,0) * 1000,"")</f>
        <v/>
      </c>
      <c r="T71" s="52">
        <f t="shared" si="29"/>
        <v>0</v>
      </c>
      <c r="U71" s="53" t="str">
        <f t="shared" si="45"/>
        <v/>
      </c>
      <c r="V71" s="53" t="str">
        <f t="shared" si="46"/>
        <v/>
      </c>
      <c r="W71" s="53" t="str">
        <f t="shared" si="47"/>
        <v/>
      </c>
      <c r="X71" s="46" t="str">
        <f t="shared" si="35"/>
        <v/>
      </c>
      <c r="Y71" s="54"/>
      <c r="Z71" s="41" t="str">
        <f t="shared" si="48"/>
        <v/>
      </c>
      <c r="AA71" s="41" t="str">
        <f t="shared" si="49"/>
        <v/>
      </c>
      <c r="AB71" s="41" t="str">
        <f t="shared" si="36"/>
        <v/>
      </c>
      <c r="AC71" s="41" t="str">
        <f t="shared" si="37"/>
        <v/>
      </c>
      <c r="AD71" s="54"/>
      <c r="AE71" s="41" t="str">
        <f t="shared" si="38"/>
        <v/>
      </c>
      <c r="AF71" s="41"/>
      <c r="AG71" s="41" t="str">
        <f t="shared" si="39"/>
        <v/>
      </c>
      <c r="AH71" s="41" t="str">
        <f t="shared" si="50"/>
        <v/>
      </c>
      <c r="AI71" s="41" t="str">
        <f t="shared" si="51"/>
        <v/>
      </c>
      <c r="AJ71" s="41">
        <f t="shared" si="40"/>
        <v>0</v>
      </c>
      <c r="AK71" s="41" t="str">
        <f t="shared" si="41"/>
        <v/>
      </c>
      <c r="AL71" s="41">
        <f t="shared" si="52"/>
        <v>0</v>
      </c>
      <c r="AM71" s="41">
        <f t="shared" si="42"/>
        <v>0</v>
      </c>
      <c r="AN71" s="41" t="str">
        <f t="shared" si="43"/>
        <v/>
      </c>
      <c r="AO71" s="41">
        <f t="shared" si="44"/>
        <v>0</v>
      </c>
      <c r="AP71" s="45"/>
      <c r="AQ71" s="45"/>
      <c r="AR71" s="48"/>
      <c r="AS71" s="48"/>
      <c r="AT71" s="51">
        <f t="shared" si="53"/>
        <v>67</v>
      </c>
      <c r="AU71" s="49" t="str">
        <f t="shared" si="54"/>
        <v/>
      </c>
      <c r="AV71" s="49" t="str">
        <f t="shared" si="55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4.6767122311041102E-3</v>
      </c>
      <c r="C72">
        <f t="shared" si="30"/>
        <v>4.3961094972378633E-3</v>
      </c>
      <c r="D72" s="60"/>
      <c r="E72" s="5"/>
      <c r="F72" s="5"/>
      <c r="I72" s="51"/>
      <c r="J72" s="41"/>
      <c r="K72" s="41" t="str">
        <f t="shared" si="56"/>
        <v/>
      </c>
      <c r="L72" s="42" t="str">
        <f t="shared" si="57"/>
        <v/>
      </c>
      <c r="M72" s="41" t="str">
        <f t="shared" si="58"/>
        <v/>
      </c>
      <c r="N72" s="43">
        <f>AX72</f>
        <v>0</v>
      </c>
      <c r="O72" s="44">
        <f t="shared" si="32"/>
        <v>0</v>
      </c>
      <c r="P72" s="41" t="str">
        <f t="shared" si="33"/>
        <v/>
      </c>
      <c r="Q72" s="41" t="str">
        <f t="shared" si="34"/>
        <v/>
      </c>
      <c r="R72" s="44"/>
      <c r="S72" s="44" t="str">
        <f>IF(I72&lt;&gt;"",_xlfn.XLOOKUP(D$4+I72,A$26:A$145,$C$26:$C$145,0) * 1000,"")</f>
        <v/>
      </c>
      <c r="T72" s="52">
        <f t="shared" si="29"/>
        <v>0</v>
      </c>
      <c r="U72" s="53" t="str">
        <f t="shared" si="45"/>
        <v/>
      </c>
      <c r="V72" s="53" t="str">
        <f t="shared" si="46"/>
        <v/>
      </c>
      <c r="W72" s="53" t="str">
        <f t="shared" si="47"/>
        <v/>
      </c>
      <c r="X72" s="46" t="str">
        <f t="shared" si="35"/>
        <v/>
      </c>
      <c r="Y72" s="54"/>
      <c r="Z72" s="41" t="str">
        <f t="shared" si="48"/>
        <v/>
      </c>
      <c r="AA72" s="41" t="str">
        <f t="shared" si="49"/>
        <v/>
      </c>
      <c r="AB72" s="41" t="str">
        <f t="shared" si="36"/>
        <v/>
      </c>
      <c r="AC72" s="41" t="str">
        <f t="shared" si="37"/>
        <v/>
      </c>
      <c r="AD72" s="54"/>
      <c r="AE72" s="41" t="str">
        <f t="shared" si="38"/>
        <v/>
      </c>
      <c r="AF72" s="41"/>
      <c r="AG72" s="41" t="str">
        <f t="shared" si="39"/>
        <v/>
      </c>
      <c r="AH72" s="41" t="str">
        <f t="shared" si="50"/>
        <v/>
      </c>
      <c r="AI72" s="41" t="str">
        <f t="shared" si="51"/>
        <v/>
      </c>
      <c r="AJ72" s="41">
        <f t="shared" si="40"/>
        <v>0</v>
      </c>
      <c r="AK72" s="41" t="str">
        <f t="shared" si="41"/>
        <v/>
      </c>
      <c r="AL72" s="41">
        <f t="shared" si="52"/>
        <v>0</v>
      </c>
      <c r="AM72" s="41">
        <f t="shared" si="42"/>
        <v>0</v>
      </c>
      <c r="AN72" s="41" t="str">
        <f t="shared" si="43"/>
        <v/>
      </c>
      <c r="AO72" s="41">
        <f t="shared" si="44"/>
        <v>0</v>
      </c>
      <c r="AP72" s="45"/>
      <c r="AQ72" s="45"/>
      <c r="AR72" s="48"/>
      <c r="AS72" s="48"/>
      <c r="AT72" s="51">
        <f t="shared" si="53"/>
        <v>68</v>
      </c>
      <c r="AU72" s="49" t="str">
        <f t="shared" si="54"/>
        <v/>
      </c>
      <c r="AV72" s="49" t="str">
        <f t="shared" si="55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5.1269094746230204E-3</v>
      </c>
      <c r="C73">
        <f t="shared" si="30"/>
        <v>4.8192949061456386E-3</v>
      </c>
      <c r="D73" s="60"/>
      <c r="E73" s="5"/>
      <c r="F73" s="5"/>
      <c r="I73" s="51"/>
      <c r="J73" s="41"/>
      <c r="K73" s="41" t="str">
        <f t="shared" si="56"/>
        <v/>
      </c>
      <c r="L73" s="42" t="str">
        <f t="shared" si="57"/>
        <v/>
      </c>
      <c r="M73" s="41" t="str">
        <f t="shared" si="58"/>
        <v/>
      </c>
      <c r="N73" s="43">
        <f t="shared" si="31"/>
        <v>0</v>
      </c>
      <c r="O73" s="44">
        <f t="shared" si="32"/>
        <v>0</v>
      </c>
      <c r="P73" s="41" t="str">
        <f t="shared" si="33"/>
        <v/>
      </c>
      <c r="Q73" s="41" t="str">
        <f t="shared" si="34"/>
        <v/>
      </c>
      <c r="R73" s="44"/>
      <c r="S73" s="44" t="str">
        <f>IF(I73&lt;&gt;"",_xlfn.XLOOKUP(D$4+I73,A$26:A$145,$C$26:$C$145,0) * 1000,"")</f>
        <v/>
      </c>
      <c r="T73" s="52">
        <f t="shared" si="29"/>
        <v>0</v>
      </c>
      <c r="U73" s="53" t="str">
        <f t="shared" si="45"/>
        <v/>
      </c>
      <c r="V73" s="53" t="str">
        <f t="shared" si="46"/>
        <v/>
      </c>
      <c r="W73" s="53" t="str">
        <f t="shared" si="47"/>
        <v/>
      </c>
      <c r="X73" s="46" t="str">
        <f t="shared" si="35"/>
        <v/>
      </c>
      <c r="Y73" s="54"/>
      <c r="Z73" s="41" t="str">
        <f t="shared" si="48"/>
        <v/>
      </c>
      <c r="AA73" s="41" t="str">
        <f t="shared" si="49"/>
        <v/>
      </c>
      <c r="AB73" s="41" t="str">
        <f t="shared" si="36"/>
        <v/>
      </c>
      <c r="AC73" s="41" t="str">
        <f t="shared" si="37"/>
        <v/>
      </c>
      <c r="AD73" s="54"/>
      <c r="AE73" s="41" t="str">
        <f t="shared" si="38"/>
        <v/>
      </c>
      <c r="AF73" s="41"/>
      <c r="AG73" s="41" t="str">
        <f t="shared" si="39"/>
        <v/>
      </c>
      <c r="AH73" s="41" t="str">
        <f t="shared" si="50"/>
        <v/>
      </c>
      <c r="AI73" s="41" t="str">
        <f t="shared" si="51"/>
        <v/>
      </c>
      <c r="AJ73" s="41">
        <f t="shared" si="40"/>
        <v>0</v>
      </c>
      <c r="AK73" s="41" t="str">
        <f t="shared" si="41"/>
        <v/>
      </c>
      <c r="AL73" s="41">
        <f t="shared" si="52"/>
        <v>0</v>
      </c>
      <c r="AM73" s="41">
        <f t="shared" si="42"/>
        <v>0</v>
      </c>
      <c r="AN73" s="41" t="str">
        <f t="shared" si="43"/>
        <v/>
      </c>
      <c r="AO73" s="41">
        <f t="shared" si="44"/>
        <v>0</v>
      </c>
      <c r="AP73" s="45"/>
      <c r="AQ73" s="45"/>
      <c r="AR73" s="48"/>
      <c r="AS73" s="48"/>
      <c r="AT73" s="51">
        <f t="shared" si="53"/>
        <v>69</v>
      </c>
      <c r="AU73" s="49" t="str">
        <f t="shared" si="54"/>
        <v/>
      </c>
      <c r="AV73" s="49" t="str">
        <f t="shared" si="55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5.6038957116913996E-3</v>
      </c>
      <c r="C74">
        <f t="shared" si="30"/>
        <v>5.2676619689899151E-3</v>
      </c>
      <c r="D74" s="60"/>
      <c r="E74" s="5"/>
      <c r="F74" s="5"/>
      <c r="I74" s="51"/>
      <c r="J74" s="41"/>
      <c r="K74" s="41" t="str">
        <f t="shared" si="56"/>
        <v/>
      </c>
      <c r="L74" s="42" t="str">
        <f t="shared" si="57"/>
        <v/>
      </c>
      <c r="M74" s="41" t="str">
        <f t="shared" si="58"/>
        <v/>
      </c>
      <c r="N74" s="43">
        <f t="shared" si="31"/>
        <v>0</v>
      </c>
      <c r="O74" s="44">
        <f t="shared" si="32"/>
        <v>0</v>
      </c>
      <c r="P74" s="41" t="str">
        <f t="shared" si="33"/>
        <v/>
      </c>
      <c r="Q74" s="41" t="str">
        <f t="shared" si="34"/>
        <v/>
      </c>
      <c r="R74" s="44"/>
      <c r="S74" s="44" t="str">
        <f>IF(I74&lt;&gt;"",_xlfn.XLOOKUP(D$4+I74,A$26:A$145,$C$26:$C$145,0) * 1000,"")</f>
        <v/>
      </c>
      <c r="T74" s="52">
        <f t="shared" si="29"/>
        <v>0</v>
      </c>
      <c r="U74" s="53" t="str">
        <f t="shared" si="45"/>
        <v/>
      </c>
      <c r="V74" s="53" t="str">
        <f t="shared" si="46"/>
        <v/>
      </c>
      <c r="W74" s="53" t="str">
        <f t="shared" si="47"/>
        <v/>
      </c>
      <c r="X74" s="46" t="str">
        <f t="shared" si="35"/>
        <v/>
      </c>
      <c r="Y74" s="54"/>
      <c r="Z74" s="41" t="str">
        <f t="shared" si="48"/>
        <v/>
      </c>
      <c r="AA74" s="41" t="str">
        <f t="shared" si="49"/>
        <v/>
      </c>
      <c r="AB74" s="41" t="str">
        <f t="shared" si="36"/>
        <v/>
      </c>
      <c r="AC74" s="41" t="str">
        <f t="shared" si="37"/>
        <v/>
      </c>
      <c r="AD74" s="54"/>
      <c r="AE74" s="41" t="str">
        <f t="shared" si="38"/>
        <v/>
      </c>
      <c r="AF74" s="41"/>
      <c r="AG74" s="41" t="str">
        <f t="shared" si="39"/>
        <v/>
      </c>
      <c r="AH74" s="41" t="str">
        <f t="shared" si="50"/>
        <v/>
      </c>
      <c r="AI74" s="41" t="str">
        <f t="shared" si="51"/>
        <v/>
      </c>
      <c r="AJ74" s="41">
        <f t="shared" si="40"/>
        <v>0</v>
      </c>
      <c r="AK74" s="41" t="str">
        <f t="shared" si="41"/>
        <v/>
      </c>
      <c r="AL74" s="41">
        <f t="shared" si="52"/>
        <v>0</v>
      </c>
      <c r="AM74" s="41">
        <f t="shared" si="42"/>
        <v>0</v>
      </c>
      <c r="AN74" s="41" t="str">
        <f t="shared" si="43"/>
        <v/>
      </c>
      <c r="AO74" s="41">
        <f t="shared" si="44"/>
        <v>0</v>
      </c>
      <c r="AP74" s="45"/>
      <c r="AQ74" s="45"/>
      <c r="AR74" s="48"/>
      <c r="AS74" s="48"/>
      <c r="AT74" s="51">
        <f t="shared" si="53"/>
        <v>70</v>
      </c>
      <c r="AU74" s="49" t="str">
        <f t="shared" si="54"/>
        <v/>
      </c>
      <c r="AV74" s="49" t="str">
        <f t="shared" si="55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6.12642839455446E-3</v>
      </c>
      <c r="C75">
        <f t="shared" si="30"/>
        <v>5.7588426908811918E-3</v>
      </c>
      <c r="D75" s="60"/>
      <c r="E75" s="5"/>
      <c r="F75" s="5"/>
      <c r="I75" s="51"/>
      <c r="J75" s="41"/>
      <c r="K75" s="41" t="str">
        <f t="shared" si="56"/>
        <v/>
      </c>
      <c r="L75" s="42" t="str">
        <f t="shared" si="57"/>
        <v/>
      </c>
      <c r="M75" s="41" t="str">
        <f t="shared" si="58"/>
        <v/>
      </c>
      <c r="N75" s="43">
        <f t="shared" si="31"/>
        <v>0</v>
      </c>
      <c r="O75" s="44">
        <f t="shared" si="32"/>
        <v>0</v>
      </c>
      <c r="P75" s="41" t="str">
        <f t="shared" si="33"/>
        <v/>
      </c>
      <c r="Q75" s="41" t="str">
        <f t="shared" si="34"/>
        <v/>
      </c>
      <c r="R75" s="44"/>
      <c r="S75" s="44" t="str">
        <f>IF(I75&lt;&gt;"",_xlfn.XLOOKUP(D$4+I75,A$26:A$145,$C$26:$C$145,0) * 1000,"")</f>
        <v/>
      </c>
      <c r="T75" s="52">
        <f t="shared" si="29"/>
        <v>0</v>
      </c>
      <c r="U75" s="53" t="str">
        <f t="shared" si="45"/>
        <v/>
      </c>
      <c r="V75" s="53" t="str">
        <f t="shared" si="46"/>
        <v/>
      </c>
      <c r="W75" s="53" t="str">
        <f t="shared" si="47"/>
        <v/>
      </c>
      <c r="X75" s="46" t="str">
        <f t="shared" si="35"/>
        <v/>
      </c>
      <c r="Y75" s="54"/>
      <c r="Z75" s="41" t="str">
        <f t="shared" si="48"/>
        <v/>
      </c>
      <c r="AA75" s="41" t="str">
        <f t="shared" si="49"/>
        <v/>
      </c>
      <c r="AB75" s="41" t="str">
        <f t="shared" si="36"/>
        <v/>
      </c>
      <c r="AC75" s="41" t="str">
        <f t="shared" si="37"/>
        <v/>
      </c>
      <c r="AD75" s="54"/>
      <c r="AE75" s="41" t="str">
        <f t="shared" si="38"/>
        <v/>
      </c>
      <c r="AF75" s="41"/>
      <c r="AG75" s="41" t="str">
        <f t="shared" si="39"/>
        <v/>
      </c>
      <c r="AH75" s="41" t="str">
        <f t="shared" si="50"/>
        <v/>
      </c>
      <c r="AI75" s="41" t="str">
        <f t="shared" si="51"/>
        <v/>
      </c>
      <c r="AJ75" s="41">
        <f t="shared" si="40"/>
        <v>0</v>
      </c>
      <c r="AK75" s="41" t="str">
        <f t="shared" si="41"/>
        <v/>
      </c>
      <c r="AL75" s="41">
        <f t="shared" si="52"/>
        <v>0</v>
      </c>
      <c r="AM75" s="41">
        <f t="shared" si="42"/>
        <v>0</v>
      </c>
      <c r="AN75" s="41" t="str">
        <f t="shared" si="43"/>
        <v/>
      </c>
      <c r="AO75" s="41">
        <f t="shared" si="44"/>
        <v>0</v>
      </c>
      <c r="AP75" s="45"/>
      <c r="AQ75" s="45"/>
      <c r="AR75" s="48"/>
      <c r="AS75" s="48"/>
      <c r="AT75" s="51">
        <f t="shared" si="53"/>
        <v>71</v>
      </c>
      <c r="AU75" s="49" t="str">
        <f t="shared" si="54"/>
        <v/>
      </c>
      <c r="AV75" s="49" t="str">
        <f t="shared" si="55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6.68637460018362E-3</v>
      </c>
      <c r="C76">
        <f t="shared" si="30"/>
        <v>6.2851921241726021E-3</v>
      </c>
      <c r="D76" s="60"/>
      <c r="E76" s="5"/>
      <c r="F76" s="5"/>
      <c r="I76" s="51"/>
      <c r="J76" s="41"/>
      <c r="K76" s="41" t="str">
        <f t="shared" si="56"/>
        <v/>
      </c>
      <c r="L76" s="42" t="str">
        <f t="shared" si="57"/>
        <v/>
      </c>
      <c r="M76" s="41" t="str">
        <f t="shared" si="58"/>
        <v/>
      </c>
      <c r="N76" s="43">
        <f t="shared" si="31"/>
        <v>0</v>
      </c>
      <c r="O76" s="44">
        <f t="shared" si="32"/>
        <v>0</v>
      </c>
      <c r="P76" s="41" t="str">
        <f t="shared" si="33"/>
        <v/>
      </c>
      <c r="Q76" s="41" t="str">
        <f t="shared" si="34"/>
        <v/>
      </c>
      <c r="R76" s="44"/>
      <c r="S76" s="44" t="str">
        <f>IF(I76&lt;&gt;"",_xlfn.XLOOKUP(D$4+I76,A$26:A$145,$C$26:$C$145,0) * 1000,"")</f>
        <v/>
      </c>
      <c r="T76" s="52">
        <f t="shared" si="29"/>
        <v>0</v>
      </c>
      <c r="U76" s="53" t="str">
        <f t="shared" si="45"/>
        <v/>
      </c>
      <c r="V76" s="53" t="str">
        <f t="shared" si="46"/>
        <v/>
      </c>
      <c r="W76" s="53" t="str">
        <f t="shared" si="47"/>
        <v/>
      </c>
      <c r="X76" s="46" t="str">
        <f t="shared" si="35"/>
        <v/>
      </c>
      <c r="Y76" s="54"/>
      <c r="Z76" s="41" t="str">
        <f t="shared" si="48"/>
        <v/>
      </c>
      <c r="AA76" s="41" t="str">
        <f t="shared" si="49"/>
        <v/>
      </c>
      <c r="AB76" s="41" t="str">
        <f t="shared" si="36"/>
        <v/>
      </c>
      <c r="AC76" s="41" t="str">
        <f t="shared" si="37"/>
        <v/>
      </c>
      <c r="AD76" s="54"/>
      <c r="AE76" s="41" t="str">
        <f t="shared" si="38"/>
        <v/>
      </c>
      <c r="AF76" s="41"/>
      <c r="AG76" s="41" t="str">
        <f t="shared" si="39"/>
        <v/>
      </c>
      <c r="AH76" s="41" t="str">
        <f t="shared" si="50"/>
        <v/>
      </c>
      <c r="AI76" s="41" t="str">
        <f t="shared" si="51"/>
        <v/>
      </c>
      <c r="AJ76" s="41">
        <f t="shared" si="40"/>
        <v>0</v>
      </c>
      <c r="AK76" s="41" t="str">
        <f t="shared" si="41"/>
        <v/>
      </c>
      <c r="AL76" s="41">
        <f t="shared" si="52"/>
        <v>0</v>
      </c>
      <c r="AM76" s="41">
        <f t="shared" si="42"/>
        <v>0</v>
      </c>
      <c r="AN76" s="41" t="str">
        <f t="shared" si="43"/>
        <v/>
      </c>
      <c r="AO76" s="41">
        <f t="shared" si="44"/>
        <v>0</v>
      </c>
      <c r="AP76" s="45"/>
      <c r="AQ76" s="45"/>
      <c r="AR76" s="48"/>
      <c r="AS76" s="48"/>
      <c r="AT76" s="51">
        <f t="shared" si="53"/>
        <v>72</v>
      </c>
      <c r="AU76" s="49" t="str">
        <f t="shared" si="54"/>
        <v/>
      </c>
      <c r="AV76" s="49" t="str">
        <f t="shared" si="55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7.3307890802976096E-3</v>
      </c>
      <c r="C77">
        <f t="shared" si="30"/>
        <v>6.8909417354797529E-3</v>
      </c>
      <c r="D77" s="60"/>
      <c r="E77" s="5"/>
      <c r="F77" s="5"/>
      <c r="I77" s="51"/>
      <c r="J77" s="41"/>
      <c r="K77" s="41" t="str">
        <f t="shared" si="56"/>
        <v/>
      </c>
      <c r="L77" s="42" t="str">
        <f t="shared" si="57"/>
        <v/>
      </c>
      <c r="M77" s="41" t="str">
        <f t="shared" si="58"/>
        <v/>
      </c>
      <c r="N77" s="43">
        <f t="shared" si="31"/>
        <v>0</v>
      </c>
      <c r="O77" s="44">
        <f t="shared" si="32"/>
        <v>0</v>
      </c>
      <c r="P77" s="41" t="str">
        <f t="shared" si="33"/>
        <v/>
      </c>
      <c r="Q77" s="41" t="str">
        <f t="shared" si="34"/>
        <v/>
      </c>
      <c r="R77" s="44"/>
      <c r="S77" s="44" t="str">
        <f>IF(I77&lt;&gt;"",_xlfn.XLOOKUP(D$4+I77,A$26:A$145,$C$26:$C$145,0) * 1000,"")</f>
        <v/>
      </c>
      <c r="T77" s="52">
        <f t="shared" si="29"/>
        <v>0</v>
      </c>
      <c r="U77" s="53" t="str">
        <f t="shared" si="45"/>
        <v/>
      </c>
      <c r="V77" s="53" t="str">
        <f t="shared" si="46"/>
        <v/>
      </c>
      <c r="W77" s="53" t="str">
        <f t="shared" si="47"/>
        <v/>
      </c>
      <c r="X77" s="46" t="str">
        <f t="shared" si="35"/>
        <v/>
      </c>
      <c r="Y77" s="54"/>
      <c r="Z77" s="41" t="str">
        <f t="shared" si="48"/>
        <v/>
      </c>
      <c r="AA77" s="41" t="str">
        <f t="shared" si="49"/>
        <v/>
      </c>
      <c r="AB77" s="41" t="str">
        <f t="shared" si="36"/>
        <v/>
      </c>
      <c r="AC77" s="41" t="str">
        <f t="shared" si="37"/>
        <v/>
      </c>
      <c r="AD77" s="54"/>
      <c r="AE77" s="41" t="str">
        <f t="shared" si="38"/>
        <v/>
      </c>
      <c r="AF77" s="41"/>
      <c r="AG77" s="41" t="str">
        <f t="shared" si="39"/>
        <v/>
      </c>
      <c r="AH77" s="41" t="str">
        <f t="shared" si="50"/>
        <v/>
      </c>
      <c r="AI77" s="41" t="str">
        <f t="shared" si="51"/>
        <v/>
      </c>
      <c r="AJ77" s="41">
        <f t="shared" si="40"/>
        <v>0</v>
      </c>
      <c r="AK77" s="41" t="str">
        <f t="shared" si="41"/>
        <v/>
      </c>
      <c r="AL77" s="41">
        <f t="shared" si="52"/>
        <v>0</v>
      </c>
      <c r="AM77" s="41">
        <f t="shared" si="42"/>
        <v>0</v>
      </c>
      <c r="AN77" s="41" t="str">
        <f t="shared" si="43"/>
        <v/>
      </c>
      <c r="AO77" s="41">
        <f t="shared" si="44"/>
        <v>0</v>
      </c>
      <c r="AP77" s="45"/>
      <c r="AQ77" s="45"/>
      <c r="AR77" s="48"/>
      <c r="AS77" s="48"/>
      <c r="AT77" s="51">
        <f t="shared" si="53"/>
        <v>73</v>
      </c>
      <c r="AU77" s="49" t="str">
        <f t="shared" si="54"/>
        <v/>
      </c>
      <c r="AV77" s="49" t="str">
        <f t="shared" si="55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8.0661172085565395E-3</v>
      </c>
      <c r="C78">
        <f t="shared" si="30"/>
        <v>7.5821501760431464E-3</v>
      </c>
      <c r="D78" s="60"/>
      <c r="E78" s="5"/>
      <c r="F78" s="5"/>
      <c r="I78" s="51"/>
      <c r="J78" s="41"/>
      <c r="K78" s="41" t="str">
        <f t="shared" si="56"/>
        <v/>
      </c>
      <c r="L78" s="42" t="str">
        <f t="shared" si="57"/>
        <v/>
      </c>
      <c r="M78" s="41" t="str">
        <f t="shared" si="58"/>
        <v/>
      </c>
      <c r="N78" s="43">
        <f>AX78</f>
        <v>0</v>
      </c>
      <c r="O78" s="44">
        <f t="shared" si="32"/>
        <v>0</v>
      </c>
      <c r="P78" s="41" t="str">
        <f t="shared" si="33"/>
        <v/>
      </c>
      <c r="Q78" s="41" t="str">
        <f t="shared" si="34"/>
        <v/>
      </c>
      <c r="R78" s="44"/>
      <c r="S78" s="44" t="str">
        <f>IF(I78&lt;&gt;"",_xlfn.XLOOKUP(D$4+I78,A$26:A$145,$C$26:$C$145,0) * 1000,"")</f>
        <v/>
      </c>
      <c r="T78" s="52">
        <f t="shared" si="29"/>
        <v>0</v>
      </c>
      <c r="U78" s="53" t="str">
        <f t="shared" si="45"/>
        <v/>
      </c>
      <c r="V78" s="53" t="str">
        <f t="shared" si="46"/>
        <v/>
      </c>
      <c r="W78" s="53" t="str">
        <f t="shared" si="47"/>
        <v/>
      </c>
      <c r="X78" s="46" t="str">
        <f t="shared" si="35"/>
        <v/>
      </c>
      <c r="Y78" s="54"/>
      <c r="Z78" s="41" t="str">
        <f t="shared" si="48"/>
        <v/>
      </c>
      <c r="AA78" s="41" t="str">
        <f t="shared" si="49"/>
        <v/>
      </c>
      <c r="AB78" s="41" t="str">
        <f t="shared" si="36"/>
        <v/>
      </c>
      <c r="AC78" s="41" t="str">
        <f t="shared" si="37"/>
        <v/>
      </c>
      <c r="AD78" s="54"/>
      <c r="AE78" s="41" t="str">
        <f t="shared" si="38"/>
        <v/>
      </c>
      <c r="AF78" s="41"/>
      <c r="AG78" s="41" t="str">
        <f t="shared" si="39"/>
        <v/>
      </c>
      <c r="AH78" s="41" t="str">
        <f t="shared" si="50"/>
        <v/>
      </c>
      <c r="AI78" s="41" t="str">
        <f t="shared" si="51"/>
        <v/>
      </c>
      <c r="AJ78" s="41">
        <f t="shared" si="40"/>
        <v>0</v>
      </c>
      <c r="AK78" s="41" t="str">
        <f t="shared" si="41"/>
        <v/>
      </c>
      <c r="AL78" s="41">
        <f t="shared" si="52"/>
        <v>0</v>
      </c>
      <c r="AM78" s="41">
        <f t="shared" si="42"/>
        <v>0</v>
      </c>
      <c r="AN78" s="41" t="str">
        <f t="shared" si="43"/>
        <v/>
      </c>
      <c r="AO78" s="41">
        <f t="shared" si="44"/>
        <v>0</v>
      </c>
      <c r="AP78" s="45"/>
      <c r="AQ78" s="45"/>
      <c r="AR78" s="48"/>
      <c r="AS78" s="48"/>
      <c r="AT78" s="51">
        <f t="shared" si="53"/>
        <v>74</v>
      </c>
      <c r="AU78" s="49" t="str">
        <f t="shared" si="54"/>
        <v/>
      </c>
      <c r="AV78" s="49" t="str">
        <f t="shared" si="55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8.8766917414528895E-3</v>
      </c>
      <c r="C79">
        <f t="shared" si="30"/>
        <v>8.3440902369657163E-3</v>
      </c>
      <c r="D79" s="60"/>
      <c r="E79" s="5"/>
      <c r="F79" s="5"/>
      <c r="I79" s="51"/>
      <c r="J79" s="41"/>
      <c r="K79" s="41" t="str">
        <f t="shared" si="56"/>
        <v/>
      </c>
      <c r="L79" s="42" t="str">
        <f t="shared" si="57"/>
        <v/>
      </c>
      <c r="M79" s="41" t="str">
        <f t="shared" si="58"/>
        <v/>
      </c>
      <c r="N79" s="43">
        <f t="shared" si="31"/>
        <v>0</v>
      </c>
      <c r="O79" s="44">
        <f t="shared" si="32"/>
        <v>0</v>
      </c>
      <c r="P79" s="41" t="str">
        <f t="shared" si="33"/>
        <v/>
      </c>
      <c r="Q79" s="41" t="str">
        <f t="shared" si="34"/>
        <v/>
      </c>
      <c r="R79" s="44"/>
      <c r="S79" s="44" t="str">
        <f>IF(I79&lt;&gt;"",_xlfn.XLOOKUP(D$4+I79,A$26:A$145,$C$26:$C$145,0) * 1000,"")</f>
        <v/>
      </c>
      <c r="T79" s="52">
        <f t="shared" si="29"/>
        <v>0</v>
      </c>
      <c r="U79" s="53" t="str">
        <f t="shared" si="45"/>
        <v/>
      </c>
      <c r="V79" s="53" t="str">
        <f t="shared" si="46"/>
        <v/>
      </c>
      <c r="W79" s="53" t="str">
        <f t="shared" si="47"/>
        <v/>
      </c>
      <c r="X79" s="46" t="str">
        <f t="shared" si="35"/>
        <v/>
      </c>
      <c r="Y79" s="54"/>
      <c r="Z79" s="41" t="str">
        <f t="shared" si="48"/>
        <v/>
      </c>
      <c r="AA79" s="41" t="str">
        <f t="shared" si="49"/>
        <v/>
      </c>
      <c r="AB79" s="41" t="str">
        <f t="shared" si="36"/>
        <v/>
      </c>
      <c r="AC79" s="41" t="str">
        <f t="shared" si="37"/>
        <v/>
      </c>
      <c r="AD79" s="54"/>
      <c r="AE79" s="41" t="str">
        <f t="shared" si="38"/>
        <v/>
      </c>
      <c r="AF79" s="41"/>
      <c r="AG79" s="41" t="str">
        <f t="shared" si="39"/>
        <v/>
      </c>
      <c r="AH79" s="41" t="str">
        <f t="shared" si="50"/>
        <v/>
      </c>
      <c r="AI79" s="41" t="str">
        <f t="shared" si="51"/>
        <v/>
      </c>
      <c r="AJ79" s="41">
        <f t="shared" si="40"/>
        <v>0</v>
      </c>
      <c r="AK79" s="41" t="str">
        <f t="shared" si="41"/>
        <v/>
      </c>
      <c r="AL79" s="41">
        <f t="shared" si="52"/>
        <v>0</v>
      </c>
      <c r="AM79" s="41">
        <f t="shared" si="42"/>
        <v>0</v>
      </c>
      <c r="AN79" s="41" t="str">
        <f t="shared" si="43"/>
        <v/>
      </c>
      <c r="AO79" s="41">
        <f>SUM(AM79:AN79)</f>
        <v>0</v>
      </c>
      <c r="AP79" s="45"/>
      <c r="AQ79" s="45"/>
      <c r="AR79" s="48"/>
      <c r="AS79" s="48"/>
      <c r="AT79" s="51">
        <f t="shared" si="53"/>
        <v>75</v>
      </c>
      <c r="AU79" s="49" t="str">
        <f t="shared" si="54"/>
        <v/>
      </c>
      <c r="AV79" s="49" t="str">
        <f t="shared" si="55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9.7993793794930503E-3</v>
      </c>
      <c r="C80">
        <f t="shared" si="30"/>
        <v>9.2114166167234675E-3</v>
      </c>
      <c r="D80" s="60"/>
      <c r="E80" s="5"/>
      <c r="F80" s="5"/>
      <c r="I80" s="51"/>
      <c r="J80" s="41"/>
      <c r="K80" s="41" t="str">
        <f t="shared" si="56"/>
        <v/>
      </c>
      <c r="L80" s="42" t="str">
        <f t="shared" si="57"/>
        <v/>
      </c>
      <c r="M80" s="41" t="str">
        <f t="shared" si="58"/>
        <v/>
      </c>
      <c r="N80" s="43">
        <f t="shared" si="31"/>
        <v>0</v>
      </c>
      <c r="O80" s="44">
        <f t="shared" si="32"/>
        <v>0</v>
      </c>
      <c r="P80" s="41" t="str">
        <f t="shared" si="33"/>
        <v/>
      </c>
      <c r="Q80" s="41" t="str">
        <f t="shared" si="34"/>
        <v/>
      </c>
      <c r="R80" s="45"/>
      <c r="S80" s="44" t="str">
        <f>IF(I80&lt;&gt;"",_xlfn.XLOOKUP(D$4+I80,A$26:A$145,$C$26:$C$145,0) * 1000,"")</f>
        <v/>
      </c>
      <c r="T80" s="52">
        <f t="shared" si="29"/>
        <v>0</v>
      </c>
      <c r="U80" s="53" t="str">
        <f t="shared" si="45"/>
        <v/>
      </c>
      <c r="V80" s="53" t="str">
        <f t="shared" si="46"/>
        <v/>
      </c>
      <c r="W80" s="53" t="str">
        <f t="shared" si="47"/>
        <v/>
      </c>
      <c r="X80" s="46" t="str">
        <f t="shared" si="35"/>
        <v/>
      </c>
      <c r="Y80" s="45"/>
      <c r="Z80" s="41" t="str">
        <f t="shared" si="48"/>
        <v/>
      </c>
      <c r="AA80" s="41" t="str">
        <f t="shared" si="49"/>
        <v/>
      </c>
      <c r="AB80" s="41" t="str">
        <f t="shared" si="36"/>
        <v/>
      </c>
      <c r="AC80" s="41" t="str">
        <f t="shared" si="37"/>
        <v/>
      </c>
      <c r="AD80" s="45"/>
      <c r="AE80" s="41" t="str">
        <f t="shared" si="38"/>
        <v/>
      </c>
      <c r="AF80" s="41"/>
      <c r="AG80" s="41" t="str">
        <f t="shared" si="39"/>
        <v/>
      </c>
      <c r="AH80" s="41" t="str">
        <f t="shared" si="50"/>
        <v/>
      </c>
      <c r="AI80" s="41" t="str">
        <f t="shared" si="51"/>
        <v/>
      </c>
      <c r="AJ80" s="41">
        <f t="shared" si="40"/>
        <v>0</v>
      </c>
      <c r="AK80" s="41" t="str">
        <f t="shared" si="41"/>
        <v/>
      </c>
      <c r="AL80" s="41">
        <f t="shared" si="52"/>
        <v>0</v>
      </c>
      <c r="AM80" s="41">
        <f t="shared" si="42"/>
        <v>0</v>
      </c>
      <c r="AN80" s="41" t="str">
        <f t="shared" si="43"/>
        <v/>
      </c>
      <c r="AO80" s="41">
        <f t="shared" ref="AO80:AO124" si="59">SUM(AM80:AN80)</f>
        <v>0</v>
      </c>
      <c r="AP80" s="45"/>
      <c r="AQ80" s="48"/>
      <c r="AR80" s="48"/>
      <c r="AS80" s="48"/>
      <c r="AT80" s="51">
        <f t="shared" si="53"/>
        <v>76</v>
      </c>
      <c r="AU80" s="49" t="str">
        <f t="shared" si="54"/>
        <v/>
      </c>
      <c r="AV80" s="49" t="str">
        <f t="shared" si="55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1.0336299107361601E-2</v>
      </c>
      <c r="C81">
        <f t="shared" si="30"/>
        <v>9.7161211609199036E-3</v>
      </c>
      <c r="D81" s="60"/>
      <c r="E81" s="5"/>
      <c r="F81" s="5"/>
      <c r="I81" s="51"/>
      <c r="J81" s="41"/>
      <c r="K81" s="41" t="str">
        <f t="shared" si="56"/>
        <v/>
      </c>
      <c r="L81" s="42" t="str">
        <f t="shared" si="57"/>
        <v/>
      </c>
      <c r="M81" s="41" t="str">
        <f t="shared" si="58"/>
        <v/>
      </c>
      <c r="N81" s="43">
        <f t="shared" si="31"/>
        <v>0</v>
      </c>
      <c r="O81" s="44">
        <f t="shared" si="32"/>
        <v>0</v>
      </c>
      <c r="P81" s="41" t="str">
        <f t="shared" si="33"/>
        <v/>
      </c>
      <c r="Q81" s="41" t="str">
        <f t="shared" si="34"/>
        <v/>
      </c>
      <c r="R81" s="45"/>
      <c r="S81" s="44" t="str">
        <f>IF(I81&lt;&gt;"",_xlfn.XLOOKUP(D$4+I81,A$26:A$145,$C$26:$C$145,0) * 1000,"")</f>
        <v/>
      </c>
      <c r="T81" s="52">
        <f t="shared" ref="T81:T124" si="60">$C$13</f>
        <v>0</v>
      </c>
      <c r="U81" s="53" t="str">
        <f t="shared" si="45"/>
        <v/>
      </c>
      <c r="V81" s="53" t="str">
        <f t="shared" si="46"/>
        <v/>
      </c>
      <c r="W81" s="53" t="str">
        <f t="shared" si="47"/>
        <v/>
      </c>
      <c r="X81" s="46" t="str">
        <f t="shared" si="35"/>
        <v/>
      </c>
      <c r="Y81" s="45"/>
      <c r="Z81" s="41" t="str">
        <f t="shared" si="48"/>
        <v/>
      </c>
      <c r="AA81" s="41" t="str">
        <f t="shared" si="49"/>
        <v/>
      </c>
      <c r="AB81" s="41" t="str">
        <f t="shared" si="36"/>
        <v/>
      </c>
      <c r="AC81" s="41" t="str">
        <f t="shared" si="37"/>
        <v/>
      </c>
      <c r="AD81" s="48"/>
      <c r="AE81" s="41" t="str">
        <f t="shared" si="38"/>
        <v/>
      </c>
      <c r="AF81" s="41"/>
      <c r="AG81" s="41" t="str">
        <f t="shared" si="39"/>
        <v/>
      </c>
      <c r="AH81" s="41" t="str">
        <f t="shared" si="50"/>
        <v/>
      </c>
      <c r="AI81" s="41" t="str">
        <f t="shared" si="51"/>
        <v/>
      </c>
      <c r="AJ81" s="41">
        <f t="shared" si="40"/>
        <v>0</v>
      </c>
      <c r="AK81" s="41" t="str">
        <f t="shared" si="41"/>
        <v/>
      </c>
      <c r="AL81" s="41">
        <f t="shared" si="52"/>
        <v>0</v>
      </c>
      <c r="AM81" s="41">
        <f t="shared" si="42"/>
        <v>0</v>
      </c>
      <c r="AN81" s="41" t="str">
        <f t="shared" si="43"/>
        <v/>
      </c>
      <c r="AO81" s="41">
        <f t="shared" si="59"/>
        <v>0</v>
      </c>
      <c r="AP81" s="45"/>
      <c r="AQ81" s="48"/>
      <c r="AR81" s="48"/>
      <c r="AS81" s="48"/>
      <c r="AT81" s="51">
        <f t="shared" si="53"/>
        <v>77</v>
      </c>
      <c r="AU81" s="49" t="str">
        <f t="shared" si="54"/>
        <v/>
      </c>
      <c r="AV81" s="49" t="str">
        <f t="shared" si="55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1.13746504410627E-2</v>
      </c>
      <c r="C82">
        <f t="shared" si="30"/>
        <v>1.0692171414598937E-2</v>
      </c>
      <c r="D82" s="60"/>
      <c r="E82" s="5"/>
      <c r="F82" s="5"/>
      <c r="I82" s="51"/>
      <c r="J82" s="41"/>
      <c r="K82" s="41" t="str">
        <f t="shared" si="56"/>
        <v/>
      </c>
      <c r="L82" s="42" t="str">
        <f t="shared" si="57"/>
        <v/>
      </c>
      <c r="M82" s="41" t="str">
        <f t="shared" si="58"/>
        <v/>
      </c>
      <c r="N82" s="43">
        <f t="shared" si="31"/>
        <v>0</v>
      </c>
      <c r="O82" s="44">
        <f t="shared" si="32"/>
        <v>0</v>
      </c>
      <c r="P82" s="41" t="str">
        <f t="shared" si="33"/>
        <v/>
      </c>
      <c r="Q82" s="41" t="str">
        <f t="shared" si="34"/>
        <v/>
      </c>
      <c r="R82" s="45"/>
      <c r="S82" s="44" t="str">
        <f>IF(I82&lt;&gt;"",_xlfn.XLOOKUP(D$4+I82,A$26:A$145,$C$26:$C$145,0) * 1000,"")</f>
        <v/>
      </c>
      <c r="T82" s="52">
        <f t="shared" si="60"/>
        <v>0</v>
      </c>
      <c r="U82" s="53" t="str">
        <f t="shared" si="45"/>
        <v/>
      </c>
      <c r="V82" s="53" t="str">
        <f t="shared" si="46"/>
        <v/>
      </c>
      <c r="W82" s="53" t="str">
        <f t="shared" si="47"/>
        <v/>
      </c>
      <c r="X82" s="46" t="str">
        <f t="shared" si="35"/>
        <v/>
      </c>
      <c r="Y82" s="45"/>
      <c r="Z82" s="41" t="str">
        <f t="shared" si="48"/>
        <v/>
      </c>
      <c r="AA82" s="41" t="str">
        <f t="shared" si="49"/>
        <v/>
      </c>
      <c r="AB82" s="41" t="str">
        <f t="shared" si="36"/>
        <v/>
      </c>
      <c r="AC82" s="41" t="str">
        <f t="shared" si="37"/>
        <v/>
      </c>
      <c r="AD82" s="48"/>
      <c r="AE82" s="41" t="str">
        <f t="shared" si="38"/>
        <v/>
      </c>
      <c r="AF82" s="41"/>
      <c r="AG82" s="41" t="str">
        <f t="shared" si="39"/>
        <v/>
      </c>
      <c r="AH82" s="41" t="str">
        <f t="shared" si="50"/>
        <v/>
      </c>
      <c r="AI82" s="41" t="str">
        <f t="shared" si="51"/>
        <v/>
      </c>
      <c r="AJ82" s="41">
        <f t="shared" si="40"/>
        <v>0</v>
      </c>
      <c r="AK82" s="41" t="str">
        <f t="shared" si="41"/>
        <v/>
      </c>
      <c r="AL82" s="41">
        <f t="shared" si="52"/>
        <v>0</v>
      </c>
      <c r="AM82" s="41">
        <f t="shared" si="42"/>
        <v>0</v>
      </c>
      <c r="AN82" s="41" t="str">
        <f t="shared" si="43"/>
        <v/>
      </c>
      <c r="AO82" s="41">
        <f t="shared" si="59"/>
        <v>0</v>
      </c>
      <c r="AP82" s="45"/>
      <c r="AQ82" s="48"/>
      <c r="AR82" s="48"/>
      <c r="AS82" s="48"/>
      <c r="AT82" s="51">
        <f t="shared" si="53"/>
        <v>78</v>
      </c>
      <c r="AU82" s="49" t="str">
        <f t="shared" si="54"/>
        <v/>
      </c>
      <c r="AV82" s="49" t="str">
        <f t="shared" si="55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1.2484891473270801E-2</v>
      </c>
      <c r="C83">
        <f t="shared" si="30"/>
        <v>1.1735797984874553E-2</v>
      </c>
      <c r="D83" s="60"/>
      <c r="E83" s="5"/>
      <c r="F83" s="5"/>
      <c r="I83" s="51"/>
      <c r="J83" s="41"/>
      <c r="K83" s="41" t="str">
        <f t="shared" si="56"/>
        <v/>
      </c>
      <c r="L83" s="42" t="str">
        <f t="shared" si="57"/>
        <v/>
      </c>
      <c r="M83" s="41" t="str">
        <f t="shared" si="58"/>
        <v/>
      </c>
      <c r="N83" s="43">
        <f t="shared" si="31"/>
        <v>0</v>
      </c>
      <c r="O83" s="44">
        <f t="shared" si="32"/>
        <v>0</v>
      </c>
      <c r="P83" s="41" t="str">
        <f t="shared" si="33"/>
        <v/>
      </c>
      <c r="Q83" s="41" t="str">
        <f t="shared" si="34"/>
        <v/>
      </c>
      <c r="R83" s="45"/>
      <c r="S83" s="44" t="str">
        <f>IF(I83&lt;&gt;"",_xlfn.XLOOKUP(D$4+I83,A$26:A$145,$C$26:$C$145,0) * 1000,"")</f>
        <v/>
      </c>
      <c r="T83" s="52">
        <f t="shared" si="60"/>
        <v>0</v>
      </c>
      <c r="U83" s="53" t="str">
        <f t="shared" si="45"/>
        <v/>
      </c>
      <c r="V83" s="53" t="str">
        <f t="shared" si="46"/>
        <v/>
      </c>
      <c r="W83" s="53" t="str">
        <f t="shared" si="47"/>
        <v/>
      </c>
      <c r="X83" s="46" t="str">
        <f t="shared" si="35"/>
        <v/>
      </c>
      <c r="Y83" s="45"/>
      <c r="Z83" s="41" t="str">
        <f t="shared" si="48"/>
        <v/>
      </c>
      <c r="AA83" s="41" t="str">
        <f t="shared" si="49"/>
        <v/>
      </c>
      <c r="AB83" s="41" t="str">
        <f t="shared" si="36"/>
        <v/>
      </c>
      <c r="AC83" s="41" t="str">
        <f t="shared" si="37"/>
        <v/>
      </c>
      <c r="AD83" s="48"/>
      <c r="AE83" s="41" t="str">
        <f t="shared" si="38"/>
        <v/>
      </c>
      <c r="AF83" s="41"/>
      <c r="AG83" s="41" t="str">
        <f t="shared" si="39"/>
        <v/>
      </c>
      <c r="AH83" s="41" t="str">
        <f t="shared" si="50"/>
        <v/>
      </c>
      <c r="AI83" s="41" t="str">
        <f t="shared" si="51"/>
        <v/>
      </c>
      <c r="AJ83" s="41">
        <f t="shared" si="40"/>
        <v>0</v>
      </c>
      <c r="AK83" s="41" t="str">
        <f t="shared" si="41"/>
        <v/>
      </c>
      <c r="AL83" s="41">
        <f t="shared" si="52"/>
        <v>0</v>
      </c>
      <c r="AM83" s="41">
        <f t="shared" si="42"/>
        <v>0</v>
      </c>
      <c r="AN83" s="41" t="str">
        <f t="shared" si="43"/>
        <v/>
      </c>
      <c r="AO83" s="41">
        <f t="shared" si="59"/>
        <v>0</v>
      </c>
      <c r="AP83" s="45"/>
      <c r="AQ83" s="48"/>
      <c r="AR83" s="48"/>
      <c r="AS83" s="48"/>
      <c r="AT83" s="51">
        <f t="shared" si="53"/>
        <v>79</v>
      </c>
      <c r="AU83" s="49" t="str">
        <f t="shared" si="54"/>
        <v/>
      </c>
      <c r="AV83" s="49" t="str">
        <f t="shared" si="55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1.37056305100539E-2</v>
      </c>
      <c r="C84">
        <f t="shared" si="30"/>
        <v>1.2883292679450665E-2</v>
      </c>
      <c r="D84" s="60"/>
      <c r="E84" s="5"/>
      <c r="F84" s="5"/>
      <c r="I84" s="51"/>
      <c r="J84" s="41"/>
      <c r="K84" s="41" t="str">
        <f t="shared" si="56"/>
        <v/>
      </c>
      <c r="L84" s="42" t="str">
        <f t="shared" si="57"/>
        <v/>
      </c>
      <c r="M84" s="41" t="str">
        <f t="shared" si="58"/>
        <v/>
      </c>
      <c r="N84" s="43">
        <f t="shared" si="31"/>
        <v>0</v>
      </c>
      <c r="O84" s="44">
        <f t="shared" si="32"/>
        <v>0</v>
      </c>
      <c r="P84" s="41" t="str">
        <f t="shared" si="33"/>
        <v/>
      </c>
      <c r="Q84" s="41" t="str">
        <f t="shared" si="34"/>
        <v/>
      </c>
      <c r="R84" s="45"/>
      <c r="S84" s="44" t="str">
        <f>IF(I84&lt;&gt;"",_xlfn.XLOOKUP(D$4+I84,A$26:A$145,$C$26:$C$145,0) * 1000,"")</f>
        <v/>
      </c>
      <c r="T84" s="52">
        <f t="shared" si="60"/>
        <v>0</v>
      </c>
      <c r="U84" s="53" t="str">
        <f t="shared" si="45"/>
        <v/>
      </c>
      <c r="V84" s="53" t="str">
        <f t="shared" si="46"/>
        <v/>
      </c>
      <c r="W84" s="53" t="str">
        <f t="shared" si="47"/>
        <v/>
      </c>
      <c r="X84" s="46" t="str">
        <f t="shared" si="35"/>
        <v/>
      </c>
      <c r="Y84" s="45"/>
      <c r="Z84" s="41" t="str">
        <f t="shared" si="48"/>
        <v/>
      </c>
      <c r="AA84" s="41" t="str">
        <f t="shared" si="49"/>
        <v/>
      </c>
      <c r="AB84" s="41" t="str">
        <f t="shared" si="36"/>
        <v/>
      </c>
      <c r="AC84" s="41" t="str">
        <f t="shared" si="37"/>
        <v/>
      </c>
      <c r="AD84" s="48"/>
      <c r="AE84" s="41" t="str">
        <f t="shared" si="38"/>
        <v/>
      </c>
      <c r="AF84" s="41"/>
      <c r="AG84" s="41" t="str">
        <f t="shared" si="39"/>
        <v/>
      </c>
      <c r="AH84" s="41" t="str">
        <f t="shared" si="50"/>
        <v/>
      </c>
      <c r="AI84" s="41" t="str">
        <f t="shared" si="51"/>
        <v/>
      </c>
      <c r="AJ84" s="41">
        <f t="shared" si="40"/>
        <v>0</v>
      </c>
      <c r="AK84" s="41" t="str">
        <f t="shared" si="41"/>
        <v/>
      </c>
      <c r="AL84" s="41">
        <f t="shared" si="52"/>
        <v>0</v>
      </c>
      <c r="AM84" s="41">
        <f t="shared" si="42"/>
        <v>0</v>
      </c>
      <c r="AN84" s="41" t="str">
        <f t="shared" si="43"/>
        <v/>
      </c>
      <c r="AO84" s="41">
        <f t="shared" si="59"/>
        <v>0</v>
      </c>
      <c r="AP84" s="45"/>
      <c r="AQ84" s="48"/>
      <c r="AR84" s="48"/>
      <c r="AS84" s="48"/>
      <c r="AT84" s="51">
        <f t="shared" si="53"/>
        <v>80</v>
      </c>
      <c r="AU84" s="49" t="str">
        <f t="shared" si="54"/>
        <v/>
      </c>
      <c r="AV84" s="49" t="str">
        <f t="shared" si="55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1.51670107226932E-2</v>
      </c>
      <c r="C85">
        <f t="shared" si="30"/>
        <v>1.4256990079331608E-2</v>
      </c>
      <c r="D85" s="60"/>
      <c r="E85" s="5"/>
      <c r="F85" s="5"/>
      <c r="I85" s="51"/>
      <c r="J85" s="41"/>
      <c r="K85" s="41" t="str">
        <f t="shared" si="56"/>
        <v/>
      </c>
      <c r="L85" s="42" t="str">
        <f t="shared" si="57"/>
        <v/>
      </c>
      <c r="M85" s="41" t="str">
        <f t="shared" si="58"/>
        <v/>
      </c>
      <c r="N85" s="43">
        <f t="shared" si="31"/>
        <v>0</v>
      </c>
      <c r="O85" s="44">
        <f t="shared" si="32"/>
        <v>0</v>
      </c>
      <c r="P85" s="41" t="str">
        <f t="shared" si="33"/>
        <v/>
      </c>
      <c r="Q85" s="41" t="str">
        <f t="shared" si="34"/>
        <v/>
      </c>
      <c r="R85" s="45"/>
      <c r="S85" s="44" t="str">
        <f>IF(I85&lt;&gt;"",_xlfn.XLOOKUP(D$4+I85,A$26:A$145,$C$26:$C$145,0) * 1000,"")</f>
        <v/>
      </c>
      <c r="T85" s="52">
        <f t="shared" si="60"/>
        <v>0</v>
      </c>
      <c r="U85" s="53" t="str">
        <f t="shared" si="45"/>
        <v/>
      </c>
      <c r="V85" s="53" t="str">
        <f t="shared" si="46"/>
        <v/>
      </c>
      <c r="W85" s="53" t="str">
        <f t="shared" si="47"/>
        <v/>
      </c>
      <c r="X85" s="46" t="str">
        <f t="shared" si="35"/>
        <v/>
      </c>
      <c r="Y85" s="45"/>
      <c r="Z85" s="41" t="str">
        <f t="shared" si="48"/>
        <v/>
      </c>
      <c r="AA85" s="41" t="str">
        <f t="shared" si="49"/>
        <v/>
      </c>
      <c r="AB85" s="41" t="str">
        <f t="shared" si="36"/>
        <v/>
      </c>
      <c r="AC85" s="41" t="str">
        <f t="shared" si="37"/>
        <v/>
      </c>
      <c r="AD85" s="48"/>
      <c r="AE85" s="41" t="str">
        <f t="shared" si="38"/>
        <v/>
      </c>
      <c r="AF85" s="41"/>
      <c r="AG85" s="41" t="str">
        <f t="shared" si="39"/>
        <v/>
      </c>
      <c r="AH85" s="41" t="str">
        <f t="shared" si="50"/>
        <v/>
      </c>
      <c r="AI85" s="41" t="str">
        <f t="shared" si="51"/>
        <v/>
      </c>
      <c r="AJ85" s="41">
        <f t="shared" si="40"/>
        <v>0</v>
      </c>
      <c r="AK85" s="41" t="str">
        <f t="shared" si="41"/>
        <v/>
      </c>
      <c r="AL85" s="41">
        <f t="shared" si="52"/>
        <v>0</v>
      </c>
      <c r="AM85" s="41">
        <f t="shared" si="42"/>
        <v>0</v>
      </c>
      <c r="AN85" s="41" t="str">
        <f t="shared" si="43"/>
        <v/>
      </c>
      <c r="AO85" s="41">
        <f t="shared" si="59"/>
        <v>0</v>
      </c>
      <c r="AP85" s="45"/>
      <c r="AQ85" s="48"/>
      <c r="AR85" s="48"/>
      <c r="AS85" s="48"/>
      <c r="AT85" s="51">
        <f t="shared" si="53"/>
        <v>81</v>
      </c>
      <c r="AU85" s="49" t="str">
        <f t="shared" si="54"/>
        <v/>
      </c>
      <c r="AV85" s="49" t="str">
        <f t="shared" si="55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1.6723858851841699E-2</v>
      </c>
      <c r="C86">
        <f t="shared" si="30"/>
        <v>1.5720427320731197E-2</v>
      </c>
      <c r="D86" s="60"/>
      <c r="E86" s="5"/>
      <c r="F86" s="5"/>
      <c r="I86" s="51"/>
      <c r="J86" s="41"/>
      <c r="K86" s="41" t="str">
        <f t="shared" si="56"/>
        <v/>
      </c>
      <c r="L86" s="42" t="str">
        <f t="shared" si="57"/>
        <v/>
      </c>
      <c r="M86" s="41" t="str">
        <f t="shared" si="58"/>
        <v/>
      </c>
      <c r="N86" s="43">
        <f t="shared" si="31"/>
        <v>0</v>
      </c>
      <c r="O86" s="44">
        <f t="shared" si="32"/>
        <v>0</v>
      </c>
      <c r="P86" s="41" t="str">
        <f t="shared" si="33"/>
        <v/>
      </c>
      <c r="Q86" s="41" t="str">
        <f t="shared" si="34"/>
        <v/>
      </c>
      <c r="R86" s="45"/>
      <c r="S86" s="44" t="str">
        <f>IF(I86&lt;&gt;"",_xlfn.XLOOKUP(D$4+I86,A$26:A$145,$C$26:$C$145,0) * 1000,"")</f>
        <v/>
      </c>
      <c r="T86" s="52">
        <f t="shared" si="60"/>
        <v>0</v>
      </c>
      <c r="U86" s="53" t="str">
        <f t="shared" si="45"/>
        <v/>
      </c>
      <c r="V86" s="53" t="str">
        <f t="shared" si="46"/>
        <v/>
      </c>
      <c r="W86" s="53" t="str">
        <f t="shared" si="47"/>
        <v/>
      </c>
      <c r="X86" s="46" t="str">
        <f t="shared" si="35"/>
        <v/>
      </c>
      <c r="Y86" s="45"/>
      <c r="Z86" s="41" t="str">
        <f t="shared" si="48"/>
        <v/>
      </c>
      <c r="AA86" s="41" t="str">
        <f t="shared" si="49"/>
        <v/>
      </c>
      <c r="AB86" s="41" t="str">
        <f t="shared" si="36"/>
        <v/>
      </c>
      <c r="AC86" s="41" t="str">
        <f t="shared" si="37"/>
        <v/>
      </c>
      <c r="AD86" s="45"/>
      <c r="AE86" s="41" t="str">
        <f t="shared" si="38"/>
        <v/>
      </c>
      <c r="AF86" s="41"/>
      <c r="AG86" s="41" t="str">
        <f t="shared" si="39"/>
        <v/>
      </c>
      <c r="AH86" s="41" t="str">
        <f t="shared" si="50"/>
        <v/>
      </c>
      <c r="AI86" s="41" t="str">
        <f t="shared" si="51"/>
        <v/>
      </c>
      <c r="AJ86" s="41">
        <f t="shared" si="40"/>
        <v>0</v>
      </c>
      <c r="AK86" s="41" t="str">
        <f t="shared" si="41"/>
        <v/>
      </c>
      <c r="AL86" s="41">
        <f t="shared" si="52"/>
        <v>0</v>
      </c>
      <c r="AM86" s="41">
        <f t="shared" si="42"/>
        <v>0</v>
      </c>
      <c r="AN86" s="41" t="str">
        <f t="shared" si="43"/>
        <v/>
      </c>
      <c r="AO86" s="41">
        <f t="shared" si="59"/>
        <v>0</v>
      </c>
      <c r="AP86" s="45"/>
      <c r="AQ86" s="48"/>
      <c r="AR86" s="48"/>
      <c r="AS86" s="48"/>
      <c r="AT86" s="51">
        <f t="shared" si="53"/>
        <v>82</v>
      </c>
      <c r="AU86" s="49" t="str">
        <f t="shared" si="54"/>
        <v/>
      </c>
      <c r="AV86" s="49" t="str">
        <f t="shared" si="55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1.8271388730635298E-2</v>
      </c>
      <c r="C87">
        <f t="shared" si="30"/>
        <v>1.7175105406797179E-2</v>
      </c>
      <c r="D87" s="60"/>
      <c r="E87" s="5"/>
      <c r="F87" s="5"/>
      <c r="I87" s="51"/>
      <c r="J87" s="41"/>
      <c r="K87" s="41" t="str">
        <f t="shared" si="56"/>
        <v/>
      </c>
      <c r="L87" s="42" t="str">
        <f t="shared" si="57"/>
        <v/>
      </c>
      <c r="M87" s="41" t="str">
        <f t="shared" si="58"/>
        <v/>
      </c>
      <c r="N87" s="43">
        <f t="shared" si="31"/>
        <v>0</v>
      </c>
      <c r="O87" s="44">
        <f t="shared" si="32"/>
        <v>0</v>
      </c>
      <c r="P87" s="41" t="str">
        <f t="shared" si="33"/>
        <v/>
      </c>
      <c r="Q87" s="41" t="str">
        <f t="shared" si="34"/>
        <v/>
      </c>
      <c r="R87" s="45"/>
      <c r="S87" s="44" t="str">
        <f>IF(I87&lt;&gt;"",_xlfn.XLOOKUP(D$4+I87,A$26:A$145,$C$26:$C$145,0) * 1000,"")</f>
        <v/>
      </c>
      <c r="T87" s="52">
        <f t="shared" si="60"/>
        <v>0</v>
      </c>
      <c r="U87" s="53" t="str">
        <f t="shared" si="45"/>
        <v/>
      </c>
      <c r="V87" s="53" t="str">
        <f t="shared" si="46"/>
        <v/>
      </c>
      <c r="W87" s="53" t="str">
        <f t="shared" si="47"/>
        <v/>
      </c>
      <c r="X87" s="46" t="str">
        <f t="shared" si="35"/>
        <v/>
      </c>
      <c r="Y87" s="45"/>
      <c r="Z87" s="41" t="str">
        <f t="shared" si="48"/>
        <v/>
      </c>
      <c r="AA87" s="41" t="str">
        <f t="shared" si="49"/>
        <v/>
      </c>
      <c r="AB87" s="41" t="str">
        <f t="shared" si="36"/>
        <v/>
      </c>
      <c r="AC87" s="41" t="str">
        <f t="shared" si="37"/>
        <v/>
      </c>
      <c r="AD87" s="45"/>
      <c r="AE87" s="41" t="str">
        <f t="shared" si="38"/>
        <v/>
      </c>
      <c r="AF87" s="41"/>
      <c r="AG87" s="41" t="str">
        <f t="shared" si="39"/>
        <v/>
      </c>
      <c r="AH87" s="41" t="str">
        <f t="shared" si="50"/>
        <v/>
      </c>
      <c r="AI87" s="41" t="str">
        <f t="shared" si="51"/>
        <v/>
      </c>
      <c r="AJ87" s="41">
        <f t="shared" si="40"/>
        <v>0</v>
      </c>
      <c r="AK87" s="41" t="str">
        <f t="shared" si="41"/>
        <v/>
      </c>
      <c r="AL87" s="41">
        <f t="shared" si="52"/>
        <v>0</v>
      </c>
      <c r="AM87" s="41">
        <f t="shared" si="42"/>
        <v>0</v>
      </c>
      <c r="AN87" s="41" t="str">
        <f t="shared" si="43"/>
        <v/>
      </c>
      <c r="AO87" s="41">
        <f t="shared" si="59"/>
        <v>0</v>
      </c>
      <c r="AP87" s="45"/>
      <c r="AQ87" s="48"/>
      <c r="AR87" s="48"/>
      <c r="AS87" s="48"/>
      <c r="AT87" s="51">
        <f t="shared" si="53"/>
        <v>83</v>
      </c>
      <c r="AU87" s="49" t="str">
        <f t="shared" si="54"/>
        <v/>
      </c>
      <c r="AV87" s="49" t="str">
        <f t="shared" si="55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1.9974050593396301E-2</v>
      </c>
      <c r="C88">
        <f t="shared" si="30"/>
        <v>1.877560755779252E-2</v>
      </c>
      <c r="D88" s="60"/>
      <c r="E88" s="5"/>
      <c r="F88" s="5"/>
      <c r="I88" s="51"/>
      <c r="J88" s="41"/>
      <c r="K88" s="41" t="str">
        <f t="shared" si="56"/>
        <v/>
      </c>
      <c r="L88" s="42" t="str">
        <f t="shared" si="57"/>
        <v/>
      </c>
      <c r="M88" s="41" t="str">
        <f t="shared" si="58"/>
        <v/>
      </c>
      <c r="N88" s="43">
        <f t="shared" si="31"/>
        <v>0</v>
      </c>
      <c r="O88" s="44">
        <f t="shared" si="32"/>
        <v>0</v>
      </c>
      <c r="P88" s="41" t="str">
        <f t="shared" si="33"/>
        <v/>
      </c>
      <c r="Q88" s="41" t="str">
        <f t="shared" si="34"/>
        <v/>
      </c>
      <c r="R88" s="45"/>
      <c r="S88" s="44" t="str">
        <f>IF(I88&lt;&gt;"",_xlfn.XLOOKUP(D$4+I88,A$26:A$145,$C$26:$C$145,0) * 1000,"")</f>
        <v/>
      </c>
      <c r="T88" s="52">
        <f t="shared" si="60"/>
        <v>0</v>
      </c>
      <c r="U88" s="53" t="str">
        <f t="shared" si="45"/>
        <v/>
      </c>
      <c r="V88" s="53" t="str">
        <f t="shared" si="46"/>
        <v/>
      </c>
      <c r="W88" s="53" t="str">
        <f t="shared" si="47"/>
        <v/>
      </c>
      <c r="X88" s="46" t="str">
        <f t="shared" si="35"/>
        <v/>
      </c>
      <c r="Y88" s="45"/>
      <c r="Z88" s="41" t="str">
        <f t="shared" si="48"/>
        <v/>
      </c>
      <c r="AA88" s="41" t="str">
        <f t="shared" si="49"/>
        <v/>
      </c>
      <c r="AB88" s="41" t="str">
        <f t="shared" si="36"/>
        <v/>
      </c>
      <c r="AC88" s="41" t="str">
        <f t="shared" si="37"/>
        <v/>
      </c>
      <c r="AD88" s="45"/>
      <c r="AE88" s="41" t="str">
        <f t="shared" si="38"/>
        <v/>
      </c>
      <c r="AF88" s="41"/>
      <c r="AG88" s="41" t="str">
        <f t="shared" si="39"/>
        <v/>
      </c>
      <c r="AH88" s="41" t="str">
        <f t="shared" si="50"/>
        <v/>
      </c>
      <c r="AI88" s="41" t="str">
        <f t="shared" si="51"/>
        <v/>
      </c>
      <c r="AJ88" s="41">
        <f t="shared" si="40"/>
        <v>0</v>
      </c>
      <c r="AK88" s="41" t="str">
        <f t="shared" si="41"/>
        <v/>
      </c>
      <c r="AL88" s="41">
        <f t="shared" si="52"/>
        <v>0</v>
      </c>
      <c r="AM88" s="41">
        <f t="shared" si="42"/>
        <v>0</v>
      </c>
      <c r="AN88" s="41" t="str">
        <f t="shared" si="43"/>
        <v/>
      </c>
      <c r="AO88" s="41">
        <f t="shared" si="59"/>
        <v>0</v>
      </c>
      <c r="AP88" s="45"/>
      <c r="AQ88" s="48"/>
      <c r="AR88" s="48"/>
      <c r="AS88" s="48"/>
      <c r="AT88" s="51">
        <f t="shared" si="53"/>
        <v>84</v>
      </c>
      <c r="AU88" s="49" t="str">
        <f t="shared" si="54"/>
        <v/>
      </c>
      <c r="AV88" s="49" t="str">
        <f t="shared" si="55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2.1783904165813401E-2</v>
      </c>
      <c r="C89">
        <f t="shared" si="30"/>
        <v>2.0476869915864594E-2</v>
      </c>
      <c r="D89" s="60"/>
      <c r="E89" s="5"/>
      <c r="F89" s="5"/>
      <c r="I89" s="51"/>
      <c r="J89" s="41"/>
      <c r="K89" s="41" t="str">
        <f t="shared" si="56"/>
        <v/>
      </c>
      <c r="L89" s="42" t="str">
        <f t="shared" si="57"/>
        <v/>
      </c>
      <c r="M89" s="41" t="str">
        <f t="shared" si="58"/>
        <v/>
      </c>
      <c r="N89" s="43">
        <f t="shared" si="31"/>
        <v>0</v>
      </c>
      <c r="O89" s="44">
        <f t="shared" si="32"/>
        <v>0</v>
      </c>
      <c r="P89" s="41" t="str">
        <f t="shared" si="33"/>
        <v/>
      </c>
      <c r="Q89" s="41" t="str">
        <f t="shared" si="34"/>
        <v/>
      </c>
      <c r="R89" s="45"/>
      <c r="S89" s="44" t="str">
        <f>IF(I89&lt;&gt;"",_xlfn.XLOOKUP(D$4+I89,A$26:A$145,$C$26:$C$145,0) * 1000,"")</f>
        <v/>
      </c>
      <c r="T89" s="52">
        <f t="shared" si="60"/>
        <v>0</v>
      </c>
      <c r="U89" s="53" t="str">
        <f t="shared" si="45"/>
        <v/>
      </c>
      <c r="V89" s="53" t="str">
        <f t="shared" si="46"/>
        <v/>
      </c>
      <c r="W89" s="53" t="str">
        <f t="shared" si="47"/>
        <v/>
      </c>
      <c r="X89" s="46" t="str">
        <f t="shared" si="35"/>
        <v/>
      </c>
      <c r="Y89" s="45"/>
      <c r="Z89" s="41" t="str">
        <f t="shared" si="48"/>
        <v/>
      </c>
      <c r="AA89" s="41" t="str">
        <f t="shared" si="49"/>
        <v/>
      </c>
      <c r="AB89" s="41" t="str">
        <f t="shared" si="36"/>
        <v/>
      </c>
      <c r="AC89" s="41" t="str">
        <f t="shared" si="37"/>
        <v/>
      </c>
      <c r="AD89" s="45"/>
      <c r="AE89" s="41" t="str">
        <f t="shared" si="38"/>
        <v/>
      </c>
      <c r="AF89" s="41"/>
      <c r="AG89" s="41" t="str">
        <f t="shared" si="39"/>
        <v/>
      </c>
      <c r="AH89" s="41" t="str">
        <f t="shared" si="50"/>
        <v/>
      </c>
      <c r="AI89" s="41" t="str">
        <f t="shared" si="51"/>
        <v/>
      </c>
      <c r="AJ89" s="41">
        <f t="shared" si="40"/>
        <v>0</v>
      </c>
      <c r="AK89" s="41" t="str">
        <f t="shared" si="41"/>
        <v/>
      </c>
      <c r="AL89" s="41">
        <f t="shared" si="52"/>
        <v>0</v>
      </c>
      <c r="AM89" s="41">
        <f t="shared" si="42"/>
        <v>0</v>
      </c>
      <c r="AN89" s="41" t="str">
        <f t="shared" si="43"/>
        <v/>
      </c>
      <c r="AO89" s="41">
        <f t="shared" si="59"/>
        <v>0</v>
      </c>
      <c r="AP89" s="45"/>
      <c r="AQ89" s="48"/>
      <c r="AR89" s="48"/>
      <c r="AS89" s="48"/>
      <c r="AT89" s="51">
        <f t="shared" si="53"/>
        <v>85</v>
      </c>
      <c r="AU89" s="49" t="str">
        <f t="shared" si="54"/>
        <v/>
      </c>
      <c r="AV89" s="49" t="str">
        <f t="shared" si="55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2.47616060621428E-2</v>
      </c>
      <c r="C90">
        <f t="shared" si="30"/>
        <v>2.327590969841423E-2</v>
      </c>
      <c r="D90" s="60"/>
      <c r="E90" s="5"/>
      <c r="F90" s="5"/>
      <c r="I90" s="51"/>
      <c r="J90" s="41"/>
      <c r="K90" s="41" t="str">
        <f t="shared" si="56"/>
        <v/>
      </c>
      <c r="L90" s="42" t="str">
        <f t="shared" si="57"/>
        <v/>
      </c>
      <c r="M90" s="41" t="str">
        <f t="shared" si="58"/>
        <v/>
      </c>
      <c r="N90" s="43">
        <f t="shared" si="31"/>
        <v>0</v>
      </c>
      <c r="O90" s="44">
        <f t="shared" si="32"/>
        <v>0</v>
      </c>
      <c r="P90" s="41" t="str">
        <f t="shared" si="33"/>
        <v/>
      </c>
      <c r="Q90" s="41" t="str">
        <f t="shared" si="34"/>
        <v/>
      </c>
      <c r="R90" s="45"/>
      <c r="S90" s="44" t="str">
        <f>IF(I90&lt;&gt;"",_xlfn.XLOOKUP(D$4+I90,A$26:A$145,$C$26:$C$145,0) * 1000,"")</f>
        <v/>
      </c>
      <c r="T90" s="52">
        <f t="shared" si="60"/>
        <v>0</v>
      </c>
      <c r="U90" s="53" t="str">
        <f t="shared" si="45"/>
        <v/>
      </c>
      <c r="V90" s="53" t="str">
        <f t="shared" si="46"/>
        <v/>
      </c>
      <c r="W90" s="53" t="str">
        <f t="shared" si="47"/>
        <v/>
      </c>
      <c r="X90" s="46" t="str">
        <f t="shared" si="35"/>
        <v/>
      </c>
      <c r="Y90" s="45"/>
      <c r="Z90" s="41" t="str">
        <f t="shared" si="48"/>
        <v/>
      </c>
      <c r="AA90" s="41" t="str">
        <f t="shared" si="49"/>
        <v/>
      </c>
      <c r="AB90" s="41" t="str">
        <f t="shared" si="36"/>
        <v/>
      </c>
      <c r="AC90" s="41" t="str">
        <f t="shared" si="37"/>
        <v/>
      </c>
      <c r="AD90" s="45"/>
      <c r="AE90" s="41" t="str">
        <f t="shared" si="38"/>
        <v/>
      </c>
      <c r="AF90" s="41"/>
      <c r="AG90" s="41" t="str">
        <f t="shared" si="39"/>
        <v/>
      </c>
      <c r="AH90" s="41" t="str">
        <f t="shared" si="50"/>
        <v/>
      </c>
      <c r="AI90" s="41" t="str">
        <f t="shared" si="51"/>
        <v/>
      </c>
      <c r="AJ90" s="41">
        <f t="shared" si="40"/>
        <v>0</v>
      </c>
      <c r="AK90" s="41" t="str">
        <f t="shared" si="41"/>
        <v/>
      </c>
      <c r="AL90" s="41">
        <f t="shared" si="52"/>
        <v>0</v>
      </c>
      <c r="AM90" s="41">
        <f t="shared" si="42"/>
        <v>0</v>
      </c>
      <c r="AN90" s="41" t="str">
        <f t="shared" si="43"/>
        <v/>
      </c>
      <c r="AO90" s="41">
        <f t="shared" si="59"/>
        <v>0</v>
      </c>
      <c r="AP90" s="45"/>
      <c r="AQ90" s="48"/>
      <c r="AR90" s="48"/>
      <c r="AS90" s="48"/>
      <c r="AT90" s="51">
        <f t="shared" si="53"/>
        <v>86</v>
      </c>
      <c r="AU90" s="49" t="str">
        <f t="shared" si="54"/>
        <v/>
      </c>
      <c r="AV90" s="49" t="str">
        <f t="shared" si="55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3.1337788240226802E-2</v>
      </c>
      <c r="C91">
        <f t="shared" ref="C91:C144" si="61">B91*(1-$F$16)</f>
        <v>2.9457520945813193E-2</v>
      </c>
      <c r="D91" s="60"/>
      <c r="E91" s="5"/>
      <c r="F91" s="5"/>
      <c r="I91" s="51"/>
      <c r="J91" s="41"/>
      <c r="K91" s="41" t="str">
        <f t="shared" si="56"/>
        <v/>
      </c>
      <c r="L91" s="42" t="str">
        <f t="shared" si="57"/>
        <v/>
      </c>
      <c r="M91" s="41" t="str">
        <f t="shared" si="58"/>
        <v/>
      </c>
      <c r="N91" s="43">
        <f t="shared" si="31"/>
        <v>0</v>
      </c>
      <c r="O91" s="44">
        <f t="shared" si="32"/>
        <v>0</v>
      </c>
      <c r="P91" s="41" t="str">
        <f t="shared" si="33"/>
        <v/>
      </c>
      <c r="Q91" s="41" t="str">
        <f t="shared" si="34"/>
        <v/>
      </c>
      <c r="R91" s="45"/>
      <c r="S91" s="44" t="str">
        <f>IF(I91&lt;&gt;"",_xlfn.XLOOKUP(D$4+I91,A$26:A$145,$C$26:$C$145,0) * 1000,"")</f>
        <v/>
      </c>
      <c r="T91" s="52">
        <f t="shared" si="60"/>
        <v>0</v>
      </c>
      <c r="U91" s="53" t="str">
        <f t="shared" si="45"/>
        <v/>
      </c>
      <c r="V91" s="53" t="str">
        <f t="shared" si="46"/>
        <v/>
      </c>
      <c r="W91" s="53" t="str">
        <f t="shared" si="47"/>
        <v/>
      </c>
      <c r="X91" s="46" t="str">
        <f t="shared" si="35"/>
        <v/>
      </c>
      <c r="Y91" s="45"/>
      <c r="Z91" s="41" t="str">
        <f t="shared" si="48"/>
        <v/>
      </c>
      <c r="AA91" s="41" t="str">
        <f t="shared" si="49"/>
        <v/>
      </c>
      <c r="AB91" s="41" t="str">
        <f t="shared" si="36"/>
        <v/>
      </c>
      <c r="AC91" s="41" t="str">
        <f t="shared" si="37"/>
        <v/>
      </c>
      <c r="AD91" s="45"/>
      <c r="AE91" s="41" t="str">
        <f t="shared" si="38"/>
        <v/>
      </c>
      <c r="AF91" s="41"/>
      <c r="AG91" s="41" t="str">
        <f t="shared" si="39"/>
        <v/>
      </c>
      <c r="AH91" s="41" t="str">
        <f t="shared" si="50"/>
        <v/>
      </c>
      <c r="AI91" s="41" t="str">
        <f t="shared" si="51"/>
        <v/>
      </c>
      <c r="AJ91" s="41">
        <f t="shared" si="40"/>
        <v>0</v>
      </c>
      <c r="AK91" s="41" t="str">
        <f t="shared" si="41"/>
        <v/>
      </c>
      <c r="AL91" s="41">
        <f t="shared" si="52"/>
        <v>0</v>
      </c>
      <c r="AM91" s="41">
        <f t="shared" si="42"/>
        <v>0</v>
      </c>
      <c r="AN91" s="41" t="str">
        <f t="shared" si="43"/>
        <v/>
      </c>
      <c r="AO91" s="41">
        <f t="shared" si="59"/>
        <v>0</v>
      </c>
      <c r="AP91" s="45"/>
      <c r="AQ91" s="48"/>
      <c r="AR91" s="48"/>
      <c r="AS91" s="48"/>
      <c r="AT91" s="51">
        <f t="shared" si="53"/>
        <v>87</v>
      </c>
      <c r="AU91" s="49" t="str">
        <f t="shared" si="54"/>
        <v/>
      </c>
      <c r="AV91" s="49" t="str">
        <f t="shared" si="55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3.42978499937443E-2</v>
      </c>
      <c r="C92">
        <f t="shared" si="61"/>
        <v>3.2239978994119643E-2</v>
      </c>
      <c r="D92" s="60"/>
      <c r="E92" s="5"/>
      <c r="F92" s="5"/>
      <c r="I92" s="51"/>
      <c r="J92" s="41"/>
      <c r="K92" s="41" t="str">
        <f t="shared" si="56"/>
        <v/>
      </c>
      <c r="L92" s="42" t="str">
        <f t="shared" si="57"/>
        <v/>
      </c>
      <c r="M92" s="41" t="str">
        <f t="shared" si="58"/>
        <v/>
      </c>
      <c r="N92" s="43">
        <f t="shared" si="31"/>
        <v>0</v>
      </c>
      <c r="O92" s="44">
        <f t="shared" si="32"/>
        <v>0</v>
      </c>
      <c r="P92" s="41" t="str">
        <f t="shared" si="33"/>
        <v/>
      </c>
      <c r="Q92" s="41" t="str">
        <f t="shared" si="34"/>
        <v/>
      </c>
      <c r="R92" s="45"/>
      <c r="S92" s="44" t="str">
        <f>IF(I92&lt;&gt;"",_xlfn.XLOOKUP(D$4+I92,A$26:A$145,$C$26:$C$145,0) * 1000,"")</f>
        <v/>
      </c>
      <c r="T92" s="52">
        <f t="shared" si="60"/>
        <v>0</v>
      </c>
      <c r="U92" s="53" t="str">
        <f t="shared" si="45"/>
        <v/>
      </c>
      <c r="V92" s="53" t="str">
        <f t="shared" si="46"/>
        <v/>
      </c>
      <c r="W92" s="53" t="str">
        <f t="shared" si="47"/>
        <v/>
      </c>
      <c r="X92" s="46" t="str">
        <f t="shared" si="35"/>
        <v/>
      </c>
      <c r="Y92" s="45"/>
      <c r="Z92" s="41" t="str">
        <f t="shared" si="48"/>
        <v/>
      </c>
      <c r="AA92" s="41" t="str">
        <f t="shared" si="49"/>
        <v/>
      </c>
      <c r="AB92" s="41" t="str">
        <f t="shared" si="36"/>
        <v/>
      </c>
      <c r="AC92" s="41" t="str">
        <f t="shared" si="37"/>
        <v/>
      </c>
      <c r="AD92" s="45"/>
      <c r="AE92" s="41" t="str">
        <f t="shared" si="38"/>
        <v/>
      </c>
      <c r="AF92" s="41"/>
      <c r="AG92" s="41" t="str">
        <f t="shared" si="39"/>
        <v/>
      </c>
      <c r="AH92" s="41" t="str">
        <f t="shared" si="50"/>
        <v/>
      </c>
      <c r="AI92" s="41" t="str">
        <f t="shared" si="51"/>
        <v/>
      </c>
      <c r="AJ92" s="41">
        <f t="shared" si="40"/>
        <v>0</v>
      </c>
      <c r="AK92" s="41" t="str">
        <f t="shared" si="41"/>
        <v/>
      </c>
      <c r="AL92" s="41">
        <f t="shared" si="52"/>
        <v>0</v>
      </c>
      <c r="AM92" s="41">
        <f t="shared" si="42"/>
        <v>0</v>
      </c>
      <c r="AN92" s="41" t="str">
        <f t="shared" si="43"/>
        <v/>
      </c>
      <c r="AO92" s="41">
        <f t="shared" si="59"/>
        <v>0</v>
      </c>
      <c r="AP92" s="45"/>
      <c r="AQ92" s="48"/>
      <c r="AR92" s="48"/>
      <c r="AS92" s="48"/>
      <c r="AT92" s="51">
        <f t="shared" si="53"/>
        <v>88</v>
      </c>
      <c r="AU92" s="49" t="str">
        <f t="shared" si="54"/>
        <v/>
      </c>
      <c r="AV92" s="49" t="str">
        <f t="shared" si="55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3.74405235565375E-2</v>
      </c>
      <c r="C93">
        <f t="shared" si="61"/>
        <v>3.5194092143145249E-2</v>
      </c>
      <c r="D93" s="60"/>
      <c r="E93" s="5"/>
      <c r="F93" s="5"/>
      <c r="I93" s="51"/>
      <c r="J93" s="41"/>
      <c r="K93" s="41" t="str">
        <f t="shared" si="56"/>
        <v/>
      </c>
      <c r="L93" s="42" t="str">
        <f t="shared" si="57"/>
        <v/>
      </c>
      <c r="M93" s="41" t="str">
        <f t="shared" si="58"/>
        <v/>
      </c>
      <c r="N93" s="43">
        <f t="shared" si="31"/>
        <v>0</v>
      </c>
      <c r="O93" s="44">
        <f t="shared" si="32"/>
        <v>0</v>
      </c>
      <c r="P93" s="41" t="str">
        <f t="shared" si="33"/>
        <v/>
      </c>
      <c r="Q93" s="41" t="str">
        <f t="shared" si="34"/>
        <v/>
      </c>
      <c r="R93" s="45"/>
      <c r="S93" s="44" t="str">
        <f>IF(I93&lt;&gt;"",_xlfn.XLOOKUP(D$4+I93,A$26:A$145,$C$26:$C$145,0) * 1000,"")</f>
        <v/>
      </c>
      <c r="T93" s="52">
        <f t="shared" si="60"/>
        <v>0</v>
      </c>
      <c r="U93" s="53" t="str">
        <f t="shared" si="45"/>
        <v/>
      </c>
      <c r="V93" s="53" t="str">
        <f t="shared" si="46"/>
        <v/>
      </c>
      <c r="W93" s="53" t="str">
        <f t="shared" si="47"/>
        <v/>
      </c>
      <c r="X93" s="46" t="str">
        <f t="shared" si="35"/>
        <v/>
      </c>
      <c r="Y93" s="45"/>
      <c r="Z93" s="41" t="str">
        <f t="shared" si="48"/>
        <v/>
      </c>
      <c r="AA93" s="41" t="str">
        <f t="shared" si="49"/>
        <v/>
      </c>
      <c r="AB93" s="41" t="str">
        <f t="shared" si="36"/>
        <v/>
      </c>
      <c r="AC93" s="41" t="str">
        <f t="shared" si="37"/>
        <v/>
      </c>
      <c r="AD93" s="45"/>
      <c r="AE93" s="41" t="str">
        <f t="shared" si="38"/>
        <v/>
      </c>
      <c r="AF93" s="41"/>
      <c r="AG93" s="41" t="str">
        <f t="shared" si="39"/>
        <v/>
      </c>
      <c r="AH93" s="41" t="str">
        <f t="shared" si="50"/>
        <v/>
      </c>
      <c r="AI93" s="41" t="str">
        <f t="shared" si="51"/>
        <v/>
      </c>
      <c r="AJ93" s="41">
        <f t="shared" si="40"/>
        <v>0</v>
      </c>
      <c r="AK93" s="41" t="str">
        <f t="shared" si="41"/>
        <v/>
      </c>
      <c r="AL93" s="41">
        <f t="shared" si="52"/>
        <v>0</v>
      </c>
      <c r="AM93" s="41">
        <f t="shared" si="42"/>
        <v>0</v>
      </c>
      <c r="AN93" s="41" t="str">
        <f t="shared" si="43"/>
        <v/>
      </c>
      <c r="AO93" s="41">
        <f t="shared" si="59"/>
        <v>0</v>
      </c>
      <c r="AP93" s="45"/>
      <c r="AQ93" s="48"/>
      <c r="AR93" s="48"/>
      <c r="AS93" s="48"/>
      <c r="AT93" s="51">
        <f t="shared" si="53"/>
        <v>89</v>
      </c>
      <c r="AU93" s="49" t="str">
        <f t="shared" si="54"/>
        <v/>
      </c>
      <c r="AV93" s="49" t="str">
        <f t="shared" si="55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4.0970452479436398E-2</v>
      </c>
      <c r="C94">
        <f t="shared" si="61"/>
        <v>3.8512225330670211E-2</v>
      </c>
      <c r="D94" s="60"/>
      <c r="E94" s="5"/>
      <c r="F94" s="5"/>
      <c r="I94" s="40"/>
      <c r="J94" s="41"/>
      <c r="K94" s="41" t="str">
        <f t="shared" si="56"/>
        <v/>
      </c>
      <c r="L94" s="42" t="str">
        <f t="shared" si="57"/>
        <v/>
      </c>
      <c r="M94" s="41" t="str">
        <f t="shared" si="58"/>
        <v/>
      </c>
      <c r="N94" s="43">
        <f t="shared" si="31"/>
        <v>0</v>
      </c>
      <c r="O94" s="44">
        <f>AW94</f>
        <v>0</v>
      </c>
      <c r="P94" s="41" t="str">
        <f t="shared" si="33"/>
        <v/>
      </c>
      <c r="Q94" s="41" t="str">
        <f t="shared" si="34"/>
        <v/>
      </c>
      <c r="R94" s="48"/>
      <c r="S94" s="44" t="str">
        <f>IF(I94&lt;&gt;"",_xlfn.XLOOKUP(D$4+I94,A$26:A$145,$C$26:$C$145,0) * 1000,"")</f>
        <v/>
      </c>
      <c r="T94" s="52">
        <f t="shared" si="60"/>
        <v>0</v>
      </c>
      <c r="U94" s="53" t="str">
        <f t="shared" si="45"/>
        <v/>
      </c>
      <c r="V94" s="53" t="str">
        <f t="shared" si="46"/>
        <v/>
      </c>
      <c r="W94" s="53" t="str">
        <f t="shared" si="47"/>
        <v/>
      </c>
      <c r="X94" s="46" t="str">
        <f t="shared" si="35"/>
        <v/>
      </c>
      <c r="Y94" s="48"/>
      <c r="Z94" s="41" t="str">
        <f t="shared" si="48"/>
        <v/>
      </c>
      <c r="AA94" s="41" t="str">
        <f t="shared" si="49"/>
        <v/>
      </c>
      <c r="AB94" s="41" t="str">
        <f t="shared" si="36"/>
        <v/>
      </c>
      <c r="AC94" s="41" t="str">
        <f t="shared" si="37"/>
        <v/>
      </c>
      <c r="AD94" s="48"/>
      <c r="AE94" s="41" t="str">
        <f t="shared" si="38"/>
        <v/>
      </c>
      <c r="AF94" s="41"/>
      <c r="AG94" s="41" t="str">
        <f t="shared" si="39"/>
        <v/>
      </c>
      <c r="AH94" s="41" t="str">
        <f t="shared" si="50"/>
        <v/>
      </c>
      <c r="AI94" s="41" t="str">
        <f t="shared" si="51"/>
        <v/>
      </c>
      <c r="AJ94" s="41">
        <f t="shared" si="40"/>
        <v>0</v>
      </c>
      <c r="AK94" s="41" t="str">
        <f t="shared" si="41"/>
        <v/>
      </c>
      <c r="AL94" s="41">
        <f t="shared" si="52"/>
        <v>0</v>
      </c>
      <c r="AM94" s="41">
        <f t="shared" si="42"/>
        <v>0</v>
      </c>
      <c r="AN94" s="41" t="str">
        <f t="shared" si="43"/>
        <v/>
      </c>
      <c r="AO94" s="41">
        <f t="shared" si="59"/>
        <v>0</v>
      </c>
      <c r="AP94" s="48"/>
      <c r="AQ94" s="48"/>
      <c r="AR94" s="48"/>
      <c r="AS94" s="48"/>
      <c r="AT94" s="51">
        <f t="shared" si="53"/>
        <v>90</v>
      </c>
      <c r="AU94" s="49" t="str">
        <f t="shared" si="54"/>
        <v/>
      </c>
      <c r="AV94" s="49" t="str">
        <f t="shared" si="55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4.4940617591758998E-2</v>
      </c>
      <c r="C95">
        <f t="shared" si="61"/>
        <v>4.2244180536253458E-2</v>
      </c>
      <c r="D95" s="60"/>
      <c r="E95" s="5"/>
      <c r="F95" s="5"/>
      <c r="I95" s="40"/>
      <c r="J95" s="41"/>
      <c r="K95" s="41" t="str">
        <f t="shared" si="56"/>
        <v/>
      </c>
      <c r="L95" s="42" t="str">
        <f t="shared" si="57"/>
        <v/>
      </c>
      <c r="M95" s="41" t="str">
        <f t="shared" si="58"/>
        <v/>
      </c>
      <c r="N95" s="43">
        <f t="shared" si="31"/>
        <v>0</v>
      </c>
      <c r="O95" s="44">
        <f t="shared" si="32"/>
        <v>0</v>
      </c>
      <c r="P95" s="41" t="str">
        <f t="shared" si="33"/>
        <v/>
      </c>
      <c r="Q95" s="41" t="str">
        <f t="shared" si="34"/>
        <v/>
      </c>
      <c r="R95" s="48"/>
      <c r="S95" s="44" t="str">
        <f>IF(I95&lt;&gt;"",_xlfn.XLOOKUP(D$4+I95,A$26:A$145,$C$26:$C$145,0) * 1000,"")</f>
        <v/>
      </c>
      <c r="T95" s="52">
        <f t="shared" si="60"/>
        <v>0</v>
      </c>
      <c r="U95" s="53" t="str">
        <f t="shared" si="45"/>
        <v/>
      </c>
      <c r="V95" s="53" t="str">
        <f t="shared" si="46"/>
        <v/>
      </c>
      <c r="W95" s="53" t="str">
        <f t="shared" si="47"/>
        <v/>
      </c>
      <c r="X95" s="46" t="str">
        <f t="shared" si="35"/>
        <v/>
      </c>
      <c r="Y95" s="48"/>
      <c r="Z95" s="41" t="str">
        <f t="shared" si="48"/>
        <v/>
      </c>
      <c r="AA95" s="41" t="str">
        <f t="shared" si="49"/>
        <v/>
      </c>
      <c r="AB95" s="41" t="str">
        <f t="shared" si="36"/>
        <v/>
      </c>
      <c r="AC95" s="41" t="str">
        <f t="shared" si="37"/>
        <v/>
      </c>
      <c r="AD95" s="48"/>
      <c r="AE95" s="41" t="str">
        <f t="shared" si="38"/>
        <v/>
      </c>
      <c r="AF95" s="41"/>
      <c r="AG95" s="41" t="str">
        <f t="shared" si="39"/>
        <v/>
      </c>
      <c r="AH95" s="41" t="str">
        <f t="shared" si="50"/>
        <v/>
      </c>
      <c r="AI95" s="41" t="str">
        <f t="shared" si="51"/>
        <v/>
      </c>
      <c r="AJ95" s="41">
        <f t="shared" si="40"/>
        <v>0</v>
      </c>
      <c r="AK95" s="41" t="str">
        <f t="shared" si="41"/>
        <v/>
      </c>
      <c r="AL95" s="41">
        <f t="shared" si="52"/>
        <v>0</v>
      </c>
      <c r="AM95" s="41">
        <f t="shared" si="42"/>
        <v>0</v>
      </c>
      <c r="AN95" s="41" t="str">
        <f t="shared" si="43"/>
        <v/>
      </c>
      <c r="AO95" s="41">
        <f t="shared" si="59"/>
        <v>0</v>
      </c>
      <c r="AP95" s="48"/>
      <c r="AQ95" s="48"/>
      <c r="AR95" s="48"/>
      <c r="AS95" s="48"/>
      <c r="AT95" s="51">
        <f t="shared" si="53"/>
        <v>91</v>
      </c>
      <c r="AU95" s="49" t="str">
        <f t="shared" si="54"/>
        <v/>
      </c>
      <c r="AV95" s="49" t="str">
        <f t="shared" si="55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4.9475628606803899E-2</v>
      </c>
      <c r="C96">
        <f t="shared" si="61"/>
        <v>4.6507090890395661E-2</v>
      </c>
      <c r="D96" s="60"/>
      <c r="E96" s="5"/>
      <c r="F96" s="5"/>
      <c r="I96" s="40"/>
      <c r="J96" s="41"/>
      <c r="K96" s="41" t="str">
        <f t="shared" si="56"/>
        <v/>
      </c>
      <c r="L96" s="42" t="str">
        <f t="shared" si="57"/>
        <v/>
      </c>
      <c r="M96" s="41" t="str">
        <f t="shared" si="58"/>
        <v/>
      </c>
      <c r="N96" s="43">
        <f t="shared" si="31"/>
        <v>0</v>
      </c>
      <c r="O96" s="44">
        <f t="shared" si="32"/>
        <v>0</v>
      </c>
      <c r="P96" s="41" t="str">
        <f t="shared" si="33"/>
        <v/>
      </c>
      <c r="Q96" s="41" t="str">
        <f t="shared" si="34"/>
        <v/>
      </c>
      <c r="R96" s="48"/>
      <c r="S96" s="44" t="str">
        <f>IF(I96&lt;&gt;"",_xlfn.XLOOKUP(D$4+I96,A$26:A$145,$C$26:$C$145,0) * 1000,"")</f>
        <v/>
      </c>
      <c r="T96" s="52">
        <f t="shared" si="60"/>
        <v>0</v>
      </c>
      <c r="U96" s="53" t="str">
        <f t="shared" si="45"/>
        <v/>
      </c>
      <c r="V96" s="53" t="str">
        <f t="shared" si="46"/>
        <v/>
      </c>
      <c r="W96" s="53" t="str">
        <f t="shared" si="47"/>
        <v/>
      </c>
      <c r="X96" s="46" t="str">
        <f t="shared" si="35"/>
        <v/>
      </c>
      <c r="Y96" s="48"/>
      <c r="Z96" s="41" t="str">
        <f t="shared" si="48"/>
        <v/>
      </c>
      <c r="AA96" s="41" t="str">
        <f t="shared" si="49"/>
        <v/>
      </c>
      <c r="AB96" s="41" t="str">
        <f t="shared" si="36"/>
        <v/>
      </c>
      <c r="AC96" s="41" t="str">
        <f t="shared" si="37"/>
        <v/>
      </c>
      <c r="AD96" s="48"/>
      <c r="AE96" s="41" t="str">
        <f t="shared" si="38"/>
        <v/>
      </c>
      <c r="AF96" s="41"/>
      <c r="AG96" s="41" t="str">
        <f t="shared" si="39"/>
        <v/>
      </c>
      <c r="AH96" s="41" t="str">
        <f t="shared" si="50"/>
        <v/>
      </c>
      <c r="AI96" s="41" t="str">
        <f t="shared" si="51"/>
        <v/>
      </c>
      <c r="AJ96" s="41">
        <f>SUM(AE96:AI96)</f>
        <v>0</v>
      </c>
      <c r="AK96" s="41" t="str">
        <f t="shared" si="41"/>
        <v/>
      </c>
      <c r="AL96" s="41">
        <f t="shared" si="52"/>
        <v>0</v>
      </c>
      <c r="AM96" s="41">
        <f t="shared" si="42"/>
        <v>0</v>
      </c>
      <c r="AN96" s="41" t="str">
        <f t="shared" si="43"/>
        <v/>
      </c>
      <c r="AO96" s="41">
        <f t="shared" si="59"/>
        <v>0</v>
      </c>
      <c r="AP96" s="48"/>
      <c r="AQ96" s="48"/>
      <c r="AR96" s="48"/>
      <c r="AS96" s="48"/>
      <c r="AT96" s="51">
        <f t="shared" si="53"/>
        <v>92</v>
      </c>
      <c r="AU96" s="49" t="str">
        <f t="shared" si="54"/>
        <v/>
      </c>
      <c r="AV96" s="49" t="str">
        <f t="shared" si="55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5.4689177058262602E-2</v>
      </c>
      <c r="C97">
        <f t="shared" si="61"/>
        <v>5.1407826434766844E-2</v>
      </c>
      <c r="D97" s="60"/>
      <c r="E97" s="5"/>
      <c r="F97" s="5"/>
      <c r="I97" s="40"/>
      <c r="J97" s="41"/>
      <c r="K97" s="41" t="str">
        <f t="shared" si="56"/>
        <v/>
      </c>
      <c r="L97" s="42" t="str">
        <f t="shared" si="57"/>
        <v/>
      </c>
      <c r="M97" s="41" t="str">
        <f t="shared" si="58"/>
        <v/>
      </c>
      <c r="N97" s="43">
        <f t="shared" si="31"/>
        <v>0</v>
      </c>
      <c r="O97" s="44">
        <f t="shared" si="32"/>
        <v>0</v>
      </c>
      <c r="P97" s="41" t="str">
        <f t="shared" si="33"/>
        <v/>
      </c>
      <c r="Q97" s="41" t="str">
        <f t="shared" si="34"/>
        <v/>
      </c>
      <c r="R97" s="48"/>
      <c r="S97" s="44" t="str">
        <f>IF(I97&lt;&gt;"",_xlfn.XLOOKUP(D$4+I97,A$26:A$145,$C$26:$C$145,0) * 1000,"")</f>
        <v/>
      </c>
      <c r="T97" s="52">
        <f t="shared" si="60"/>
        <v>0</v>
      </c>
      <c r="U97" s="53" t="str">
        <f t="shared" si="45"/>
        <v/>
      </c>
      <c r="V97" s="53" t="str">
        <f t="shared" si="46"/>
        <v/>
      </c>
      <c r="W97" s="53" t="str">
        <f t="shared" si="47"/>
        <v/>
      </c>
      <c r="X97" s="46" t="str">
        <f t="shared" si="35"/>
        <v/>
      </c>
      <c r="Y97" s="48"/>
      <c r="Z97" s="41" t="str">
        <f t="shared" si="48"/>
        <v/>
      </c>
      <c r="AA97" s="41" t="str">
        <f t="shared" si="49"/>
        <v/>
      </c>
      <c r="AB97" s="41" t="str">
        <f t="shared" si="36"/>
        <v/>
      </c>
      <c r="AC97" s="41" t="str">
        <f t="shared" si="37"/>
        <v/>
      </c>
      <c r="AD97" s="48"/>
      <c r="AE97" s="41" t="str">
        <f t="shared" si="38"/>
        <v/>
      </c>
      <c r="AF97" s="41"/>
      <c r="AG97" s="41" t="str">
        <f t="shared" si="39"/>
        <v/>
      </c>
      <c r="AH97" s="41" t="str">
        <f t="shared" si="50"/>
        <v/>
      </c>
      <c r="AI97" s="41" t="str">
        <f t="shared" si="51"/>
        <v/>
      </c>
      <c r="AJ97" s="41">
        <f t="shared" si="40"/>
        <v>0</v>
      </c>
      <c r="AK97" s="41" t="str">
        <f t="shared" si="41"/>
        <v/>
      </c>
      <c r="AL97" s="41">
        <f t="shared" si="52"/>
        <v>0</v>
      </c>
      <c r="AM97" s="41">
        <f t="shared" si="42"/>
        <v>0</v>
      </c>
      <c r="AN97" s="41" t="str">
        <f t="shared" si="43"/>
        <v/>
      </c>
      <c r="AO97" s="41">
        <f t="shared" si="59"/>
        <v>0</v>
      </c>
      <c r="AP97" s="48"/>
      <c r="AQ97" s="48"/>
      <c r="AR97" s="48"/>
      <c r="AS97" s="48"/>
      <c r="AT97" s="51">
        <f t="shared" si="53"/>
        <v>93</v>
      </c>
      <c r="AU97" s="49" t="str">
        <f t="shared" si="54"/>
        <v/>
      </c>
      <c r="AV97" s="49" t="str">
        <f t="shared" si="55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6.0682237615848497E-2</v>
      </c>
      <c r="C98">
        <f t="shared" si="61"/>
        <v>5.7041303358897587E-2</v>
      </c>
      <c r="D98" s="60"/>
      <c r="E98" s="5"/>
      <c r="F98" s="5"/>
      <c r="I98" s="40"/>
      <c r="J98" s="41"/>
      <c r="K98" s="41" t="str">
        <f t="shared" si="56"/>
        <v/>
      </c>
      <c r="L98" s="42" t="str">
        <f t="shared" si="57"/>
        <v/>
      </c>
      <c r="M98" s="41" t="str">
        <f t="shared" si="58"/>
        <v/>
      </c>
      <c r="N98" s="43">
        <f t="shared" si="31"/>
        <v>0</v>
      </c>
      <c r="O98" s="44">
        <f t="shared" si="32"/>
        <v>0</v>
      </c>
      <c r="P98" s="41" t="str">
        <f t="shared" si="33"/>
        <v/>
      </c>
      <c r="Q98" s="41" t="str">
        <f t="shared" si="34"/>
        <v/>
      </c>
      <c r="R98" s="48"/>
      <c r="S98" s="44" t="str">
        <f>IF(I98&lt;&gt;"",_xlfn.XLOOKUP(D$4+I98,A$26:A$145,$C$26:$C$145,0) * 1000,"")</f>
        <v/>
      </c>
      <c r="T98" s="52">
        <f t="shared" si="60"/>
        <v>0</v>
      </c>
      <c r="U98" s="53" t="str">
        <f t="shared" si="45"/>
        <v/>
      </c>
      <c r="V98" s="53" t="str">
        <f t="shared" si="46"/>
        <v/>
      </c>
      <c r="W98" s="53" t="str">
        <f t="shared" si="47"/>
        <v/>
      </c>
      <c r="X98" s="46" t="str">
        <f t="shared" si="35"/>
        <v/>
      </c>
      <c r="Y98" s="48"/>
      <c r="Z98" s="41" t="str">
        <f t="shared" si="48"/>
        <v/>
      </c>
      <c r="AA98" s="41" t="str">
        <f t="shared" si="49"/>
        <v/>
      </c>
      <c r="AB98" s="41" t="str">
        <f t="shared" si="36"/>
        <v/>
      </c>
      <c r="AC98" s="41" t="str">
        <f t="shared" si="37"/>
        <v/>
      </c>
      <c r="AD98" s="48"/>
      <c r="AE98" s="41" t="str">
        <f t="shared" si="38"/>
        <v/>
      </c>
      <c r="AF98" s="41"/>
      <c r="AG98" s="41" t="str">
        <f t="shared" si="39"/>
        <v/>
      </c>
      <c r="AH98" s="41" t="str">
        <f t="shared" si="50"/>
        <v/>
      </c>
      <c r="AI98" s="41" t="str">
        <f t="shared" si="51"/>
        <v/>
      </c>
      <c r="AJ98" s="41">
        <f t="shared" si="40"/>
        <v>0</v>
      </c>
      <c r="AK98" s="41" t="str">
        <f t="shared" si="41"/>
        <v/>
      </c>
      <c r="AL98" s="41">
        <f t="shared" si="52"/>
        <v>0</v>
      </c>
      <c r="AM98" s="41">
        <f t="shared" si="42"/>
        <v>0</v>
      </c>
      <c r="AN98" s="41" t="str">
        <f t="shared" si="43"/>
        <v/>
      </c>
      <c r="AO98" s="41">
        <f t="shared" si="59"/>
        <v>0</v>
      </c>
      <c r="AP98" s="48"/>
      <c r="AQ98" s="48"/>
      <c r="AR98" s="48"/>
      <c r="AS98" s="48"/>
      <c r="AT98" s="51">
        <f t="shared" si="53"/>
        <v>94</v>
      </c>
      <c r="AU98" s="49" t="str">
        <f t="shared" si="54"/>
        <v/>
      </c>
      <c r="AV98" s="49" t="str">
        <f t="shared" si="55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6.7790325954448699E-2</v>
      </c>
      <c r="C99">
        <f t="shared" si="61"/>
        <v>6.3722906397181769E-2</v>
      </c>
      <c r="D99" s="60"/>
      <c r="E99" s="5"/>
      <c r="F99" s="5"/>
      <c r="I99" s="40"/>
      <c r="J99" s="41"/>
      <c r="K99" s="41" t="str">
        <f t="shared" si="56"/>
        <v/>
      </c>
      <c r="L99" s="42" t="str">
        <f t="shared" si="57"/>
        <v/>
      </c>
      <c r="M99" s="41" t="str">
        <f t="shared" si="58"/>
        <v/>
      </c>
      <c r="N99" s="43">
        <f t="shared" si="31"/>
        <v>0</v>
      </c>
      <c r="O99" s="44">
        <f t="shared" si="32"/>
        <v>0</v>
      </c>
      <c r="P99" s="41" t="str">
        <f t="shared" si="33"/>
        <v/>
      </c>
      <c r="Q99" s="41" t="str">
        <f t="shared" si="34"/>
        <v/>
      </c>
      <c r="R99" s="48"/>
      <c r="S99" s="44" t="str">
        <f>IF(I99&lt;&gt;"",_xlfn.XLOOKUP(D$4+I99,A$26:A$145,$C$26:$C$145,0) * 1000,"")</f>
        <v/>
      </c>
      <c r="T99" s="52">
        <f t="shared" si="60"/>
        <v>0</v>
      </c>
      <c r="U99" s="53" t="str">
        <f t="shared" si="45"/>
        <v/>
      </c>
      <c r="V99" s="53" t="str">
        <f t="shared" si="46"/>
        <v/>
      </c>
      <c r="W99" s="53" t="str">
        <f t="shared" si="47"/>
        <v/>
      </c>
      <c r="X99" s="46" t="str">
        <f t="shared" si="35"/>
        <v/>
      </c>
      <c r="Y99" s="48"/>
      <c r="Z99" s="41" t="str">
        <f t="shared" si="48"/>
        <v/>
      </c>
      <c r="AA99" s="41" t="str">
        <f t="shared" si="49"/>
        <v/>
      </c>
      <c r="AB99" s="41" t="str">
        <f t="shared" si="36"/>
        <v/>
      </c>
      <c r="AC99" s="41" t="str">
        <f t="shared" si="37"/>
        <v/>
      </c>
      <c r="AD99" s="48"/>
      <c r="AE99" s="41" t="str">
        <f t="shared" si="38"/>
        <v/>
      </c>
      <c r="AF99" s="41"/>
      <c r="AG99" s="41" t="str">
        <f t="shared" si="39"/>
        <v/>
      </c>
      <c r="AH99" s="41" t="str">
        <f t="shared" si="50"/>
        <v/>
      </c>
      <c r="AI99" s="41" t="str">
        <f t="shared" si="51"/>
        <v/>
      </c>
      <c r="AJ99" s="41">
        <f t="shared" si="40"/>
        <v>0</v>
      </c>
      <c r="AK99" s="41" t="str">
        <f t="shared" si="41"/>
        <v/>
      </c>
      <c r="AL99" s="41">
        <f t="shared" si="52"/>
        <v>0</v>
      </c>
      <c r="AM99" s="41">
        <f t="shared" si="42"/>
        <v>0</v>
      </c>
      <c r="AN99" s="41" t="str">
        <f t="shared" si="43"/>
        <v/>
      </c>
      <c r="AO99" s="41">
        <f t="shared" si="59"/>
        <v>0</v>
      </c>
      <c r="AP99" s="48"/>
      <c r="AQ99" s="48"/>
      <c r="AR99" s="48"/>
      <c r="AS99" s="48"/>
      <c r="AT99" s="51">
        <f t="shared" si="53"/>
        <v>95</v>
      </c>
      <c r="AU99" s="49" t="str">
        <f t="shared" si="54"/>
        <v/>
      </c>
      <c r="AV99" s="49" t="str">
        <f t="shared" si="55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7.5947777910954001E-2</v>
      </c>
      <c r="C100">
        <f t="shared" si="61"/>
        <v>7.1390911236296761E-2</v>
      </c>
      <c r="D100" s="60"/>
      <c r="E100" s="5"/>
      <c r="F100" s="5"/>
      <c r="I100" s="40"/>
      <c r="J100" s="41"/>
      <c r="K100" s="41" t="str">
        <f t="shared" si="56"/>
        <v/>
      </c>
      <c r="L100" s="42" t="str">
        <f t="shared" si="57"/>
        <v/>
      </c>
      <c r="M100" s="41" t="str">
        <f t="shared" si="58"/>
        <v/>
      </c>
      <c r="N100" s="43">
        <f t="shared" si="31"/>
        <v>0</v>
      </c>
      <c r="O100" s="44">
        <f t="shared" si="32"/>
        <v>0</v>
      </c>
      <c r="P100" s="41" t="str">
        <f t="shared" si="33"/>
        <v/>
      </c>
      <c r="Q100" s="41" t="str">
        <f t="shared" si="34"/>
        <v/>
      </c>
      <c r="R100" s="48"/>
      <c r="S100" s="44" t="str">
        <f>IF(I100&lt;&gt;"",_xlfn.XLOOKUP(D$4+I100,A$26:A$145,$C$26:$C$145,0) * 1000,"")</f>
        <v/>
      </c>
      <c r="T100" s="52">
        <f t="shared" si="60"/>
        <v>0</v>
      </c>
      <c r="U100" s="53" t="str">
        <f t="shared" si="45"/>
        <v/>
      </c>
      <c r="V100" s="53" t="str">
        <f t="shared" si="46"/>
        <v/>
      </c>
      <c r="W100" s="53" t="str">
        <f t="shared" si="47"/>
        <v/>
      </c>
      <c r="X100" s="46" t="str">
        <f t="shared" si="35"/>
        <v/>
      </c>
      <c r="Y100" s="48"/>
      <c r="Z100" s="41" t="str">
        <f t="shared" si="48"/>
        <v/>
      </c>
      <c r="AA100" s="41" t="str">
        <f t="shared" si="49"/>
        <v/>
      </c>
      <c r="AB100" s="41" t="str">
        <f t="shared" si="36"/>
        <v/>
      </c>
      <c r="AC100" s="41" t="str">
        <f t="shared" si="37"/>
        <v/>
      </c>
      <c r="AD100" s="48"/>
      <c r="AE100" s="41" t="str">
        <f t="shared" si="38"/>
        <v/>
      </c>
      <c r="AF100" s="41"/>
      <c r="AG100" s="41" t="str">
        <f t="shared" si="39"/>
        <v/>
      </c>
      <c r="AH100" s="41" t="str">
        <f t="shared" si="50"/>
        <v/>
      </c>
      <c r="AI100" s="41" t="str">
        <f t="shared" si="51"/>
        <v/>
      </c>
      <c r="AJ100" s="41">
        <f t="shared" si="40"/>
        <v>0</v>
      </c>
      <c r="AK100" s="41" t="str">
        <f t="shared" si="41"/>
        <v/>
      </c>
      <c r="AL100" s="41">
        <f t="shared" si="52"/>
        <v>0</v>
      </c>
      <c r="AM100" s="41">
        <f t="shared" si="42"/>
        <v>0</v>
      </c>
      <c r="AN100" s="41" t="str">
        <f t="shared" si="43"/>
        <v/>
      </c>
      <c r="AO100" s="41">
        <f t="shared" si="59"/>
        <v>0</v>
      </c>
      <c r="AP100" s="48"/>
      <c r="AQ100" s="48"/>
      <c r="AR100" s="48"/>
      <c r="AS100" s="48"/>
      <c r="AT100" s="51">
        <f t="shared" si="53"/>
        <v>96</v>
      </c>
      <c r="AU100" s="49" t="str">
        <f t="shared" si="54"/>
        <v/>
      </c>
      <c r="AV100" s="49" t="str">
        <f t="shared" si="55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9.73367165348928E-2</v>
      </c>
      <c r="C101">
        <f t="shared" si="61"/>
        <v>9.1496513542799224E-2</v>
      </c>
      <c r="D101" s="60"/>
      <c r="E101" s="5"/>
      <c r="F101" s="5"/>
      <c r="I101" s="40"/>
      <c r="J101" s="41"/>
      <c r="K101" s="41" t="str">
        <f t="shared" si="56"/>
        <v/>
      </c>
      <c r="L101" s="42" t="str">
        <f t="shared" si="57"/>
        <v/>
      </c>
      <c r="M101" s="41" t="str">
        <f t="shared" si="58"/>
        <v/>
      </c>
      <c r="N101" s="43">
        <f t="shared" si="31"/>
        <v>0</v>
      </c>
      <c r="O101" s="44">
        <f t="shared" si="32"/>
        <v>0</v>
      </c>
      <c r="P101" s="41" t="str">
        <f t="shared" si="33"/>
        <v/>
      </c>
      <c r="Q101" s="41" t="str">
        <f t="shared" si="34"/>
        <v/>
      </c>
      <c r="R101" s="48"/>
      <c r="S101" s="44" t="str">
        <f>IF(I101&lt;&gt;"",_xlfn.XLOOKUP(D$4+I101,A$26:A$145,$C$26:$C$145,0) * 1000,"")</f>
        <v/>
      </c>
      <c r="T101" s="52">
        <f t="shared" si="60"/>
        <v>0</v>
      </c>
      <c r="U101" s="53" t="str">
        <f t="shared" si="45"/>
        <v/>
      </c>
      <c r="V101" s="53" t="str">
        <f t="shared" si="46"/>
        <v/>
      </c>
      <c r="W101" s="53" t="str">
        <f t="shared" si="47"/>
        <v/>
      </c>
      <c r="X101" s="46" t="str">
        <f t="shared" si="35"/>
        <v/>
      </c>
      <c r="Y101" s="48"/>
      <c r="Z101" s="41" t="str">
        <f t="shared" si="48"/>
        <v/>
      </c>
      <c r="AA101" s="41" t="str">
        <f t="shared" si="49"/>
        <v/>
      </c>
      <c r="AB101" s="41" t="str">
        <f t="shared" si="36"/>
        <v/>
      </c>
      <c r="AC101" s="41" t="str">
        <f t="shared" si="37"/>
        <v/>
      </c>
      <c r="AD101" s="48"/>
      <c r="AE101" s="41" t="str">
        <f t="shared" si="38"/>
        <v/>
      </c>
      <c r="AF101" s="41"/>
      <c r="AG101" s="41" t="str">
        <f t="shared" si="39"/>
        <v/>
      </c>
      <c r="AH101" s="41" t="str">
        <f t="shared" si="50"/>
        <v/>
      </c>
      <c r="AI101" s="41" t="str">
        <f t="shared" si="51"/>
        <v/>
      </c>
      <c r="AJ101" s="41">
        <f t="shared" si="40"/>
        <v>0</v>
      </c>
      <c r="AK101" s="41" t="str">
        <f t="shared" si="41"/>
        <v/>
      </c>
      <c r="AL101" s="41">
        <f t="shared" si="52"/>
        <v>0</v>
      </c>
      <c r="AM101" s="41">
        <f t="shared" si="42"/>
        <v>0</v>
      </c>
      <c r="AN101" s="41" t="str">
        <f t="shared" si="43"/>
        <v/>
      </c>
      <c r="AO101" s="41">
        <f t="shared" si="59"/>
        <v>0</v>
      </c>
      <c r="AP101" s="48"/>
      <c r="AQ101" s="48"/>
      <c r="AR101" s="48"/>
      <c r="AS101" s="48"/>
      <c r="AT101" s="51">
        <f t="shared" si="53"/>
        <v>97</v>
      </c>
      <c r="AU101" s="49" t="str">
        <f t="shared" si="54"/>
        <v/>
      </c>
      <c r="AV101" s="49" t="str">
        <f t="shared" si="55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0.10945108185492</v>
      </c>
      <c r="C102">
        <f t="shared" si="61"/>
        <v>0.1028840169436248</v>
      </c>
      <c r="D102" s="60"/>
      <c r="E102" s="5"/>
      <c r="F102" s="5"/>
      <c r="I102" s="40"/>
      <c r="J102" s="41"/>
      <c r="K102" s="41" t="str">
        <f t="shared" si="56"/>
        <v/>
      </c>
      <c r="L102" s="42" t="str">
        <f t="shared" si="57"/>
        <v/>
      </c>
      <c r="M102" s="41" t="str">
        <f t="shared" si="58"/>
        <v/>
      </c>
      <c r="N102" s="43">
        <f t="shared" si="31"/>
        <v>0</v>
      </c>
      <c r="O102" s="44">
        <f t="shared" si="32"/>
        <v>0</v>
      </c>
      <c r="P102" s="41" t="str">
        <f t="shared" si="33"/>
        <v/>
      </c>
      <c r="Q102" s="41" t="str">
        <f t="shared" si="34"/>
        <v/>
      </c>
      <c r="R102" s="48"/>
      <c r="S102" s="44" t="str">
        <f>IF(I102&lt;&gt;"",_xlfn.XLOOKUP(D$4+I102,A$26:A$145,$C$26:$C$145,0) * 1000,"")</f>
        <v/>
      </c>
      <c r="T102" s="52">
        <f t="shared" si="60"/>
        <v>0</v>
      </c>
      <c r="U102" s="53" t="str">
        <f t="shared" si="45"/>
        <v/>
      </c>
      <c r="V102" s="53" t="str">
        <f t="shared" si="46"/>
        <v/>
      </c>
      <c r="W102" s="53" t="str">
        <f t="shared" si="47"/>
        <v/>
      </c>
      <c r="X102" s="46" t="str">
        <f t="shared" si="35"/>
        <v/>
      </c>
      <c r="Y102" s="48"/>
      <c r="Z102" s="41" t="str">
        <f t="shared" si="48"/>
        <v/>
      </c>
      <c r="AA102" s="41" t="str">
        <f t="shared" si="49"/>
        <v/>
      </c>
      <c r="AB102" s="41" t="str">
        <f t="shared" si="36"/>
        <v/>
      </c>
      <c r="AC102" s="41" t="str">
        <f t="shared" si="37"/>
        <v/>
      </c>
      <c r="AD102" s="48"/>
      <c r="AE102" s="41" t="str">
        <f t="shared" si="38"/>
        <v/>
      </c>
      <c r="AF102" s="41"/>
      <c r="AG102" s="41" t="str">
        <f t="shared" si="39"/>
        <v/>
      </c>
      <c r="AH102" s="41" t="str">
        <f t="shared" si="50"/>
        <v/>
      </c>
      <c r="AI102" s="41" t="str">
        <f t="shared" si="51"/>
        <v/>
      </c>
      <c r="AJ102" s="41">
        <f t="shared" si="40"/>
        <v>0</v>
      </c>
      <c r="AK102" s="41" t="str">
        <f t="shared" si="41"/>
        <v/>
      </c>
      <c r="AL102" s="41">
        <f t="shared" si="52"/>
        <v>0</v>
      </c>
      <c r="AM102" s="41">
        <f t="shared" si="42"/>
        <v>0</v>
      </c>
      <c r="AN102" s="41" t="str">
        <f t="shared" si="43"/>
        <v/>
      </c>
      <c r="AO102" s="41">
        <f t="shared" si="59"/>
        <v>0</v>
      </c>
      <c r="AP102" s="48"/>
      <c r="AQ102" s="48"/>
      <c r="AR102" s="48"/>
      <c r="AS102" s="48"/>
      <c r="AT102" s="51">
        <f t="shared" si="53"/>
        <v>98</v>
      </c>
      <c r="AU102" s="49" t="str">
        <f t="shared" si="54"/>
        <v/>
      </c>
      <c r="AV102" s="49" t="str">
        <f t="shared" si="55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0.12287252770711</v>
      </c>
      <c r="C103">
        <f t="shared" si="61"/>
        <v>0.11550017604468339</v>
      </c>
      <c r="D103" s="60"/>
      <c r="E103" s="5"/>
      <c r="F103" s="5"/>
      <c r="I103" s="40"/>
      <c r="J103" s="41"/>
      <c r="K103" s="41" t="str">
        <f t="shared" si="56"/>
        <v/>
      </c>
      <c r="L103" s="42" t="str">
        <f t="shared" si="57"/>
        <v/>
      </c>
      <c r="M103" s="41" t="str">
        <f t="shared" si="58"/>
        <v/>
      </c>
      <c r="N103" s="43">
        <f t="shared" si="31"/>
        <v>0</v>
      </c>
      <c r="O103" s="44">
        <f t="shared" si="32"/>
        <v>0</v>
      </c>
      <c r="P103" s="41" t="str">
        <f t="shared" si="33"/>
        <v/>
      </c>
      <c r="Q103" s="41" t="str">
        <f t="shared" si="34"/>
        <v/>
      </c>
      <c r="R103" s="48"/>
      <c r="S103" s="44" t="str">
        <f>IF(I103&lt;&gt;"",_xlfn.XLOOKUP(D$4+I103,A$26:A$145,$C$26:$C$145,0) * 1000,"")</f>
        <v/>
      </c>
      <c r="T103" s="52">
        <f t="shared" si="60"/>
        <v>0</v>
      </c>
      <c r="U103" s="53" t="str">
        <f t="shared" si="45"/>
        <v/>
      </c>
      <c r="V103" s="53" t="str">
        <f t="shared" si="46"/>
        <v/>
      </c>
      <c r="W103" s="53" t="str">
        <f t="shared" si="47"/>
        <v/>
      </c>
      <c r="X103" s="46" t="str">
        <f t="shared" si="35"/>
        <v/>
      </c>
      <c r="Y103" s="48"/>
      <c r="Z103" s="41" t="str">
        <f t="shared" si="48"/>
        <v/>
      </c>
      <c r="AA103" s="41" t="str">
        <f t="shared" si="49"/>
        <v/>
      </c>
      <c r="AB103" s="41" t="str">
        <f t="shared" si="36"/>
        <v/>
      </c>
      <c r="AC103" s="41" t="str">
        <f t="shared" si="37"/>
        <v/>
      </c>
      <c r="AD103" s="48"/>
      <c r="AE103" s="41" t="str">
        <f t="shared" si="38"/>
        <v/>
      </c>
      <c r="AF103" s="41"/>
      <c r="AG103" s="41" t="str">
        <f t="shared" si="39"/>
        <v/>
      </c>
      <c r="AH103" s="41" t="str">
        <f t="shared" si="50"/>
        <v/>
      </c>
      <c r="AI103" s="41" t="str">
        <f t="shared" si="51"/>
        <v/>
      </c>
      <c r="AJ103" s="41">
        <f t="shared" si="40"/>
        <v>0</v>
      </c>
      <c r="AK103" s="41" t="str">
        <f t="shared" si="41"/>
        <v/>
      </c>
      <c r="AL103" s="41">
        <f t="shared" si="52"/>
        <v>0</v>
      </c>
      <c r="AM103" s="41">
        <f t="shared" si="42"/>
        <v>0</v>
      </c>
      <c r="AN103" s="41" t="str">
        <f t="shared" si="43"/>
        <v/>
      </c>
      <c r="AO103" s="41">
        <f t="shared" si="59"/>
        <v>0</v>
      </c>
      <c r="AP103" s="48"/>
      <c r="AQ103" s="48"/>
      <c r="AR103" s="48"/>
      <c r="AS103" s="48"/>
      <c r="AT103" s="51">
        <f t="shared" si="53"/>
        <v>99</v>
      </c>
      <c r="AU103" s="49" t="str">
        <f t="shared" si="54"/>
        <v/>
      </c>
      <c r="AV103" s="49" t="str">
        <f t="shared" si="55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0.13765430509033599</v>
      </c>
      <c r="C104">
        <f t="shared" si="61"/>
        <v>0.12939504678491581</v>
      </c>
      <c r="D104" s="60"/>
      <c r="E104" s="5"/>
      <c r="F104" s="5"/>
      <c r="I104" s="40"/>
      <c r="J104" s="41"/>
      <c r="K104" s="41" t="str">
        <f t="shared" si="56"/>
        <v/>
      </c>
      <c r="L104" s="42" t="str">
        <f t="shared" si="57"/>
        <v/>
      </c>
      <c r="M104" s="41" t="str">
        <f t="shared" si="58"/>
        <v/>
      </c>
      <c r="N104" s="43">
        <f t="shared" si="31"/>
        <v>0</v>
      </c>
      <c r="O104" s="44">
        <f t="shared" si="32"/>
        <v>0</v>
      </c>
      <c r="P104" s="41" t="str">
        <f t="shared" si="33"/>
        <v/>
      </c>
      <c r="Q104" s="41" t="str">
        <f t="shared" si="34"/>
        <v/>
      </c>
      <c r="R104" s="48"/>
      <c r="S104" s="44" t="str">
        <f>IF(I104&lt;&gt;"",_xlfn.XLOOKUP(D$4+I104,A$26:A$145,$C$26:$C$145,0) * 1000,"")</f>
        <v/>
      </c>
      <c r="T104" s="52">
        <f t="shared" si="60"/>
        <v>0</v>
      </c>
      <c r="U104" s="53" t="str">
        <f t="shared" si="45"/>
        <v/>
      </c>
      <c r="V104" s="53" t="str">
        <f t="shared" si="46"/>
        <v/>
      </c>
      <c r="W104" s="53" t="str">
        <f t="shared" si="47"/>
        <v/>
      </c>
      <c r="X104" s="46" t="str">
        <f t="shared" si="35"/>
        <v/>
      </c>
      <c r="Y104" s="48"/>
      <c r="Z104" s="41" t="str">
        <f t="shared" si="48"/>
        <v/>
      </c>
      <c r="AA104" s="41" t="str">
        <f t="shared" si="49"/>
        <v/>
      </c>
      <c r="AB104" s="41" t="str">
        <f t="shared" si="36"/>
        <v/>
      </c>
      <c r="AC104" s="41" t="str">
        <f t="shared" si="37"/>
        <v/>
      </c>
      <c r="AD104" s="48"/>
      <c r="AE104" s="41" t="str">
        <f t="shared" si="38"/>
        <v/>
      </c>
      <c r="AF104" s="41"/>
      <c r="AG104" s="41" t="str">
        <f t="shared" si="39"/>
        <v/>
      </c>
      <c r="AH104" s="41" t="str">
        <f t="shared" si="50"/>
        <v/>
      </c>
      <c r="AI104" s="41" t="str">
        <f t="shared" si="51"/>
        <v/>
      </c>
      <c r="AJ104" s="41">
        <f t="shared" si="40"/>
        <v>0</v>
      </c>
      <c r="AK104" s="41" t="str">
        <f t="shared" si="41"/>
        <v/>
      </c>
      <c r="AL104" s="41">
        <f t="shared" si="52"/>
        <v>0</v>
      </c>
      <c r="AM104" s="41">
        <f t="shared" si="42"/>
        <v>0</v>
      </c>
      <c r="AN104" s="41" t="str">
        <f t="shared" si="43"/>
        <v/>
      </c>
      <c r="AO104" s="41">
        <f t="shared" si="59"/>
        <v>0</v>
      </c>
      <c r="AP104" s="48"/>
      <c r="AQ104" s="48"/>
      <c r="AR104" s="48"/>
      <c r="AS104" s="48"/>
      <c r="AT104" s="51">
        <f t="shared" si="53"/>
        <v>100</v>
      </c>
      <c r="AU104" s="49" t="str">
        <f t="shared" si="54"/>
        <v/>
      </c>
      <c r="AV104" s="49" t="str">
        <f t="shared" si="55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0.15360437106000299</v>
      </c>
      <c r="C105">
        <f t="shared" si="61"/>
        <v>0.14438810879640279</v>
      </c>
      <c r="D105" s="60"/>
      <c r="E105" s="5"/>
      <c r="F105" s="5"/>
      <c r="I105" s="40"/>
      <c r="J105" s="41"/>
      <c r="K105" s="41" t="str">
        <f t="shared" si="56"/>
        <v/>
      </c>
      <c r="L105" s="42" t="str">
        <f t="shared" si="57"/>
        <v/>
      </c>
      <c r="M105" s="41" t="str">
        <f t="shared" si="58"/>
        <v/>
      </c>
      <c r="N105" s="43">
        <f t="shared" si="31"/>
        <v>0</v>
      </c>
      <c r="O105" s="44">
        <f t="shared" si="32"/>
        <v>0</v>
      </c>
      <c r="P105" s="41" t="str">
        <f t="shared" si="33"/>
        <v/>
      </c>
      <c r="Q105" s="41" t="str">
        <f t="shared" si="34"/>
        <v/>
      </c>
      <c r="R105" s="48"/>
      <c r="S105" s="44" t="str">
        <f>IF(I105&lt;&gt;"",_xlfn.XLOOKUP(D$4+I105,A$26:A$145,$C$26:$C$145,0) * 1000,"")</f>
        <v/>
      </c>
      <c r="T105" s="52">
        <f t="shared" si="60"/>
        <v>0</v>
      </c>
      <c r="U105" s="53" t="str">
        <f t="shared" si="45"/>
        <v/>
      </c>
      <c r="V105" s="53" t="str">
        <f t="shared" si="46"/>
        <v/>
      </c>
      <c r="W105" s="53" t="str">
        <f t="shared" si="47"/>
        <v/>
      </c>
      <c r="X105" s="46" t="str">
        <f t="shared" si="35"/>
        <v/>
      </c>
      <c r="Y105" s="48"/>
      <c r="Z105" s="41" t="str">
        <f t="shared" si="48"/>
        <v/>
      </c>
      <c r="AA105" s="41" t="str">
        <f t="shared" si="49"/>
        <v/>
      </c>
      <c r="AB105" s="41" t="str">
        <f t="shared" si="36"/>
        <v/>
      </c>
      <c r="AC105" s="41" t="str">
        <f t="shared" si="37"/>
        <v/>
      </c>
      <c r="AD105" s="48"/>
      <c r="AE105" s="41" t="str">
        <f t="shared" si="38"/>
        <v/>
      </c>
      <c r="AF105" s="41"/>
      <c r="AG105" s="41" t="str">
        <f t="shared" si="39"/>
        <v/>
      </c>
      <c r="AH105" s="41" t="str">
        <f t="shared" si="50"/>
        <v/>
      </c>
      <c r="AI105" s="41" t="str">
        <f t="shared" si="51"/>
        <v/>
      </c>
      <c r="AJ105" s="41">
        <f t="shared" si="40"/>
        <v>0</v>
      </c>
      <c r="AK105" s="41" t="str">
        <f t="shared" si="41"/>
        <v/>
      </c>
      <c r="AL105" s="41">
        <f t="shared" si="52"/>
        <v>0</v>
      </c>
      <c r="AM105" s="41">
        <f t="shared" si="42"/>
        <v>0</v>
      </c>
      <c r="AN105" s="41" t="str">
        <f t="shared" si="43"/>
        <v/>
      </c>
      <c r="AO105" s="41">
        <f t="shared" si="59"/>
        <v>0</v>
      </c>
      <c r="AP105" s="48"/>
      <c r="AQ105" s="48"/>
      <c r="AR105" s="48"/>
      <c r="AS105" s="48"/>
      <c r="AT105" s="51">
        <f t="shared" si="53"/>
        <v>101</v>
      </c>
      <c r="AU105" s="49" t="str">
        <f t="shared" si="54"/>
        <v/>
      </c>
      <c r="AV105" s="49" t="str">
        <f t="shared" si="55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0.17091684950295799</v>
      </c>
      <c r="C106">
        <f t="shared" si="61"/>
        <v>0.16066183853278052</v>
      </c>
      <c r="D106" s="60"/>
      <c r="E106" s="5"/>
      <c r="F106" s="5"/>
      <c r="I106" s="40"/>
      <c r="J106" s="41"/>
      <c r="K106" s="41" t="str">
        <f t="shared" si="56"/>
        <v/>
      </c>
      <c r="L106" s="42" t="str">
        <f t="shared" si="57"/>
        <v/>
      </c>
      <c r="M106" s="41" t="str">
        <f t="shared" si="58"/>
        <v/>
      </c>
      <c r="N106" s="43">
        <f t="shared" si="31"/>
        <v>0</v>
      </c>
      <c r="O106" s="44">
        <f t="shared" si="32"/>
        <v>0</v>
      </c>
      <c r="P106" s="41" t="str">
        <f t="shared" si="33"/>
        <v/>
      </c>
      <c r="Q106" s="41" t="str">
        <f t="shared" si="34"/>
        <v/>
      </c>
      <c r="R106" s="48"/>
      <c r="S106" s="44" t="str">
        <f>IF(I106&lt;&gt;"",_xlfn.XLOOKUP(D$4+I106,A$26:A$145,$C$26:$C$145,0) * 1000,"")</f>
        <v/>
      </c>
      <c r="T106" s="52">
        <f t="shared" si="60"/>
        <v>0</v>
      </c>
      <c r="U106" s="53" t="str">
        <f t="shared" si="45"/>
        <v/>
      </c>
      <c r="V106" s="53" t="str">
        <f t="shared" si="46"/>
        <v/>
      </c>
      <c r="W106" s="53" t="str">
        <f t="shared" si="47"/>
        <v/>
      </c>
      <c r="X106" s="46" t="str">
        <f t="shared" si="35"/>
        <v/>
      </c>
      <c r="Y106" s="48"/>
      <c r="Z106" s="41" t="str">
        <f t="shared" si="48"/>
        <v/>
      </c>
      <c r="AA106" s="41" t="str">
        <f t="shared" si="49"/>
        <v/>
      </c>
      <c r="AB106" s="41" t="str">
        <f t="shared" si="36"/>
        <v/>
      </c>
      <c r="AC106" s="41" t="str">
        <f t="shared" si="37"/>
        <v/>
      </c>
      <c r="AD106" s="48"/>
      <c r="AE106" s="41" t="str">
        <f t="shared" si="38"/>
        <v/>
      </c>
      <c r="AF106" s="41"/>
      <c r="AG106" s="41" t="str">
        <f t="shared" si="39"/>
        <v/>
      </c>
      <c r="AH106" s="41" t="str">
        <f t="shared" si="50"/>
        <v/>
      </c>
      <c r="AI106" s="41" t="str">
        <f t="shared" si="51"/>
        <v/>
      </c>
      <c r="AJ106" s="41">
        <f t="shared" si="40"/>
        <v>0</v>
      </c>
      <c r="AK106" s="41" t="str">
        <f t="shared" si="41"/>
        <v/>
      </c>
      <c r="AL106" s="41">
        <f t="shared" si="52"/>
        <v>0</v>
      </c>
      <c r="AM106" s="41">
        <f t="shared" si="42"/>
        <v>0</v>
      </c>
      <c r="AN106" s="41" t="str">
        <f t="shared" si="43"/>
        <v/>
      </c>
      <c r="AO106" s="41">
        <f t="shared" si="59"/>
        <v>0</v>
      </c>
      <c r="AP106" s="48"/>
      <c r="AQ106" s="48"/>
      <c r="AR106" s="48"/>
      <c r="AS106" s="48"/>
      <c r="AT106" s="51">
        <f t="shared" si="53"/>
        <v>102</v>
      </c>
      <c r="AU106" s="49" t="str">
        <f t="shared" si="54"/>
        <v/>
      </c>
      <c r="AV106" s="49" t="str">
        <f t="shared" si="55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0.19011995359321501</v>
      </c>
      <c r="C107">
        <f t="shared" si="61"/>
        <v>0.1787127563776221</v>
      </c>
      <c r="D107" s="60"/>
      <c r="E107" s="5"/>
      <c r="F107" s="5"/>
      <c r="I107" s="40"/>
      <c r="J107" s="41"/>
      <c r="K107" s="41" t="str">
        <f t="shared" si="56"/>
        <v/>
      </c>
      <c r="L107" s="42" t="str">
        <f t="shared" si="57"/>
        <v/>
      </c>
      <c r="M107" s="41" t="str">
        <f t="shared" si="58"/>
        <v/>
      </c>
      <c r="N107" s="43">
        <f t="shared" si="31"/>
        <v>0</v>
      </c>
      <c r="O107" s="44">
        <f t="shared" si="32"/>
        <v>0</v>
      </c>
      <c r="P107" s="41" t="str">
        <f t="shared" si="33"/>
        <v/>
      </c>
      <c r="Q107" s="41" t="str">
        <f t="shared" si="34"/>
        <v/>
      </c>
      <c r="R107" s="48"/>
      <c r="S107" s="44" t="str">
        <f>IF(I107&lt;&gt;"",_xlfn.XLOOKUP(D$4+I107,A$26:A$145,$C$26:$C$145,0) * 1000,"")</f>
        <v/>
      </c>
      <c r="T107" s="52">
        <f t="shared" si="60"/>
        <v>0</v>
      </c>
      <c r="U107" s="53" t="str">
        <f t="shared" si="45"/>
        <v/>
      </c>
      <c r="V107" s="53" t="str">
        <f t="shared" si="46"/>
        <v/>
      </c>
      <c r="W107" s="53" t="str">
        <f t="shared" si="47"/>
        <v/>
      </c>
      <c r="X107" s="46" t="str">
        <f t="shared" si="35"/>
        <v/>
      </c>
      <c r="Y107" s="48"/>
      <c r="Z107" s="41" t="str">
        <f t="shared" si="48"/>
        <v/>
      </c>
      <c r="AA107" s="41" t="str">
        <f t="shared" si="49"/>
        <v/>
      </c>
      <c r="AB107" s="41" t="str">
        <f t="shared" si="36"/>
        <v/>
      </c>
      <c r="AC107" s="41" t="str">
        <f t="shared" si="37"/>
        <v/>
      </c>
      <c r="AD107" s="48"/>
      <c r="AE107" s="41" t="str">
        <f t="shared" si="38"/>
        <v/>
      </c>
      <c r="AF107" s="41"/>
      <c r="AG107" s="41" t="str">
        <f t="shared" si="39"/>
        <v/>
      </c>
      <c r="AH107" s="41" t="str">
        <f t="shared" si="50"/>
        <v/>
      </c>
      <c r="AI107" s="41" t="str">
        <f t="shared" si="51"/>
        <v/>
      </c>
      <c r="AJ107" s="41">
        <f t="shared" si="40"/>
        <v>0</v>
      </c>
      <c r="AK107" s="41" t="str">
        <f t="shared" si="41"/>
        <v/>
      </c>
      <c r="AL107" s="41">
        <f t="shared" si="52"/>
        <v>0</v>
      </c>
      <c r="AM107" s="41">
        <f t="shared" si="42"/>
        <v>0</v>
      </c>
      <c r="AN107" s="41" t="str">
        <f t="shared" si="43"/>
        <v/>
      </c>
      <c r="AO107" s="41">
        <f t="shared" si="59"/>
        <v>0</v>
      </c>
      <c r="AP107" s="48"/>
      <c r="AQ107" s="48"/>
      <c r="AR107" s="48"/>
      <c r="AS107" s="48"/>
      <c r="AT107" s="51">
        <f t="shared" si="53"/>
        <v>103</v>
      </c>
      <c r="AU107" s="49" t="str">
        <f t="shared" si="54"/>
        <v/>
      </c>
      <c r="AV107" s="49" t="str">
        <f t="shared" si="55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0.21135350412571899</v>
      </c>
      <c r="C108">
        <f t="shared" si="61"/>
        <v>0.19867229387817584</v>
      </c>
      <c r="D108" s="60"/>
      <c r="E108" s="5"/>
      <c r="F108" s="5"/>
      <c r="I108" s="40"/>
      <c r="J108" s="41"/>
      <c r="K108" s="41" t="str">
        <f t="shared" si="56"/>
        <v/>
      </c>
      <c r="L108" s="42" t="str">
        <f t="shared" si="57"/>
        <v/>
      </c>
      <c r="M108" s="41" t="str">
        <f t="shared" si="58"/>
        <v/>
      </c>
      <c r="N108" s="43">
        <f t="shared" si="31"/>
        <v>0</v>
      </c>
      <c r="O108" s="44">
        <f t="shared" si="32"/>
        <v>0</v>
      </c>
      <c r="P108" s="41" t="str">
        <f t="shared" si="33"/>
        <v/>
      </c>
      <c r="Q108" s="41" t="str">
        <f t="shared" si="34"/>
        <v/>
      </c>
      <c r="R108" s="48"/>
      <c r="S108" s="44" t="str">
        <f>IF(I108&lt;&gt;"",_xlfn.XLOOKUP(D$4+I108,A$26:A$145,$C$26:$C$145,0) * 1000,"")</f>
        <v/>
      </c>
      <c r="T108" s="52">
        <f t="shared" si="60"/>
        <v>0</v>
      </c>
      <c r="U108" s="53" t="str">
        <f t="shared" si="45"/>
        <v/>
      </c>
      <c r="V108" s="53" t="str">
        <f t="shared" si="46"/>
        <v/>
      </c>
      <c r="W108" s="53" t="str">
        <f t="shared" si="47"/>
        <v/>
      </c>
      <c r="X108" s="46" t="str">
        <f t="shared" si="35"/>
        <v/>
      </c>
      <c r="Y108" s="48"/>
      <c r="Z108" s="41" t="str">
        <f t="shared" si="48"/>
        <v/>
      </c>
      <c r="AA108" s="41" t="str">
        <f t="shared" si="49"/>
        <v/>
      </c>
      <c r="AB108" s="41" t="str">
        <f t="shared" si="36"/>
        <v/>
      </c>
      <c r="AC108" s="41" t="str">
        <f t="shared" si="37"/>
        <v/>
      </c>
      <c r="AD108" s="48"/>
      <c r="AE108" s="41" t="str">
        <f t="shared" si="38"/>
        <v/>
      </c>
      <c r="AF108" s="41"/>
      <c r="AG108" s="41" t="str">
        <f t="shared" si="39"/>
        <v/>
      </c>
      <c r="AH108" s="41" t="str">
        <f t="shared" si="50"/>
        <v/>
      </c>
      <c r="AI108" s="41" t="str">
        <f t="shared" si="51"/>
        <v/>
      </c>
      <c r="AJ108" s="41">
        <f t="shared" si="40"/>
        <v>0</v>
      </c>
      <c r="AK108" s="41" t="str">
        <f t="shared" si="41"/>
        <v/>
      </c>
      <c r="AL108" s="41">
        <f t="shared" si="52"/>
        <v>0</v>
      </c>
      <c r="AM108" s="41">
        <f t="shared" si="42"/>
        <v>0</v>
      </c>
      <c r="AN108" s="41" t="str">
        <f t="shared" si="43"/>
        <v/>
      </c>
      <c r="AO108" s="41">
        <f t="shared" si="59"/>
        <v>0</v>
      </c>
      <c r="AP108" s="48"/>
      <c r="AQ108" s="48"/>
      <c r="AR108" s="48"/>
      <c r="AS108" s="48"/>
      <c r="AT108" s="51">
        <f t="shared" si="53"/>
        <v>104</v>
      </c>
      <c r="AU108" s="49" t="str">
        <f t="shared" si="54"/>
        <v/>
      </c>
      <c r="AV108" s="49" t="str">
        <f t="shared" si="55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0.23486684370264699</v>
      </c>
      <c r="C109">
        <f t="shared" si="61"/>
        <v>0.22077483308048815</v>
      </c>
      <c r="D109" s="60"/>
      <c r="E109" s="5"/>
      <c r="F109" s="5"/>
      <c r="I109" s="40"/>
      <c r="J109" s="41"/>
      <c r="K109" s="41" t="str">
        <f t="shared" si="56"/>
        <v/>
      </c>
      <c r="L109" s="42" t="str">
        <f t="shared" si="57"/>
        <v/>
      </c>
      <c r="M109" s="41" t="str">
        <f t="shared" si="58"/>
        <v/>
      </c>
      <c r="N109" s="43">
        <f t="shared" si="31"/>
        <v>0</v>
      </c>
      <c r="O109" s="44">
        <f t="shared" si="32"/>
        <v>0</v>
      </c>
      <c r="P109" s="41" t="str">
        <f t="shared" si="33"/>
        <v/>
      </c>
      <c r="Q109" s="41" t="str">
        <f t="shared" si="34"/>
        <v/>
      </c>
      <c r="R109" s="48"/>
      <c r="S109" s="44" t="str">
        <f>IF(I109&lt;&gt;"",_xlfn.XLOOKUP(D$4+I109,A$26:A$145,$C$26:$C$145,0) * 1000,"")</f>
        <v/>
      </c>
      <c r="T109" s="52">
        <f t="shared" si="60"/>
        <v>0</v>
      </c>
      <c r="U109" s="53" t="str">
        <f t="shared" si="45"/>
        <v/>
      </c>
      <c r="V109" s="53" t="str">
        <f t="shared" si="46"/>
        <v/>
      </c>
      <c r="W109" s="53" t="str">
        <f t="shared" si="47"/>
        <v/>
      </c>
      <c r="X109" s="46" t="str">
        <f t="shared" si="35"/>
        <v/>
      </c>
      <c r="Y109" s="48"/>
      <c r="Z109" s="41" t="str">
        <f t="shared" si="48"/>
        <v/>
      </c>
      <c r="AA109" s="41" t="str">
        <f t="shared" si="49"/>
        <v/>
      </c>
      <c r="AB109" s="41" t="str">
        <f t="shared" si="36"/>
        <v/>
      </c>
      <c r="AC109" s="41" t="str">
        <f t="shared" si="37"/>
        <v/>
      </c>
      <c r="AD109" s="48"/>
      <c r="AE109" s="41" t="str">
        <f t="shared" si="38"/>
        <v/>
      </c>
      <c r="AF109" s="41"/>
      <c r="AG109" s="41" t="str">
        <f t="shared" si="39"/>
        <v/>
      </c>
      <c r="AH109" s="41" t="str">
        <f t="shared" si="50"/>
        <v/>
      </c>
      <c r="AI109" s="41" t="str">
        <f t="shared" si="51"/>
        <v/>
      </c>
      <c r="AJ109" s="41">
        <f t="shared" si="40"/>
        <v>0</v>
      </c>
      <c r="AK109" s="41" t="str">
        <f t="shared" si="41"/>
        <v/>
      </c>
      <c r="AL109" s="41">
        <f t="shared" si="52"/>
        <v>0</v>
      </c>
      <c r="AM109" s="41">
        <f t="shared" si="42"/>
        <v>0</v>
      </c>
      <c r="AN109" s="41" t="str">
        <f t="shared" si="43"/>
        <v/>
      </c>
      <c r="AO109" s="41">
        <f t="shared" si="59"/>
        <v>0</v>
      </c>
      <c r="AP109" s="48"/>
      <c r="AQ109" s="48"/>
      <c r="AR109" s="48"/>
      <c r="AS109" s="48"/>
      <c r="AT109" s="51">
        <f t="shared" si="53"/>
        <v>105</v>
      </c>
      <c r="AU109" s="49" t="str">
        <f t="shared" si="54"/>
        <v/>
      </c>
      <c r="AV109" s="49" t="str">
        <f t="shared" si="55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0.25975579113049402</v>
      </c>
      <c r="C110">
        <f t="shared" si="61"/>
        <v>0.24417044366266435</v>
      </c>
      <c r="D110" s="60"/>
      <c r="E110" s="5"/>
      <c r="F110" s="5"/>
      <c r="I110" s="40"/>
      <c r="J110" s="41"/>
      <c r="K110" s="41" t="str">
        <f t="shared" si="56"/>
        <v/>
      </c>
      <c r="L110" s="42" t="str">
        <f t="shared" si="57"/>
        <v/>
      </c>
      <c r="M110" s="41" t="str">
        <f t="shared" si="58"/>
        <v/>
      </c>
      <c r="N110" s="43">
        <f t="shared" si="31"/>
        <v>0</v>
      </c>
      <c r="O110" s="44">
        <f t="shared" si="32"/>
        <v>0</v>
      </c>
      <c r="P110" s="41" t="str">
        <f t="shared" si="33"/>
        <v/>
      </c>
      <c r="Q110" s="41" t="str">
        <f t="shared" si="34"/>
        <v/>
      </c>
      <c r="R110" s="48"/>
      <c r="S110" s="44" t="str">
        <f>IF(I110&lt;&gt;"",_xlfn.XLOOKUP(D$4+I110,A$26:A$145,$C$26:$C$145,0) * 1000,"")</f>
        <v/>
      </c>
      <c r="T110" s="52">
        <f t="shared" si="60"/>
        <v>0</v>
      </c>
      <c r="U110" s="53" t="str">
        <f t="shared" si="45"/>
        <v/>
      </c>
      <c r="V110" s="53" t="str">
        <f t="shared" si="46"/>
        <v/>
      </c>
      <c r="W110" s="53" t="str">
        <f t="shared" si="47"/>
        <v/>
      </c>
      <c r="X110" s="46" t="str">
        <f t="shared" si="35"/>
        <v/>
      </c>
      <c r="Y110" s="48"/>
      <c r="Z110" s="41" t="str">
        <f t="shared" si="48"/>
        <v/>
      </c>
      <c r="AA110" s="41" t="str">
        <f t="shared" si="49"/>
        <v/>
      </c>
      <c r="AB110" s="41" t="str">
        <f t="shared" si="36"/>
        <v/>
      </c>
      <c r="AC110" s="41" t="str">
        <f t="shared" si="37"/>
        <v/>
      </c>
      <c r="AD110" s="48"/>
      <c r="AE110" s="41" t="str">
        <f t="shared" si="38"/>
        <v/>
      </c>
      <c r="AF110" s="41"/>
      <c r="AG110" s="41" t="str">
        <f t="shared" si="39"/>
        <v/>
      </c>
      <c r="AH110" s="41" t="str">
        <f t="shared" si="50"/>
        <v/>
      </c>
      <c r="AI110" s="41" t="str">
        <f t="shared" si="51"/>
        <v/>
      </c>
      <c r="AJ110" s="41">
        <f t="shared" si="40"/>
        <v>0</v>
      </c>
      <c r="AK110" s="41" t="str">
        <f t="shared" si="41"/>
        <v/>
      </c>
      <c r="AL110" s="41">
        <f t="shared" si="52"/>
        <v>0</v>
      </c>
      <c r="AM110" s="41">
        <f t="shared" si="42"/>
        <v>0</v>
      </c>
      <c r="AN110" s="41" t="str">
        <f t="shared" si="43"/>
        <v/>
      </c>
      <c r="AO110" s="41">
        <f t="shared" si="59"/>
        <v>0</v>
      </c>
      <c r="AP110" s="48"/>
      <c r="AQ110" s="48"/>
      <c r="AR110" s="48"/>
      <c r="AS110" s="48"/>
      <c r="AT110" s="51">
        <f t="shared" si="53"/>
        <v>106</v>
      </c>
      <c r="AU110" s="49" t="str">
        <f t="shared" si="54"/>
        <v/>
      </c>
      <c r="AV110" s="49" t="str">
        <f t="shared" si="55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0.28520011844167797</v>
      </c>
      <c r="C111">
        <f t="shared" si="61"/>
        <v>0.26808811133517729</v>
      </c>
      <c r="D111" s="60"/>
      <c r="E111" s="5"/>
      <c r="F111" s="5"/>
      <c r="I111" s="40"/>
      <c r="J111" s="41"/>
      <c r="K111" s="41" t="str">
        <f t="shared" si="56"/>
        <v/>
      </c>
      <c r="L111" s="42" t="str">
        <f t="shared" si="57"/>
        <v/>
      </c>
      <c r="M111" s="41" t="str">
        <f t="shared" si="58"/>
        <v/>
      </c>
      <c r="N111" s="43">
        <f t="shared" si="31"/>
        <v>0</v>
      </c>
      <c r="O111" s="44">
        <f t="shared" si="32"/>
        <v>0</v>
      </c>
      <c r="P111" s="41" t="str">
        <f t="shared" si="33"/>
        <v/>
      </c>
      <c r="Q111" s="41" t="str">
        <f t="shared" si="34"/>
        <v/>
      </c>
      <c r="R111" s="48"/>
      <c r="S111" s="44" t="str">
        <f>IF(I111&lt;&gt;"",_xlfn.XLOOKUP(D$4+I111,A$26:A$145,$C$26:$C$145,0) * 1000,"")</f>
        <v/>
      </c>
      <c r="T111" s="52">
        <f t="shared" si="60"/>
        <v>0</v>
      </c>
      <c r="U111" s="53" t="str">
        <f t="shared" si="45"/>
        <v/>
      </c>
      <c r="V111" s="53" t="str">
        <f t="shared" si="46"/>
        <v/>
      </c>
      <c r="W111" s="53" t="str">
        <f t="shared" si="47"/>
        <v/>
      </c>
      <c r="X111" s="46" t="str">
        <f t="shared" si="35"/>
        <v/>
      </c>
      <c r="Y111" s="48"/>
      <c r="Z111" s="41" t="str">
        <f t="shared" si="48"/>
        <v/>
      </c>
      <c r="AA111" s="41" t="str">
        <f t="shared" si="49"/>
        <v/>
      </c>
      <c r="AB111" s="41" t="str">
        <f t="shared" si="36"/>
        <v/>
      </c>
      <c r="AC111" s="41" t="str">
        <f t="shared" si="37"/>
        <v/>
      </c>
      <c r="AD111" s="48"/>
      <c r="AE111" s="41" t="str">
        <f t="shared" si="38"/>
        <v/>
      </c>
      <c r="AF111" s="41"/>
      <c r="AG111" s="41" t="str">
        <f t="shared" si="39"/>
        <v/>
      </c>
      <c r="AH111" s="41" t="str">
        <f t="shared" si="50"/>
        <v/>
      </c>
      <c r="AI111" s="41" t="str">
        <f t="shared" si="51"/>
        <v/>
      </c>
      <c r="AJ111" s="41">
        <f t="shared" si="40"/>
        <v>0</v>
      </c>
      <c r="AK111" s="41" t="str">
        <f t="shared" si="41"/>
        <v/>
      </c>
      <c r="AL111" s="41">
        <f t="shared" si="52"/>
        <v>0</v>
      </c>
      <c r="AM111" s="41">
        <f t="shared" si="42"/>
        <v>0</v>
      </c>
      <c r="AN111" s="41" t="str">
        <f t="shared" si="43"/>
        <v/>
      </c>
      <c r="AO111" s="41">
        <f t="shared" si="59"/>
        <v>0</v>
      </c>
      <c r="AP111" s="48"/>
      <c r="AQ111" s="48"/>
      <c r="AR111" s="48"/>
      <c r="AS111" s="48"/>
      <c r="AT111" s="51">
        <f t="shared" si="53"/>
        <v>107</v>
      </c>
      <c r="AU111" s="49" t="str">
        <f t="shared" si="54"/>
        <v/>
      </c>
      <c r="AV111" s="49" t="str">
        <f t="shared" si="55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0.31232284359913698</v>
      </c>
      <c r="C112">
        <f t="shared" si="61"/>
        <v>0.29358347298318876</v>
      </c>
      <c r="D112" s="60"/>
      <c r="E112" s="5"/>
      <c r="F112" s="5"/>
      <c r="I112" s="40"/>
      <c r="J112" s="41"/>
      <c r="K112" s="41" t="str">
        <f t="shared" si="56"/>
        <v/>
      </c>
      <c r="L112" s="42" t="str">
        <f t="shared" si="57"/>
        <v/>
      </c>
      <c r="M112" s="41" t="str">
        <f t="shared" si="58"/>
        <v/>
      </c>
      <c r="N112" s="43">
        <f t="shared" si="31"/>
        <v>0</v>
      </c>
      <c r="O112" s="44">
        <f t="shared" si="32"/>
        <v>0</v>
      </c>
      <c r="P112" s="41" t="str">
        <f t="shared" si="33"/>
        <v/>
      </c>
      <c r="Q112" s="41" t="str">
        <f t="shared" si="34"/>
        <v/>
      </c>
      <c r="R112" s="48"/>
      <c r="S112" s="44" t="str">
        <f>IF(I112&lt;&gt;"",_xlfn.XLOOKUP(D$4+I112,A$26:A$145,$C$26:$C$145,0) * 1000,"")</f>
        <v/>
      </c>
      <c r="T112" s="52">
        <f t="shared" si="60"/>
        <v>0</v>
      </c>
      <c r="U112" s="53" t="str">
        <f t="shared" si="45"/>
        <v/>
      </c>
      <c r="V112" s="53" t="str">
        <f t="shared" si="46"/>
        <v/>
      </c>
      <c r="W112" s="53" t="str">
        <f t="shared" si="47"/>
        <v/>
      </c>
      <c r="X112" s="46" t="str">
        <f t="shared" si="35"/>
        <v/>
      </c>
      <c r="Y112" s="48"/>
      <c r="Z112" s="41" t="str">
        <f t="shared" si="48"/>
        <v/>
      </c>
      <c r="AA112" s="41" t="str">
        <f t="shared" si="49"/>
        <v/>
      </c>
      <c r="AB112" s="41" t="str">
        <f t="shared" si="36"/>
        <v/>
      </c>
      <c r="AC112" s="41" t="str">
        <f t="shared" si="37"/>
        <v/>
      </c>
      <c r="AD112" s="48"/>
      <c r="AE112" s="41" t="str">
        <f t="shared" si="38"/>
        <v/>
      </c>
      <c r="AF112" s="41"/>
      <c r="AG112" s="41" t="str">
        <f t="shared" si="39"/>
        <v/>
      </c>
      <c r="AH112" s="41" t="str">
        <f t="shared" si="50"/>
        <v/>
      </c>
      <c r="AI112" s="41" t="str">
        <f t="shared" si="51"/>
        <v/>
      </c>
      <c r="AJ112" s="41">
        <f t="shared" si="40"/>
        <v>0</v>
      </c>
      <c r="AK112" s="41" t="str">
        <f t="shared" si="41"/>
        <v/>
      </c>
      <c r="AL112" s="41">
        <f t="shared" si="52"/>
        <v>0</v>
      </c>
      <c r="AM112" s="41">
        <f t="shared" si="42"/>
        <v>0</v>
      </c>
      <c r="AN112" s="41" t="str">
        <f t="shared" si="43"/>
        <v/>
      </c>
      <c r="AO112" s="41">
        <f t="shared" si="59"/>
        <v>0</v>
      </c>
      <c r="AP112" s="48"/>
      <c r="AQ112" s="48"/>
      <c r="AR112" s="48"/>
      <c r="AS112" s="48"/>
      <c r="AT112" s="51">
        <f t="shared" si="53"/>
        <v>108</v>
      </c>
      <c r="AU112" s="49" t="str">
        <f t="shared" si="54"/>
        <v/>
      </c>
      <c r="AV112" s="49" t="str">
        <f t="shared" si="55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0.34086926485915697</v>
      </c>
      <c r="C113">
        <f t="shared" si="61"/>
        <v>0.32041710896760756</v>
      </c>
      <c r="D113" s="60"/>
      <c r="E113" s="5"/>
      <c r="F113" s="5"/>
      <c r="I113" s="40"/>
      <c r="J113" s="41"/>
      <c r="K113" s="41" t="str">
        <f t="shared" si="56"/>
        <v/>
      </c>
      <c r="L113" s="42" t="str">
        <f t="shared" si="57"/>
        <v/>
      </c>
      <c r="M113" s="41" t="str">
        <f t="shared" si="58"/>
        <v/>
      </c>
      <c r="N113" s="43">
        <f t="shared" si="31"/>
        <v>0</v>
      </c>
      <c r="O113" s="44">
        <f t="shared" si="32"/>
        <v>0</v>
      </c>
      <c r="P113" s="41" t="str">
        <f t="shared" si="33"/>
        <v/>
      </c>
      <c r="Q113" s="41" t="str">
        <f t="shared" si="34"/>
        <v/>
      </c>
      <c r="R113" s="48"/>
      <c r="S113" s="44" t="str">
        <f>IF(I113&lt;&gt;"",_xlfn.XLOOKUP(D$4+I113,A$26:A$145,$C$26:$C$145,0) * 1000,"")</f>
        <v/>
      </c>
      <c r="T113" s="52">
        <f t="shared" si="60"/>
        <v>0</v>
      </c>
      <c r="U113" s="53" t="str">
        <f t="shared" si="45"/>
        <v/>
      </c>
      <c r="V113" s="53" t="str">
        <f t="shared" si="46"/>
        <v/>
      </c>
      <c r="W113" s="53" t="str">
        <f t="shared" si="47"/>
        <v/>
      </c>
      <c r="X113" s="46" t="str">
        <f t="shared" si="35"/>
        <v/>
      </c>
      <c r="Y113" s="48"/>
      <c r="Z113" s="41" t="str">
        <f t="shared" si="48"/>
        <v/>
      </c>
      <c r="AA113" s="41" t="str">
        <f t="shared" si="49"/>
        <v/>
      </c>
      <c r="AB113" s="41" t="str">
        <f t="shared" si="36"/>
        <v/>
      </c>
      <c r="AC113" s="41" t="str">
        <f t="shared" si="37"/>
        <v/>
      </c>
      <c r="AD113" s="48"/>
      <c r="AE113" s="41" t="str">
        <f t="shared" si="38"/>
        <v/>
      </c>
      <c r="AF113" s="41"/>
      <c r="AG113" s="41" t="str">
        <f t="shared" si="39"/>
        <v/>
      </c>
      <c r="AH113" s="41" t="str">
        <f t="shared" si="50"/>
        <v/>
      </c>
      <c r="AI113" s="41" t="str">
        <f t="shared" si="51"/>
        <v/>
      </c>
      <c r="AJ113" s="41">
        <f t="shared" si="40"/>
        <v>0</v>
      </c>
      <c r="AK113" s="41" t="str">
        <f t="shared" si="41"/>
        <v/>
      </c>
      <c r="AL113" s="41">
        <f t="shared" si="52"/>
        <v>0</v>
      </c>
      <c r="AM113" s="41">
        <f t="shared" si="42"/>
        <v>0</v>
      </c>
      <c r="AN113" s="41" t="str">
        <f t="shared" si="43"/>
        <v/>
      </c>
      <c r="AO113" s="41">
        <f t="shared" si="59"/>
        <v>0</v>
      </c>
      <c r="AP113" s="48"/>
      <c r="AQ113" s="48"/>
      <c r="AR113" s="48"/>
      <c r="AS113" s="48"/>
      <c r="AT113" s="51">
        <f t="shared" si="53"/>
        <v>109</v>
      </c>
      <c r="AU113" s="49" t="str">
        <f t="shared" si="54"/>
        <v/>
      </c>
      <c r="AV113" s="49" t="str">
        <f t="shared" si="55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0.371427300731619</v>
      </c>
      <c r="C114">
        <f t="shared" si="61"/>
        <v>0.34914166268772184</v>
      </c>
      <c r="D114" s="60"/>
      <c r="E114" s="5"/>
      <c r="F114" s="5"/>
      <c r="I114" s="40"/>
      <c r="J114" s="41"/>
      <c r="K114" s="41" t="str">
        <f t="shared" si="56"/>
        <v/>
      </c>
      <c r="L114" s="42" t="str">
        <f t="shared" si="57"/>
        <v/>
      </c>
      <c r="M114" s="41" t="str">
        <f t="shared" si="58"/>
        <v/>
      </c>
      <c r="N114" s="43">
        <f t="shared" si="31"/>
        <v>0</v>
      </c>
      <c r="O114" s="44">
        <f t="shared" si="32"/>
        <v>0</v>
      </c>
      <c r="P114" s="41" t="str">
        <f t="shared" si="33"/>
        <v/>
      </c>
      <c r="Q114" s="41" t="str">
        <f t="shared" si="34"/>
        <v/>
      </c>
      <c r="R114" s="48"/>
      <c r="S114" s="44" t="str">
        <f>IF(I114&lt;&gt;"",_xlfn.XLOOKUP(D$4+I114,A$26:A$145,$C$26:$C$145,0) * 1000,"")</f>
        <v/>
      </c>
      <c r="T114" s="52">
        <f t="shared" si="60"/>
        <v>0</v>
      </c>
      <c r="U114" s="53" t="str">
        <f t="shared" si="45"/>
        <v/>
      </c>
      <c r="V114" s="53" t="str">
        <f t="shared" si="46"/>
        <v/>
      </c>
      <c r="W114" s="53" t="str">
        <f t="shared" si="47"/>
        <v/>
      </c>
      <c r="X114" s="46" t="str">
        <f t="shared" si="35"/>
        <v/>
      </c>
      <c r="Y114" s="48"/>
      <c r="Z114" s="41" t="str">
        <f t="shared" si="48"/>
        <v/>
      </c>
      <c r="AA114" s="41" t="str">
        <f t="shared" si="49"/>
        <v/>
      </c>
      <c r="AB114" s="41" t="str">
        <f t="shared" si="36"/>
        <v/>
      </c>
      <c r="AC114" s="41" t="str">
        <f t="shared" si="37"/>
        <v/>
      </c>
      <c r="AD114" s="48"/>
      <c r="AE114" s="41" t="str">
        <f t="shared" si="38"/>
        <v/>
      </c>
      <c r="AF114" s="41"/>
      <c r="AG114" s="41" t="str">
        <f t="shared" si="39"/>
        <v/>
      </c>
      <c r="AH114" s="41" t="str">
        <f t="shared" si="50"/>
        <v/>
      </c>
      <c r="AI114" s="41" t="str">
        <f t="shared" si="51"/>
        <v/>
      </c>
      <c r="AJ114" s="41">
        <f t="shared" si="40"/>
        <v>0</v>
      </c>
      <c r="AK114" s="41" t="str">
        <f t="shared" si="41"/>
        <v/>
      </c>
      <c r="AL114" s="41">
        <f t="shared" si="52"/>
        <v>0</v>
      </c>
      <c r="AM114" s="41">
        <f t="shared" si="42"/>
        <v>0</v>
      </c>
      <c r="AN114" s="41" t="str">
        <f t="shared" si="43"/>
        <v/>
      </c>
      <c r="AO114" s="41">
        <f t="shared" si="59"/>
        <v>0</v>
      </c>
      <c r="AP114" s="48"/>
      <c r="AQ114" s="48"/>
      <c r="AR114" s="48"/>
      <c r="AS114" s="48"/>
      <c r="AT114" s="51">
        <f t="shared" si="53"/>
        <v>110</v>
      </c>
      <c r="AU114" s="49" t="str">
        <f t="shared" si="54"/>
        <v/>
      </c>
      <c r="AV114" s="49" t="str">
        <f t="shared" si="55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0.40414002885733902</v>
      </c>
      <c r="C115">
        <f t="shared" si="61"/>
        <v>0.37989162712589863</v>
      </c>
      <c r="D115" s="60"/>
      <c r="E115" s="5"/>
      <c r="F115" s="5"/>
      <c r="I115" s="40"/>
      <c r="J115" s="41"/>
      <c r="K115" s="41" t="str">
        <f t="shared" si="56"/>
        <v/>
      </c>
      <c r="L115" s="42" t="str">
        <f t="shared" si="57"/>
        <v/>
      </c>
      <c r="M115" s="41" t="str">
        <f t="shared" si="58"/>
        <v/>
      </c>
      <c r="N115" s="43">
        <f t="shared" si="31"/>
        <v>0</v>
      </c>
      <c r="O115" s="44">
        <f t="shared" si="32"/>
        <v>0</v>
      </c>
      <c r="P115" s="41" t="str">
        <f t="shared" si="33"/>
        <v/>
      </c>
      <c r="Q115" s="41" t="str">
        <f t="shared" si="34"/>
        <v/>
      </c>
      <c r="R115" s="48"/>
      <c r="S115" s="44" t="str">
        <f>IF(I115&lt;&gt;"",_xlfn.XLOOKUP(D$4+I115,A$26:A$145,$C$26:$C$145,0) * 1000,"")</f>
        <v/>
      </c>
      <c r="T115" s="52">
        <f t="shared" si="60"/>
        <v>0</v>
      </c>
      <c r="U115" s="53" t="str">
        <f t="shared" si="45"/>
        <v/>
      </c>
      <c r="V115" s="53" t="str">
        <f t="shared" si="46"/>
        <v/>
      </c>
      <c r="W115" s="53" t="str">
        <f t="shared" si="47"/>
        <v/>
      </c>
      <c r="X115" s="46" t="str">
        <f t="shared" si="35"/>
        <v/>
      </c>
      <c r="Y115" s="48"/>
      <c r="Z115" s="41" t="str">
        <f t="shared" si="48"/>
        <v/>
      </c>
      <c r="AA115" s="41" t="str">
        <f t="shared" si="49"/>
        <v/>
      </c>
      <c r="AB115" s="41" t="str">
        <f t="shared" si="36"/>
        <v/>
      </c>
      <c r="AC115" s="41" t="str">
        <f t="shared" si="37"/>
        <v/>
      </c>
      <c r="AD115" s="48"/>
      <c r="AE115" s="41" t="str">
        <f t="shared" si="38"/>
        <v/>
      </c>
      <c r="AF115" s="41"/>
      <c r="AG115" s="41" t="str">
        <f t="shared" si="39"/>
        <v/>
      </c>
      <c r="AH115" s="41" t="str">
        <f t="shared" si="50"/>
        <v/>
      </c>
      <c r="AI115" s="41" t="str">
        <f t="shared" si="51"/>
        <v/>
      </c>
      <c r="AJ115" s="41">
        <f t="shared" si="40"/>
        <v>0</v>
      </c>
      <c r="AK115" s="41" t="str">
        <f t="shared" si="41"/>
        <v/>
      </c>
      <c r="AL115" s="41">
        <f t="shared" si="52"/>
        <v>0</v>
      </c>
      <c r="AM115" s="41">
        <f t="shared" si="42"/>
        <v>0</v>
      </c>
      <c r="AN115" s="41" t="str">
        <f t="shared" si="43"/>
        <v/>
      </c>
      <c r="AO115" s="41">
        <f t="shared" si="59"/>
        <v>0</v>
      </c>
      <c r="AP115" s="48"/>
      <c r="AQ115" s="48"/>
      <c r="AR115" s="48"/>
      <c r="AS115" s="48"/>
      <c r="AT115" s="51">
        <f t="shared" si="53"/>
        <v>111</v>
      </c>
      <c r="AU115" s="49" t="str">
        <f t="shared" si="54"/>
        <v/>
      </c>
      <c r="AV115" s="49" t="str">
        <f t="shared" si="55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0.43552597257596898</v>
      </c>
      <c r="C116">
        <f t="shared" si="61"/>
        <v>0.40939441422141082</v>
      </c>
      <c r="D116" s="60"/>
      <c r="E116" s="5"/>
      <c r="F116" s="5"/>
      <c r="I116" s="40"/>
      <c r="J116" s="41"/>
      <c r="K116" s="41" t="str">
        <f t="shared" si="56"/>
        <v/>
      </c>
      <c r="L116" s="42" t="str">
        <f t="shared" si="57"/>
        <v/>
      </c>
      <c r="M116" s="41" t="str">
        <f t="shared" si="58"/>
        <v/>
      </c>
      <c r="N116" s="43">
        <f t="shared" si="31"/>
        <v>0</v>
      </c>
      <c r="O116" s="44">
        <f t="shared" si="32"/>
        <v>0</v>
      </c>
      <c r="P116" s="41" t="str">
        <f t="shared" si="33"/>
        <v/>
      </c>
      <c r="Q116" s="41" t="str">
        <f t="shared" si="34"/>
        <v/>
      </c>
      <c r="R116" s="48"/>
      <c r="S116" s="44" t="str">
        <f>IF(I116&lt;&gt;"",_xlfn.XLOOKUP(D$4+I116,A$26:A$145,$C$26:$C$145,0) * 1000,"")</f>
        <v/>
      </c>
      <c r="T116" s="52">
        <f t="shared" si="60"/>
        <v>0</v>
      </c>
      <c r="U116" s="53" t="str">
        <f t="shared" si="45"/>
        <v/>
      </c>
      <c r="V116" s="53" t="str">
        <f t="shared" si="46"/>
        <v/>
      </c>
      <c r="W116" s="53" t="str">
        <f t="shared" si="47"/>
        <v/>
      </c>
      <c r="X116" s="46" t="str">
        <f t="shared" si="35"/>
        <v/>
      </c>
      <c r="Y116" s="48"/>
      <c r="Z116" s="41" t="str">
        <f t="shared" si="48"/>
        <v/>
      </c>
      <c r="AA116" s="41" t="str">
        <f t="shared" si="49"/>
        <v/>
      </c>
      <c r="AB116" s="41" t="str">
        <f t="shared" si="36"/>
        <v/>
      </c>
      <c r="AC116" s="41" t="str">
        <f t="shared" si="37"/>
        <v/>
      </c>
      <c r="AD116" s="48"/>
      <c r="AE116" s="41" t="str">
        <f t="shared" si="38"/>
        <v/>
      </c>
      <c r="AF116" s="41"/>
      <c r="AG116" s="41" t="str">
        <f t="shared" si="39"/>
        <v/>
      </c>
      <c r="AH116" s="41" t="str">
        <f t="shared" si="50"/>
        <v/>
      </c>
      <c r="AI116" s="41" t="str">
        <f t="shared" si="51"/>
        <v/>
      </c>
      <c r="AJ116" s="41">
        <f t="shared" si="40"/>
        <v>0</v>
      </c>
      <c r="AK116" s="41" t="str">
        <f t="shared" si="41"/>
        <v/>
      </c>
      <c r="AL116" s="41">
        <f t="shared" si="52"/>
        <v>0</v>
      </c>
      <c r="AM116" s="41">
        <f t="shared" si="42"/>
        <v>0</v>
      </c>
      <c r="AN116" s="41" t="str">
        <f t="shared" si="43"/>
        <v/>
      </c>
      <c r="AO116" s="41">
        <f t="shared" si="59"/>
        <v>0</v>
      </c>
      <c r="AP116" s="48"/>
      <c r="AQ116" s="48"/>
      <c r="AR116" s="48"/>
      <c r="AS116" s="48"/>
      <c r="AT116" s="51">
        <f t="shared" si="53"/>
        <v>112</v>
      </c>
      <c r="AU116" s="49" t="str">
        <f t="shared" si="54"/>
        <v/>
      </c>
      <c r="AV116" s="49" t="str">
        <f t="shared" si="55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0.46820403342919098</v>
      </c>
      <c r="C117">
        <f t="shared" si="61"/>
        <v>0.44011179142343948</v>
      </c>
      <c r="D117" s="60"/>
      <c r="E117" s="5"/>
      <c r="F117" s="5"/>
      <c r="I117" s="40"/>
      <c r="J117" s="41"/>
      <c r="K117" s="41" t="str">
        <f t="shared" si="56"/>
        <v/>
      </c>
      <c r="L117" s="42" t="str">
        <f t="shared" si="57"/>
        <v/>
      </c>
      <c r="M117" s="41" t="str">
        <f t="shared" si="58"/>
        <v/>
      </c>
      <c r="N117" s="43">
        <f t="shared" si="31"/>
        <v>0</v>
      </c>
      <c r="O117" s="44">
        <f t="shared" si="32"/>
        <v>0</v>
      </c>
      <c r="P117" s="41" t="str">
        <f t="shared" si="33"/>
        <v/>
      </c>
      <c r="Q117" s="41" t="str">
        <f t="shared" si="34"/>
        <v/>
      </c>
      <c r="R117" s="48"/>
      <c r="S117" s="44" t="str">
        <f>IF(I117&lt;&gt;"",_xlfn.XLOOKUP(D$4+I117,A$26:A$145,$C$26:$C$145,0) * 1000,"")</f>
        <v/>
      </c>
      <c r="T117" s="52">
        <f t="shared" si="60"/>
        <v>0</v>
      </c>
      <c r="U117" s="53" t="str">
        <f t="shared" si="45"/>
        <v/>
      </c>
      <c r="V117" s="53" t="str">
        <f t="shared" si="46"/>
        <v/>
      </c>
      <c r="W117" s="53" t="str">
        <f t="shared" si="47"/>
        <v/>
      </c>
      <c r="X117" s="46" t="str">
        <f t="shared" si="35"/>
        <v/>
      </c>
      <c r="Y117" s="48"/>
      <c r="Z117" s="41" t="str">
        <f t="shared" si="48"/>
        <v/>
      </c>
      <c r="AA117" s="41" t="str">
        <f t="shared" si="49"/>
        <v/>
      </c>
      <c r="AB117" s="41" t="str">
        <f t="shared" si="36"/>
        <v/>
      </c>
      <c r="AC117" s="41" t="str">
        <f t="shared" si="37"/>
        <v/>
      </c>
      <c r="AD117" s="48"/>
      <c r="AE117" s="41" t="str">
        <f t="shared" si="38"/>
        <v/>
      </c>
      <c r="AF117" s="41"/>
      <c r="AG117" s="41" t="str">
        <f t="shared" si="39"/>
        <v/>
      </c>
      <c r="AH117" s="41" t="str">
        <f t="shared" si="50"/>
        <v/>
      </c>
      <c r="AI117" s="41" t="str">
        <f t="shared" si="51"/>
        <v/>
      </c>
      <c r="AJ117" s="41">
        <f t="shared" si="40"/>
        <v>0</v>
      </c>
      <c r="AK117" s="41" t="str">
        <f t="shared" si="41"/>
        <v/>
      </c>
      <c r="AL117" s="41">
        <f t="shared" si="52"/>
        <v>0</v>
      </c>
      <c r="AM117" s="41">
        <f t="shared" si="42"/>
        <v>0</v>
      </c>
      <c r="AN117" s="41" t="str">
        <f t="shared" si="43"/>
        <v/>
      </c>
      <c r="AO117" s="41">
        <f t="shared" si="59"/>
        <v>0</v>
      </c>
      <c r="AP117" s="48"/>
      <c r="AQ117" s="48"/>
      <c r="AR117" s="48"/>
      <c r="AS117" s="48"/>
      <c r="AT117" s="51">
        <f t="shared" si="53"/>
        <v>113</v>
      </c>
      <c r="AU117" s="49" t="str">
        <f t="shared" si="54"/>
        <v/>
      </c>
      <c r="AV117" s="49" t="str">
        <f t="shared" si="55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0.50111199847578403</v>
      </c>
      <c r="C118">
        <f t="shared" si="61"/>
        <v>0.47104527856723694</v>
      </c>
      <c r="D118" s="60"/>
      <c r="E118" s="5"/>
      <c r="F118" s="5"/>
      <c r="I118" s="40"/>
      <c r="J118" s="41"/>
      <c r="K118" s="41" t="str">
        <f t="shared" si="56"/>
        <v/>
      </c>
      <c r="L118" s="42" t="str">
        <f t="shared" si="57"/>
        <v/>
      </c>
      <c r="M118" s="41" t="str">
        <f t="shared" si="58"/>
        <v/>
      </c>
      <c r="N118" s="43">
        <f t="shared" si="31"/>
        <v>0</v>
      </c>
      <c r="O118" s="44">
        <f t="shared" si="32"/>
        <v>0</v>
      </c>
      <c r="P118" s="41" t="str">
        <f t="shared" si="33"/>
        <v/>
      </c>
      <c r="Q118" s="41" t="str">
        <f t="shared" si="34"/>
        <v/>
      </c>
      <c r="R118" s="48"/>
      <c r="S118" s="44" t="str">
        <f>IF(I118&lt;&gt;"",_xlfn.XLOOKUP(D$4+I118,A$26:A$145,$C$26:$C$145,0) * 1000,"")</f>
        <v/>
      </c>
      <c r="T118" s="52">
        <f t="shared" si="60"/>
        <v>0</v>
      </c>
      <c r="U118" s="53" t="str">
        <f t="shared" si="45"/>
        <v/>
      </c>
      <c r="V118" s="53" t="str">
        <f t="shared" si="46"/>
        <v/>
      </c>
      <c r="W118" s="53" t="str">
        <f t="shared" si="47"/>
        <v/>
      </c>
      <c r="X118" s="46" t="str">
        <f t="shared" si="35"/>
        <v/>
      </c>
      <c r="Y118" s="48"/>
      <c r="Z118" s="41" t="str">
        <f t="shared" si="48"/>
        <v/>
      </c>
      <c r="AA118" s="41" t="str">
        <f t="shared" si="49"/>
        <v/>
      </c>
      <c r="AB118" s="41" t="str">
        <f t="shared" si="36"/>
        <v/>
      </c>
      <c r="AC118" s="41" t="str">
        <f t="shared" si="37"/>
        <v/>
      </c>
      <c r="AD118" s="48"/>
      <c r="AE118" s="41" t="str">
        <f t="shared" si="38"/>
        <v/>
      </c>
      <c r="AF118" s="41"/>
      <c r="AG118" s="41" t="str">
        <f t="shared" si="39"/>
        <v/>
      </c>
      <c r="AH118" s="41" t="str">
        <f t="shared" si="50"/>
        <v/>
      </c>
      <c r="AI118" s="41" t="str">
        <f t="shared" si="51"/>
        <v/>
      </c>
      <c r="AJ118" s="41">
        <f t="shared" si="40"/>
        <v>0</v>
      </c>
      <c r="AK118" s="41" t="str">
        <f t="shared" si="41"/>
        <v/>
      </c>
      <c r="AL118" s="41">
        <f t="shared" si="52"/>
        <v>0</v>
      </c>
      <c r="AM118" s="41">
        <f t="shared" si="42"/>
        <v>0</v>
      </c>
      <c r="AN118" s="41" t="str">
        <f t="shared" si="43"/>
        <v/>
      </c>
      <c r="AO118" s="41">
        <f t="shared" si="59"/>
        <v>0</v>
      </c>
      <c r="AP118" s="48"/>
      <c r="AQ118" s="48"/>
      <c r="AR118" s="48"/>
      <c r="AS118" s="48"/>
      <c r="AT118" s="51">
        <f t="shared" si="53"/>
        <v>114</v>
      </c>
      <c r="AU118" s="49" t="str">
        <f t="shared" si="54"/>
        <v/>
      </c>
      <c r="AV118" s="49" t="str">
        <f t="shared" si="55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0.53370490532780801</v>
      </c>
      <c r="C119">
        <f t="shared" si="61"/>
        <v>0.50168261100813949</v>
      </c>
      <c r="D119" s="60"/>
      <c r="E119" s="5"/>
      <c r="F119" s="5"/>
      <c r="I119" s="40"/>
      <c r="J119" s="41"/>
      <c r="K119" s="41" t="str">
        <f t="shared" si="56"/>
        <v/>
      </c>
      <c r="L119" s="42" t="str">
        <f t="shared" si="57"/>
        <v/>
      </c>
      <c r="M119" s="41" t="str">
        <f t="shared" si="58"/>
        <v/>
      </c>
      <c r="N119" s="43">
        <f t="shared" si="31"/>
        <v>0</v>
      </c>
      <c r="O119" s="44">
        <f t="shared" si="32"/>
        <v>0</v>
      </c>
      <c r="P119" s="41" t="str">
        <f t="shared" si="33"/>
        <v/>
      </c>
      <c r="Q119" s="41" t="str">
        <f t="shared" si="34"/>
        <v/>
      </c>
      <c r="R119" s="48"/>
      <c r="S119" s="44" t="str">
        <f>IF(I119&lt;&gt;"",_xlfn.XLOOKUP(D$4+I119,A$26:A$145,$C$26:$C$145,0) * 1000,"")</f>
        <v/>
      </c>
      <c r="T119" s="52">
        <f t="shared" si="60"/>
        <v>0</v>
      </c>
      <c r="U119" s="53" t="str">
        <f t="shared" si="45"/>
        <v/>
      </c>
      <c r="V119" s="53" t="str">
        <f t="shared" si="46"/>
        <v/>
      </c>
      <c r="W119" s="53" t="str">
        <f t="shared" si="47"/>
        <v/>
      </c>
      <c r="X119" s="46" t="str">
        <f t="shared" si="35"/>
        <v/>
      </c>
      <c r="Y119" s="48"/>
      <c r="Z119" s="41" t="str">
        <f t="shared" si="48"/>
        <v/>
      </c>
      <c r="AA119" s="41" t="str">
        <f t="shared" si="49"/>
        <v/>
      </c>
      <c r="AB119" s="41" t="str">
        <f t="shared" si="36"/>
        <v/>
      </c>
      <c r="AC119" s="41" t="str">
        <f t="shared" si="37"/>
        <v/>
      </c>
      <c r="AD119" s="48"/>
      <c r="AE119" s="41" t="str">
        <f t="shared" si="38"/>
        <v/>
      </c>
      <c r="AF119" s="41"/>
      <c r="AG119" s="41" t="str">
        <f t="shared" si="39"/>
        <v/>
      </c>
      <c r="AH119" s="41" t="str">
        <f t="shared" si="50"/>
        <v/>
      </c>
      <c r="AI119" s="41" t="str">
        <f t="shared" si="51"/>
        <v/>
      </c>
      <c r="AJ119" s="41">
        <f t="shared" si="40"/>
        <v>0</v>
      </c>
      <c r="AK119" s="41" t="str">
        <f t="shared" si="41"/>
        <v/>
      </c>
      <c r="AL119" s="41">
        <f t="shared" si="52"/>
        <v>0</v>
      </c>
      <c r="AM119" s="41">
        <f t="shared" si="42"/>
        <v>0</v>
      </c>
      <c r="AN119" s="41" t="str">
        <f t="shared" si="43"/>
        <v/>
      </c>
      <c r="AO119" s="41">
        <f t="shared" si="59"/>
        <v>0</v>
      </c>
      <c r="AP119" s="48"/>
      <c r="AQ119" s="48"/>
      <c r="AR119" s="48"/>
      <c r="AS119" s="48"/>
      <c r="AT119" s="51">
        <f t="shared" si="53"/>
        <v>115</v>
      </c>
      <c r="AU119" s="49" t="str">
        <f t="shared" si="54"/>
        <v/>
      </c>
      <c r="AV119" s="49" t="str">
        <f t="shared" si="55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0.56711456712952402</v>
      </c>
      <c r="C120">
        <f t="shared" si="61"/>
        <v>0.53308769310175252</v>
      </c>
      <c r="D120" s="60"/>
      <c r="E120" s="5"/>
      <c r="F120" s="5"/>
      <c r="I120" s="40"/>
      <c r="J120" s="41"/>
      <c r="K120" s="41" t="str">
        <f t="shared" si="56"/>
        <v/>
      </c>
      <c r="L120" s="42" t="str">
        <f t="shared" si="57"/>
        <v/>
      </c>
      <c r="M120" s="41" t="str">
        <f t="shared" si="58"/>
        <v/>
      </c>
      <c r="N120" s="43">
        <f t="shared" si="31"/>
        <v>0</v>
      </c>
      <c r="O120" s="44">
        <f t="shared" si="32"/>
        <v>0</v>
      </c>
      <c r="P120" s="41" t="str">
        <f t="shared" si="33"/>
        <v/>
      </c>
      <c r="Q120" s="41" t="str">
        <f t="shared" si="34"/>
        <v/>
      </c>
      <c r="R120" s="48"/>
      <c r="S120" s="44" t="str">
        <f>IF(I120&lt;&gt;"",_xlfn.XLOOKUP(D$4+I120,A$26:A$145,$C$26:$C$145,0) * 1000,"")</f>
        <v/>
      </c>
      <c r="T120" s="52">
        <f t="shared" si="60"/>
        <v>0</v>
      </c>
      <c r="U120" s="53" t="str">
        <f t="shared" si="45"/>
        <v/>
      </c>
      <c r="V120" s="53" t="str">
        <f t="shared" si="46"/>
        <v/>
      </c>
      <c r="W120" s="53" t="str">
        <f t="shared" si="47"/>
        <v/>
      </c>
      <c r="X120" s="46" t="str">
        <f t="shared" si="35"/>
        <v/>
      </c>
      <c r="Y120" s="48"/>
      <c r="Z120" s="41" t="str">
        <f t="shared" si="48"/>
        <v/>
      </c>
      <c r="AA120" s="41" t="str">
        <f t="shared" si="49"/>
        <v/>
      </c>
      <c r="AB120" s="41" t="str">
        <f t="shared" si="36"/>
        <v/>
      </c>
      <c r="AC120" s="41" t="str">
        <f t="shared" si="37"/>
        <v/>
      </c>
      <c r="AD120" s="48"/>
      <c r="AE120" s="41" t="str">
        <f t="shared" si="38"/>
        <v/>
      </c>
      <c r="AF120" s="41"/>
      <c r="AG120" s="41" t="str">
        <f t="shared" si="39"/>
        <v/>
      </c>
      <c r="AH120" s="41" t="str">
        <f t="shared" si="50"/>
        <v/>
      </c>
      <c r="AI120" s="41" t="str">
        <f t="shared" si="51"/>
        <v/>
      </c>
      <c r="AJ120" s="41">
        <f t="shared" si="40"/>
        <v>0</v>
      </c>
      <c r="AK120" s="41" t="str">
        <f t="shared" si="41"/>
        <v/>
      </c>
      <c r="AL120" s="41">
        <f t="shared" si="52"/>
        <v>0</v>
      </c>
      <c r="AM120" s="41">
        <f t="shared" si="42"/>
        <v>0</v>
      </c>
      <c r="AN120" s="41" t="str">
        <f t="shared" si="43"/>
        <v/>
      </c>
      <c r="AO120" s="41">
        <f t="shared" si="59"/>
        <v>0</v>
      </c>
      <c r="AP120" s="48"/>
      <c r="AQ120" s="48"/>
      <c r="AR120" s="48"/>
      <c r="AS120" s="48"/>
      <c r="AT120" s="51">
        <f t="shared" si="53"/>
        <v>116</v>
      </c>
      <c r="AU120" s="49" t="str">
        <f t="shared" si="54"/>
        <v/>
      </c>
      <c r="AV120" s="49" t="str">
        <f t="shared" si="55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0.59982700092168995</v>
      </c>
      <c r="C121">
        <f t="shared" si="61"/>
        <v>0.56383738086638857</v>
      </c>
      <c r="D121" s="60"/>
      <c r="E121" s="5"/>
      <c r="F121" s="5"/>
      <c r="I121" s="40"/>
      <c r="J121" s="41"/>
      <c r="K121" s="41" t="str">
        <f t="shared" si="56"/>
        <v/>
      </c>
      <c r="L121" s="42" t="str">
        <f t="shared" si="57"/>
        <v/>
      </c>
      <c r="M121" s="41" t="str">
        <f t="shared" si="58"/>
        <v/>
      </c>
      <c r="N121" s="43">
        <f t="shared" si="31"/>
        <v>0</v>
      </c>
      <c r="O121" s="44">
        <f t="shared" si="32"/>
        <v>0</v>
      </c>
      <c r="P121" s="41" t="str">
        <f t="shared" si="33"/>
        <v/>
      </c>
      <c r="Q121" s="41" t="str">
        <f t="shared" si="34"/>
        <v/>
      </c>
      <c r="R121" s="48"/>
      <c r="S121" s="44" t="str">
        <f>IF(I121&lt;&gt;"",_xlfn.XLOOKUP(D$4+I121,A$26:A$145,$C$26:$C$145,0) * 1000,"")</f>
        <v/>
      </c>
      <c r="T121" s="52">
        <f t="shared" si="60"/>
        <v>0</v>
      </c>
      <c r="U121" s="53" t="str">
        <f t="shared" si="45"/>
        <v/>
      </c>
      <c r="V121" s="53" t="str">
        <f t="shared" si="46"/>
        <v/>
      </c>
      <c r="W121" s="53" t="str">
        <f t="shared" si="47"/>
        <v/>
      </c>
      <c r="X121" s="46" t="str">
        <f t="shared" si="35"/>
        <v/>
      </c>
      <c r="Y121" s="48"/>
      <c r="Z121" s="41" t="str">
        <f t="shared" si="48"/>
        <v/>
      </c>
      <c r="AA121" s="41" t="str">
        <f t="shared" si="49"/>
        <v/>
      </c>
      <c r="AB121" s="41" t="str">
        <f t="shared" si="36"/>
        <v/>
      </c>
      <c r="AC121" s="41" t="str">
        <f t="shared" si="37"/>
        <v/>
      </c>
      <c r="AD121" s="48"/>
      <c r="AE121" s="41" t="str">
        <f t="shared" si="38"/>
        <v/>
      </c>
      <c r="AF121" s="41"/>
      <c r="AG121" s="41" t="str">
        <f t="shared" si="39"/>
        <v/>
      </c>
      <c r="AH121" s="41" t="str">
        <f t="shared" si="50"/>
        <v/>
      </c>
      <c r="AI121" s="41" t="str">
        <f t="shared" si="51"/>
        <v/>
      </c>
      <c r="AJ121" s="41">
        <f t="shared" si="40"/>
        <v>0</v>
      </c>
      <c r="AK121" s="41" t="str">
        <f t="shared" si="41"/>
        <v/>
      </c>
      <c r="AL121" s="41">
        <f t="shared" si="52"/>
        <v>0</v>
      </c>
      <c r="AM121" s="41">
        <f t="shared" si="42"/>
        <v>0</v>
      </c>
      <c r="AN121" s="41" t="str">
        <f t="shared" si="43"/>
        <v/>
      </c>
      <c r="AO121" s="41">
        <f t="shared" si="59"/>
        <v>0</v>
      </c>
      <c r="AP121" s="48"/>
      <c r="AQ121" s="48"/>
      <c r="AR121" s="48"/>
      <c r="AS121" s="48"/>
      <c r="AT121" s="51">
        <f t="shared" si="53"/>
        <v>117</v>
      </c>
      <c r="AU121" s="49" t="str">
        <f t="shared" si="54"/>
        <v/>
      </c>
      <c r="AV121" s="49" t="str">
        <f t="shared" si="55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0.63268999425440198</v>
      </c>
      <c r="C122">
        <f t="shared" si="61"/>
        <v>0.59472859459913785</v>
      </c>
      <c r="D122" s="60"/>
      <c r="E122" s="5"/>
      <c r="F122" s="5"/>
      <c r="I122" s="40"/>
      <c r="J122" s="41"/>
      <c r="K122" s="41" t="str">
        <f t="shared" si="56"/>
        <v/>
      </c>
      <c r="L122" s="42" t="str">
        <f t="shared" si="57"/>
        <v/>
      </c>
      <c r="M122" s="41" t="str">
        <f t="shared" si="58"/>
        <v/>
      </c>
      <c r="N122" s="43">
        <f t="shared" si="31"/>
        <v>0</v>
      </c>
      <c r="O122" s="44">
        <f t="shared" si="32"/>
        <v>0</v>
      </c>
      <c r="P122" s="41" t="str">
        <f t="shared" si="33"/>
        <v/>
      </c>
      <c r="Q122" s="41" t="str">
        <f t="shared" si="34"/>
        <v/>
      </c>
      <c r="R122" s="48"/>
      <c r="S122" s="44" t="str">
        <f>IF(I122&lt;&gt;"",_xlfn.XLOOKUP(D$4+I122,A$26:A$145,$C$26:$C$145,0) * 1000,"")</f>
        <v/>
      </c>
      <c r="T122" s="52">
        <f t="shared" si="60"/>
        <v>0</v>
      </c>
      <c r="U122" s="53" t="str">
        <f t="shared" si="45"/>
        <v/>
      </c>
      <c r="V122" s="53" t="str">
        <f t="shared" si="46"/>
        <v/>
      </c>
      <c r="W122" s="53" t="str">
        <f t="shared" si="47"/>
        <v/>
      </c>
      <c r="X122" s="46" t="str">
        <f t="shared" si="35"/>
        <v/>
      </c>
      <c r="Y122" s="48"/>
      <c r="Z122" s="41" t="str">
        <f t="shared" si="48"/>
        <v/>
      </c>
      <c r="AA122" s="41" t="str">
        <f t="shared" si="49"/>
        <v/>
      </c>
      <c r="AB122" s="41" t="str">
        <f t="shared" si="36"/>
        <v/>
      </c>
      <c r="AC122" s="41" t="str">
        <f t="shared" si="37"/>
        <v/>
      </c>
      <c r="AD122" s="48"/>
      <c r="AE122" s="41" t="str">
        <f t="shared" si="38"/>
        <v/>
      </c>
      <c r="AF122" s="41"/>
      <c r="AG122" s="41" t="str">
        <f t="shared" si="39"/>
        <v/>
      </c>
      <c r="AH122" s="41" t="str">
        <f t="shared" si="50"/>
        <v/>
      </c>
      <c r="AI122" s="41" t="str">
        <f t="shared" si="51"/>
        <v/>
      </c>
      <c r="AJ122" s="41">
        <f t="shared" si="40"/>
        <v>0</v>
      </c>
      <c r="AK122" s="41" t="str">
        <f t="shared" si="41"/>
        <v/>
      </c>
      <c r="AL122" s="41">
        <f t="shared" si="52"/>
        <v>0</v>
      </c>
      <c r="AM122" s="41">
        <f t="shared" si="42"/>
        <v>0</v>
      </c>
      <c r="AN122" s="41" t="str">
        <f t="shared" si="43"/>
        <v/>
      </c>
      <c r="AO122" s="41">
        <f t="shared" si="59"/>
        <v>0</v>
      </c>
      <c r="AP122" s="48"/>
      <c r="AQ122" s="48"/>
      <c r="AR122" s="48"/>
      <c r="AS122" s="48"/>
      <c r="AT122" s="51">
        <f t="shared" si="53"/>
        <v>118</v>
      </c>
      <c r="AU122" s="49" t="str">
        <f t="shared" si="54"/>
        <v/>
      </c>
      <c r="AV122" s="49" t="str">
        <f t="shared" si="55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0.66552986668913405</v>
      </c>
      <c r="C123">
        <f t="shared" si="61"/>
        <v>0.62559807468778594</v>
      </c>
      <c r="D123" s="60"/>
      <c r="E123" s="5"/>
      <c r="F123" s="5"/>
      <c r="I123" s="40"/>
      <c r="J123" s="41"/>
      <c r="K123" s="41" t="str">
        <f t="shared" si="56"/>
        <v/>
      </c>
      <c r="L123" s="42" t="str">
        <f t="shared" si="57"/>
        <v/>
      </c>
      <c r="M123" s="41" t="str">
        <f t="shared" si="58"/>
        <v/>
      </c>
      <c r="N123" s="43">
        <f t="shared" si="31"/>
        <v>0</v>
      </c>
      <c r="O123" s="44">
        <f t="shared" si="32"/>
        <v>0</v>
      </c>
      <c r="P123" s="41" t="str">
        <f t="shared" si="33"/>
        <v/>
      </c>
      <c r="Q123" s="41" t="str">
        <f t="shared" si="34"/>
        <v/>
      </c>
      <c r="R123" s="48"/>
      <c r="S123" s="44" t="str">
        <f>IF(I123&lt;&gt;"",_xlfn.XLOOKUP(D$4+I123,A$26:A$145,$C$26:$C$145,0) * 1000,"")</f>
        <v/>
      </c>
      <c r="T123" s="52">
        <f t="shared" si="60"/>
        <v>0</v>
      </c>
      <c r="U123" s="53" t="str">
        <f t="shared" si="45"/>
        <v/>
      </c>
      <c r="V123" s="53" t="str">
        <f t="shared" si="46"/>
        <v/>
      </c>
      <c r="W123" s="53" t="str">
        <f t="shared" si="47"/>
        <v/>
      </c>
      <c r="X123" s="46" t="str">
        <f t="shared" si="35"/>
        <v/>
      </c>
      <c r="Y123" s="48"/>
      <c r="Z123" s="41" t="str">
        <f t="shared" si="48"/>
        <v/>
      </c>
      <c r="AA123" s="41" t="str">
        <f t="shared" si="49"/>
        <v/>
      </c>
      <c r="AB123" s="41" t="str">
        <f t="shared" si="36"/>
        <v/>
      </c>
      <c r="AC123" s="41" t="str">
        <f t="shared" si="37"/>
        <v/>
      </c>
      <c r="AD123" s="48"/>
      <c r="AE123" s="41" t="str">
        <f t="shared" si="38"/>
        <v/>
      </c>
      <c r="AF123" s="41"/>
      <c r="AG123" s="41" t="str">
        <f t="shared" si="39"/>
        <v/>
      </c>
      <c r="AH123" s="41" t="str">
        <f t="shared" si="50"/>
        <v/>
      </c>
      <c r="AI123" s="41" t="str">
        <f t="shared" si="51"/>
        <v/>
      </c>
      <c r="AJ123" s="41">
        <f t="shared" si="40"/>
        <v>0</v>
      </c>
      <c r="AK123" s="41" t="str">
        <f t="shared" si="41"/>
        <v/>
      </c>
      <c r="AL123" s="41">
        <f t="shared" si="52"/>
        <v>0</v>
      </c>
      <c r="AM123" s="41">
        <f t="shared" si="42"/>
        <v>0</v>
      </c>
      <c r="AN123" s="41" t="str">
        <f t="shared" si="43"/>
        <v/>
      </c>
      <c r="AO123" s="41">
        <f t="shared" si="59"/>
        <v>0</v>
      </c>
      <c r="AP123" s="48"/>
      <c r="AQ123" s="48"/>
      <c r="AR123" s="48"/>
      <c r="AS123" s="48"/>
      <c r="AT123" s="51">
        <f t="shared" si="53"/>
        <v>119</v>
      </c>
      <c r="AU123" s="49" t="str">
        <f t="shared" si="54"/>
        <v/>
      </c>
      <c r="AV123" s="49" t="str">
        <f t="shared" si="55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0.69696977158840201</v>
      </c>
      <c r="C124">
        <f t="shared" si="61"/>
        <v>0.6551515852930978</v>
      </c>
      <c r="D124" s="60"/>
      <c r="E124" s="5"/>
      <c r="F124" s="5"/>
      <c r="I124" s="40"/>
      <c r="J124" s="41"/>
      <c r="K124" s="41" t="str">
        <f t="shared" si="56"/>
        <v/>
      </c>
      <c r="L124" s="42" t="str">
        <f t="shared" si="57"/>
        <v/>
      </c>
      <c r="M124" s="41" t="str">
        <f t="shared" si="58"/>
        <v/>
      </c>
      <c r="N124" s="43">
        <f>AX124</f>
        <v>0</v>
      </c>
      <c r="O124" s="44">
        <f>AW124</f>
        <v>0</v>
      </c>
      <c r="P124" s="41" t="str">
        <f t="shared" si="33"/>
        <v/>
      </c>
      <c r="Q124" s="41" t="str">
        <f t="shared" si="34"/>
        <v/>
      </c>
      <c r="R124" s="48"/>
      <c r="S124" s="44" t="str">
        <f>IF(I124&lt;&gt;"",_xlfn.XLOOKUP(D$4+I124,A$26:A$145,$C$26:$C$145,0) * 1000,"")</f>
        <v/>
      </c>
      <c r="T124" s="52">
        <f t="shared" si="60"/>
        <v>0</v>
      </c>
      <c r="U124" s="53" t="str">
        <f t="shared" si="45"/>
        <v/>
      </c>
      <c r="V124" s="53" t="str">
        <f t="shared" si="46"/>
        <v/>
      </c>
      <c r="W124" s="53" t="str">
        <f t="shared" si="47"/>
        <v/>
      </c>
      <c r="X124" s="46" t="str">
        <f t="shared" si="35"/>
        <v/>
      </c>
      <c r="Y124" s="48"/>
      <c r="Z124" s="41" t="str">
        <f t="shared" si="48"/>
        <v/>
      </c>
      <c r="AA124" s="41" t="str">
        <f t="shared" si="49"/>
        <v/>
      </c>
      <c r="AB124" s="41" t="str">
        <f t="shared" si="36"/>
        <v/>
      </c>
      <c r="AC124" s="41" t="str">
        <f t="shared" si="37"/>
        <v/>
      </c>
      <c r="AD124" s="48"/>
      <c r="AE124" s="41" t="str">
        <f t="shared" si="38"/>
        <v/>
      </c>
      <c r="AF124" s="41"/>
      <c r="AG124" s="41" t="str">
        <f t="shared" si="39"/>
        <v/>
      </c>
      <c r="AH124" s="41" t="str">
        <f t="shared" si="50"/>
        <v/>
      </c>
      <c r="AI124" s="41" t="str">
        <f t="shared" si="51"/>
        <v/>
      </c>
      <c r="AJ124" s="41">
        <f t="shared" si="40"/>
        <v>0</v>
      </c>
      <c r="AK124" s="41" t="str">
        <f t="shared" si="41"/>
        <v/>
      </c>
      <c r="AL124" s="41">
        <f t="shared" si="52"/>
        <v>0</v>
      </c>
      <c r="AM124" s="41">
        <f t="shared" si="42"/>
        <v>0</v>
      </c>
      <c r="AN124" s="41" t="str">
        <f t="shared" si="43"/>
        <v/>
      </c>
      <c r="AO124" s="41">
        <f t="shared" si="59"/>
        <v>0</v>
      </c>
      <c r="AP124" s="48"/>
      <c r="AQ124" s="48"/>
      <c r="AR124" s="48"/>
      <c r="AS124" s="48"/>
      <c r="AT124" s="51">
        <f t="shared" si="53"/>
        <v>120</v>
      </c>
      <c r="AU124" s="49" t="str">
        <f t="shared" si="54"/>
        <v/>
      </c>
      <c r="AV124" s="49" t="str">
        <f t="shared" si="55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0.72772344648315601</v>
      </c>
      <c r="C125">
        <f t="shared" si="61"/>
        <v>0.68406003969416662</v>
      </c>
      <c r="D125" s="60"/>
      <c r="E125" s="5"/>
      <c r="F125" s="5"/>
    </row>
    <row r="126" spans="1:50" x14ac:dyDescent="0.2">
      <c r="A126">
        <v>101</v>
      </c>
      <c r="B126">
        <v>0.75657738764420501</v>
      </c>
      <c r="C126">
        <f t="shared" si="61"/>
        <v>0.71118274438555262</v>
      </c>
      <c r="D126" s="60"/>
      <c r="E126" s="5"/>
      <c r="F126" s="5"/>
      <c r="K126" s="11"/>
      <c r="AO126" t="s">
        <v>78</v>
      </c>
    </row>
    <row r="127" spans="1:50" x14ac:dyDescent="0.2">
      <c r="A127">
        <v>102</v>
      </c>
      <c r="B127">
        <v>0.78296313709159504</v>
      </c>
      <c r="C127">
        <f t="shared" si="61"/>
        <v>0.73598534886609934</v>
      </c>
      <c r="D127" s="60"/>
      <c r="E127" s="5"/>
      <c r="F127" s="5"/>
      <c r="S127" s="58"/>
      <c r="AO127" s="65"/>
    </row>
    <row r="128" spans="1:50" x14ac:dyDescent="0.2">
      <c r="A128">
        <v>103</v>
      </c>
      <c r="B128">
        <v>0.80799451765353503</v>
      </c>
      <c r="C128">
        <f t="shared" si="61"/>
        <v>0.75951484659432289</v>
      </c>
      <c r="D128" s="60"/>
      <c r="E128" s="5"/>
      <c r="F128" s="5"/>
    </row>
    <row r="129" spans="1:41" ht="15" x14ac:dyDescent="0.25">
      <c r="A129">
        <v>104</v>
      </c>
      <c r="B129">
        <v>0.83147425398142105</v>
      </c>
      <c r="C129">
        <f t="shared" si="61"/>
        <v>0.78158579874253575</v>
      </c>
      <c r="D129" s="60"/>
      <c r="E129" s="5"/>
      <c r="F129" s="5"/>
      <c r="AD129" s="56" t="s">
        <v>56</v>
      </c>
      <c r="AE129" s="57">
        <f t="shared" ref="AE129:AO129" si="62">SUM(AE4:AE124)</f>
        <v>2179524.7762407036</v>
      </c>
      <c r="AF129" s="57">
        <f t="shared" si="62"/>
        <v>-653857.43287221109</v>
      </c>
      <c r="AG129" s="57">
        <f t="shared" si="62"/>
        <v>-109438.90778067199</v>
      </c>
      <c r="AH129" s="57">
        <f t="shared" si="62"/>
        <v>-2000000</v>
      </c>
      <c r="AI129" s="57">
        <f t="shared" si="62"/>
        <v>0</v>
      </c>
      <c r="AJ129" s="57">
        <f t="shared" si="62"/>
        <v>-583771.56441217882</v>
      </c>
      <c r="AK129" s="57">
        <f t="shared" si="62"/>
        <v>8.692910117548402E-14</v>
      </c>
      <c r="AL129" s="57">
        <f t="shared" si="62"/>
        <v>364652.26563966303</v>
      </c>
      <c r="AM129" s="57">
        <f t="shared" si="62"/>
        <v>-219119.29877251611</v>
      </c>
      <c r="AN129" s="57">
        <f t="shared" si="62"/>
        <v>-9.3054215740360328E-17</v>
      </c>
      <c r="AO129" s="57">
        <f t="shared" si="62"/>
        <v>-219119.29877251608</v>
      </c>
    </row>
    <row r="130" spans="1:41" ht="15" x14ac:dyDescent="0.25">
      <c r="A130">
        <v>105</v>
      </c>
      <c r="B130">
        <v>0.85324229832306997</v>
      </c>
      <c r="C130">
        <f t="shared" si="61"/>
        <v>0.80204776042368575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0.87319331843439496</v>
      </c>
      <c r="C131">
        <f t="shared" si="61"/>
        <v>0.82080171932833124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N131" si="63">AE4+NPV($D$6,AE5:AE124)</f>
        <v>2179524.7762407036</v>
      </c>
      <c r="AF131" s="57">
        <f t="shared" si="63"/>
        <v>-653857.43287221109</v>
      </c>
      <c r="AG131" s="57">
        <f t="shared" si="63"/>
        <v>-109367.24737108045</v>
      </c>
      <c r="AH131" s="57">
        <f t="shared" si="63"/>
        <v>-1263572.5935401435</v>
      </c>
      <c r="AI131" s="57">
        <f t="shared" si="63"/>
        <v>0</v>
      </c>
      <c r="AJ131" s="57">
        <f t="shared" si="63"/>
        <v>152727.50245726807</v>
      </c>
      <c r="AK131" s="57">
        <f t="shared" si="63"/>
        <v>-234226.4556773082</v>
      </c>
      <c r="AL131" s="57">
        <f t="shared" si="63"/>
        <v>241590.72974190654</v>
      </c>
      <c r="AM131" s="57">
        <f t="shared" si="63"/>
        <v>160091.77652186598</v>
      </c>
      <c r="AN131" s="57">
        <f t="shared" si="63"/>
        <v>-7364.2740645985559</v>
      </c>
      <c r="AO131" s="57">
        <f>AO4+NPV($D$6,AO5:AO124)</f>
        <v>152727.5024572676</v>
      </c>
    </row>
    <row r="132" spans="1:41" ht="15" x14ac:dyDescent="0.25">
      <c r="A132">
        <v>107</v>
      </c>
      <c r="B132">
        <v>0.89139931411406503</v>
      </c>
      <c r="C132">
        <f t="shared" si="61"/>
        <v>0.83791535526722105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0.90794174522014204</v>
      </c>
      <c r="C133">
        <f t="shared" si="61"/>
        <v>0.85346524050693351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 t="shared" ref="AE133:AN133" si="64">AE4+NPV($D$7,AE5:AE124)</f>
        <v>2179524.7762407036</v>
      </c>
      <c r="AF133" s="57">
        <f t="shared" si="64"/>
        <v>-653857.43287221109</v>
      </c>
      <c r="AG133" s="57">
        <f t="shared" si="64"/>
        <v>-109382.14033024515</v>
      </c>
      <c r="AH133" s="57">
        <f t="shared" si="64"/>
        <v>-1407087.2827238322</v>
      </c>
      <c r="AI133" s="57">
        <f t="shared" si="64"/>
        <v>0</v>
      </c>
      <c r="AJ133" s="57">
        <f t="shared" si="64"/>
        <v>9197.9203144155908</v>
      </c>
      <c r="AK133" s="57">
        <f t="shared" si="64"/>
        <v>-193738.8026635047</v>
      </c>
      <c r="AL133" s="57">
        <f t="shared" si="64"/>
        <v>266223.90644835529</v>
      </c>
      <c r="AM133" s="57">
        <f t="shared" si="64"/>
        <v>81683.024099265458</v>
      </c>
      <c r="AN133" s="57">
        <f t="shared" si="64"/>
        <v>-5929.1271727616768</v>
      </c>
      <c r="AO133" s="57">
        <f>AO4+NPV($D$7,AO5:AO124)</f>
        <v>75753.896926503628</v>
      </c>
    </row>
    <row r="134" spans="1:41" x14ac:dyDescent="0.2">
      <c r="A134">
        <v>109</v>
      </c>
      <c r="B134">
        <v>0.922786250982776</v>
      </c>
      <c r="C134">
        <f t="shared" si="61"/>
        <v>0.8674190759238094</v>
      </c>
      <c r="D134" s="60"/>
      <c r="E134" s="5"/>
      <c r="F134" s="5"/>
    </row>
    <row r="135" spans="1:41" x14ac:dyDescent="0.2">
      <c r="A135">
        <v>110</v>
      </c>
      <c r="B135">
        <v>0.93593964830188903</v>
      </c>
      <c r="C135">
        <f t="shared" si="61"/>
        <v>0.8797832694037756</v>
      </c>
      <c r="D135" s="60"/>
      <c r="E135" s="5"/>
      <c r="F135" s="5"/>
    </row>
    <row r="136" spans="1:41" x14ac:dyDescent="0.2">
      <c r="A136">
        <v>111</v>
      </c>
      <c r="B136">
        <v>0.94928749946526902</v>
      </c>
      <c r="C136">
        <f t="shared" si="61"/>
        <v>0.89233024949735285</v>
      </c>
      <c r="D136" s="60"/>
      <c r="E136" s="5"/>
      <c r="F136" s="5"/>
    </row>
    <row r="137" spans="1:41" x14ac:dyDescent="0.2">
      <c r="A137">
        <v>112</v>
      </c>
      <c r="B137">
        <v>0.96064062269764305</v>
      </c>
      <c r="C137">
        <f t="shared" si="61"/>
        <v>0.90300218533578447</v>
      </c>
      <c r="D137" s="60"/>
      <c r="E137" s="5"/>
      <c r="F137" s="5"/>
    </row>
    <row r="138" spans="1:41" x14ac:dyDescent="0.2">
      <c r="A138">
        <v>113</v>
      </c>
      <c r="B138">
        <v>0.97015319337886097</v>
      </c>
      <c r="C138">
        <f t="shared" si="61"/>
        <v>0.91194400177612922</v>
      </c>
      <c r="D138" s="60"/>
      <c r="E138" s="5"/>
      <c r="F138" s="5"/>
    </row>
    <row r="139" spans="1:41" x14ac:dyDescent="0.2">
      <c r="A139">
        <v>114</v>
      </c>
      <c r="B139">
        <v>0.977985086405596</v>
      </c>
      <c r="C139">
        <f t="shared" si="61"/>
        <v>0.91930598122126017</v>
      </c>
      <c r="D139" s="60"/>
      <c r="E139" s="5"/>
      <c r="F139" s="5"/>
    </row>
    <row r="140" spans="1:41" x14ac:dyDescent="0.2">
      <c r="A140">
        <v>115</v>
      </c>
      <c r="B140">
        <v>0.98430001473502005</v>
      </c>
      <c r="C140">
        <f t="shared" si="61"/>
        <v>0.92524201385091875</v>
      </c>
      <c r="D140" s="60"/>
      <c r="E140" s="5"/>
      <c r="F140" s="5"/>
    </row>
    <row r="141" spans="1:41" x14ac:dyDescent="0.2">
      <c r="A141">
        <v>116</v>
      </c>
      <c r="B141">
        <v>0.98928842282960705</v>
      </c>
      <c r="C141">
        <f t="shared" si="61"/>
        <v>0.92993111745983059</v>
      </c>
      <c r="D141" s="60"/>
      <c r="E141" s="5"/>
      <c r="F141" s="5"/>
    </row>
    <row r="142" spans="1:41" x14ac:dyDescent="0.2">
      <c r="A142">
        <v>117</v>
      </c>
      <c r="B142">
        <v>0.99312041327165401</v>
      </c>
      <c r="C142">
        <f t="shared" si="61"/>
        <v>0.93353318847535471</v>
      </c>
      <c r="D142" s="60"/>
      <c r="E142" s="5"/>
      <c r="F142" s="5"/>
    </row>
    <row r="143" spans="1:41" x14ac:dyDescent="0.2">
      <c r="A143">
        <v>118</v>
      </c>
      <c r="B143">
        <v>0.99593422858952796</v>
      </c>
      <c r="C143">
        <f t="shared" si="61"/>
        <v>0.93617817487415622</v>
      </c>
      <c r="D143" s="60"/>
      <c r="E143" s="5"/>
      <c r="F143" s="5"/>
    </row>
    <row r="144" spans="1:41" x14ac:dyDescent="0.2">
      <c r="A144">
        <v>119</v>
      </c>
      <c r="B144">
        <v>0.99787281936828698</v>
      </c>
      <c r="C144">
        <f t="shared" si="61"/>
        <v>0.93800045020618972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297CF-C966-4359-A4B7-725F7C7E77A8}">
  <sheetPr codeName="Sheet15"/>
  <dimension ref="A1:BB145"/>
  <sheetViews>
    <sheetView workbookViewId="0">
      <pane ySplit="3" topLeftCell="A27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4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AU$5+NPV($AT1,AU$6:AU$79)</f>
        <v>13.46552905570724</v>
      </c>
      <c r="AV1" s="35">
        <f>NPV($AT1,AV$5:AV$79)</f>
        <v>0.48209503631895201</v>
      </c>
      <c r="AW1" s="34">
        <f>0.85*AV1*1000/AU1</f>
        <v>30.431836667971645</v>
      </c>
    </row>
    <row r="2" spans="1:54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AU$5+NPV($AT2,AU$6:AU$79)</f>
        <v>11.456265400984515</v>
      </c>
      <c r="AV2" s="35">
        <f>NPV($AT2,AV$5:AV$79)</f>
        <v>0.35153214711408326</v>
      </c>
      <c r="AW2" s="34">
        <f>1.05*AV2*1000/(AU2-1)</f>
        <v>35.30024729814469</v>
      </c>
    </row>
    <row r="3" spans="1:54" ht="38.25" x14ac:dyDescent="0.2">
      <c r="G3" t="s">
        <v>16</v>
      </c>
      <c r="H3" s="31">
        <v>1674447.2565342933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4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59">_xlfn.SEQUENCE(MAX(A26:A145)-D4+1,1,0,1)</f>
        <v>0</v>
      </c>
      <c r="J4" s="41">
        <f>$H$3</f>
        <v>1674447.2565342933</v>
      </c>
      <c r="K4" s="41">
        <f>J4*C16</f>
        <v>502334.17696028796</v>
      </c>
      <c r="L4" s="42">
        <f>C20 +F18*J4</f>
        <v>83922.362826714671</v>
      </c>
      <c r="M4" s="41">
        <f t="shared" ref="M4:M5" si="0">$E$11</f>
        <v>2000000</v>
      </c>
      <c r="N4" s="43">
        <f>AX4</f>
        <v>0</v>
      </c>
      <c r="O4" s="44">
        <f>AW4</f>
        <v>72.313999999999993</v>
      </c>
      <c r="P4" s="41">
        <f>IF(I4&lt;&gt;"", M4*N4/1000, "")</f>
        <v>0</v>
      </c>
      <c r="Q4" s="41">
        <f>IF(I4&lt;&gt;"", M4*O4/1000, "")</f>
        <v>144628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144628</v>
      </c>
      <c r="AC4" s="41">
        <f>IF(I4&lt;&gt;"", $H$14*M4*X4, "")</f>
        <v>20000</v>
      </c>
      <c r="AD4" s="47"/>
      <c r="AE4" s="41">
        <f>IF(I4&lt;&gt;"", $X4*J4, "")</f>
        <v>1674447.2565342933</v>
      </c>
      <c r="AF4" s="41">
        <f>IF(I4&lt;&gt;"", -$X4*K4, "")</f>
        <v>-502334.17696028796</v>
      </c>
      <c r="AG4" s="41">
        <f>IF(I4&lt;&gt;"", -$X4*L4, "")</f>
        <v>-83922.362826714671</v>
      </c>
      <c r="AH4" s="41"/>
      <c r="AI4" s="41"/>
      <c r="AJ4" s="41">
        <f>SUM(AE4:AI4)</f>
        <v>1088190.7167472905</v>
      </c>
      <c r="AK4" s="41">
        <f>IF(I4&lt;&gt;"", Z4-AB4, "")</f>
        <v>-144628</v>
      </c>
      <c r="AL4" s="41"/>
      <c r="AM4" s="41">
        <f>SUM(AJ4:AL4)</f>
        <v>943562.71674729045</v>
      </c>
      <c r="AN4" s="41">
        <f>IF(I4&lt;&gt;"", AA4-AC4, "")</f>
        <v>-20000</v>
      </c>
      <c r="AO4" s="41">
        <f>SUM(AM4:AN4)</f>
        <v>923562.71674729045</v>
      </c>
      <c r="AP4" s="45"/>
      <c r="AQ4" s="41">
        <f>AM133</f>
        <v>50233.42413218494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72.313999999999993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4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98.465999999999994</v>
      </c>
      <c r="P5" s="41">
        <f t="shared" ref="P5:P68" si="3">IF(I5&lt;&gt;"", M5*N5/1000, "")</f>
        <v>0</v>
      </c>
      <c r="Q5" s="41">
        <f t="shared" ref="Q5:Q68" si="4">IF(I5&lt;&gt;"", M5*O5/1000, "")</f>
        <v>196932</v>
      </c>
      <c r="R5" s="44"/>
      <c r="S5" s="44">
        <f>IF(I5&lt;&gt;"",_xlfn.XLOOKUP($D$4+I5,$A$26:$A$145,$B$26:$B$145,0) * 1000,"")</f>
        <v>9.3068111007286198</v>
      </c>
      <c r="T5" s="52">
        <f>C10</f>
        <v>0</v>
      </c>
      <c r="U5" s="53">
        <f>IF(I5&lt;&gt;"", X4, "")</f>
        <v>1</v>
      </c>
      <c r="V5" s="53">
        <f>IF(I5&lt;&gt;"", S5*U5/1000, "")</f>
        <v>9.3068111007286198E-3</v>
      </c>
      <c r="W5" s="53">
        <f>IF(I5&lt;&gt;"", MIN(T5*U5,U5-V5), "")</f>
        <v>0</v>
      </c>
      <c r="X5" s="46">
        <f t="shared" ref="X5:X68" si="5">IF(I5&lt;&gt;"", U5-SUM(V5:W5), "")</f>
        <v>0.99069318889927138</v>
      </c>
      <c r="Y5" s="54"/>
      <c r="Z5" s="41">
        <f>IF(I5&lt;&gt;"",AB4,"")</f>
        <v>144628</v>
      </c>
      <c r="AA5" s="41">
        <f>IF(I5&lt;&gt;"", AC4, "")</f>
        <v>20000</v>
      </c>
      <c r="AB5" s="41">
        <f t="shared" ref="AB5:AB68" si="6">IF(I5&lt;&gt;"", Q5*X5, "" )</f>
        <v>195099.19107631131</v>
      </c>
      <c r="AC5" s="41">
        <f t="shared" ref="AC5:AC68" si="7">IF(I5&lt;&gt;"", $H$14*M5*X5, "")</f>
        <v>19813.863777985429</v>
      </c>
      <c r="AD5" s="54"/>
      <c r="AE5" s="41">
        <f t="shared" ref="AE5:AE68" si="8">IF(I5&lt;&gt;"", $X5*J5, "")</f>
        <v>0</v>
      </c>
      <c r="AF5" s="41"/>
      <c r="AG5" s="41">
        <f t="shared" ref="AG5:AG68" si="9">IF(I5&lt;&gt;"", -$X5*L5, "")</f>
        <v>0</v>
      </c>
      <c r="AH5" s="41">
        <f>IF(I5&lt;&gt;"",-M5*V5,"")</f>
        <v>-18613.622201457241</v>
      </c>
      <c r="AI5" s="41">
        <f>IF(I5 &lt;&gt; "", -P5*W5, "")</f>
        <v>0</v>
      </c>
      <c r="AJ5" s="41">
        <f t="shared" ref="AJ5:AJ68" si="10">SUM(AE5:AI5)</f>
        <v>-18613.622201457241</v>
      </c>
      <c r="AK5" s="41">
        <f t="shared" ref="AK5:AK68" si="11">IF(I5&lt;&gt;"", Z5-AB5, "")</f>
        <v>-50471.191076311312</v>
      </c>
      <c r="AL5" s="41">
        <f>$D$6*SUM(Z5:AA5,AE5:AF5)</f>
        <v>6585.12</v>
      </c>
      <c r="AM5" s="41">
        <f t="shared" ref="AM5:AM68" si="12">SUM(AJ5:AL5)</f>
        <v>-62499.693277768551</v>
      </c>
      <c r="AN5" s="41">
        <f t="shared" ref="AN5:AN68" si="13">IF(I5&lt;&gt;"", AA5-AC5, "")</f>
        <v>186.1362220145711</v>
      </c>
      <c r="AO5" s="41">
        <f t="shared" ref="AO5:AO68" si="14">SUM(AM5:AN5)</f>
        <v>-62313.557055753976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9.3068111007286198E-3</v>
      </c>
      <c r="AW5" s="50">
        <f xml:space="preserve"> IF(ISERROR(ROUND((1000*NPV($AT$1,$AV6:$AV$124)-$AW$1*($AU6+NPV($AT$1,$AU7:$AU$124)))/AU6,3)), 0, ROUND((1000*NPV($AT$1,$AV6:$AV$124)-$AW$1*($AU6+NPV($AT$1,$AU7:$AU$124)))/AU6,3))</f>
        <v>98.465999999999994</v>
      </c>
      <c r="AX5" s="50">
        <f>IF(ISERROR(ROUND(MAX(0,1000*NPV($AT$2,$AV6:$AV$124)-$AW$2*($AU6+NPV($AT$2,$AU7:$AU$124)))/AU6,3)), 0, ROUND(MAX(0,1000*NPV($AT$2,$AV6:$AV$124)-$AW$2*($AU6+NPV($AT$2,$AU7:$AU$124)))/AU6,3))</f>
        <v>0</v>
      </c>
      <c r="AY5" s="75" t="s">
        <v>79</v>
      </c>
      <c r="AZ5" s="11">
        <f>AM133</f>
        <v>50233.42413218494</v>
      </c>
    </row>
    <row r="6" spans="1:54" ht="15" x14ac:dyDescent="0.25">
      <c r="A6" s="12" t="s">
        <v>14</v>
      </c>
      <c r="B6" s="12"/>
      <c r="C6" s="12"/>
      <c r="D6" s="16">
        <v>0.04</v>
      </c>
      <c r="E6" s="6"/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125.13200000000001</v>
      </c>
      <c r="P6" s="41">
        <f t="shared" si="3"/>
        <v>0</v>
      </c>
      <c r="Q6" s="41">
        <f t="shared" si="4"/>
        <v>250264</v>
      </c>
      <c r="R6" s="44"/>
      <c r="S6" s="44">
        <f>IF(I6&lt;&gt;"",_xlfn.XLOOKUP($D$4+I6,$A$26:$A$145,$B$26:$B$145,0) * 1000,"")</f>
        <v>10.196837227823099</v>
      </c>
      <c r="T6" s="52">
        <f>$C$11</f>
        <v>0</v>
      </c>
      <c r="U6" s="53">
        <f t="shared" ref="U6:U69" si="15">IF(I6&lt;&gt;"", X5, "")</f>
        <v>0.99069318889927138</v>
      </c>
      <c r="V6" s="53">
        <f t="shared" ref="V6:V69" si="16">IF(I6&lt;&gt;"", S6*U6/1000, "")</f>
        <v>1.0101937189918872E-2</v>
      </c>
      <c r="W6" s="53">
        <f t="shared" ref="W6:W69" si="17">IF(I6&lt;&gt;"", MIN(T6*U6,U6-V6), "")</f>
        <v>0</v>
      </c>
      <c r="X6" s="46">
        <f t="shared" si="5"/>
        <v>0.98059125170935246</v>
      </c>
      <c r="Y6" s="54"/>
      <c r="Z6" s="41">
        <f t="shared" ref="Z6:Z69" si="18">IF(I6&lt;&gt;"",AB5,"")</f>
        <v>195099.19107631131</v>
      </c>
      <c r="AA6" s="41">
        <f t="shared" ref="AA6:AA69" si="19">IF(I6&lt;&gt;"", AC5, "")</f>
        <v>19813.863777985429</v>
      </c>
      <c r="AB6" s="41">
        <f t="shared" si="6"/>
        <v>245406.68901778938</v>
      </c>
      <c r="AC6" s="41">
        <f t="shared" si="7"/>
        <v>19611.825034187048</v>
      </c>
      <c r="AD6" s="54"/>
      <c r="AE6" s="41">
        <f t="shared" si="8"/>
        <v>0</v>
      </c>
      <c r="AF6" s="41"/>
      <c r="AG6" s="41">
        <f>IF(I6&lt;&gt;"", -$X6*L6, "")</f>
        <v>-24.514781292733812</v>
      </c>
      <c r="AH6" s="41">
        <f t="shared" ref="AH6:AH69" si="20">IF(I6&lt;&gt;"",-M6*V6,"")</f>
        <v>-20203.874379837744</v>
      </c>
      <c r="AI6" s="41">
        <f t="shared" ref="AI6:AI69" si="21">IF(I6 &lt;&gt; "", -P6*W6, "")</f>
        <v>0</v>
      </c>
      <c r="AJ6" s="41">
        <f t="shared" si="10"/>
        <v>-20228.389161130479</v>
      </c>
      <c r="AK6" s="41">
        <f t="shared" si="11"/>
        <v>-50307.497941478068</v>
      </c>
      <c r="AL6" s="41">
        <f t="shared" ref="AL6:AL69" si="22">$D$6*SUM(Z6:AA6,AE6:AF6)</f>
        <v>8596.5221941718701</v>
      </c>
      <c r="AM6" s="41">
        <f t="shared" si="12"/>
        <v>-61939.36490843667</v>
      </c>
      <c r="AN6" s="41">
        <f t="shared" si="13"/>
        <v>202.03874379838089</v>
      </c>
      <c r="AO6" s="41">
        <f t="shared" si="14"/>
        <v>-61737.326164638289</v>
      </c>
      <c r="AP6" s="45"/>
      <c r="AQ6" s="41">
        <f>AO133</f>
        <v>41660.284802294453</v>
      </c>
      <c r="AR6" s="48"/>
      <c r="AS6" s="48"/>
      <c r="AT6" s="51">
        <f t="shared" ref="AT6:AT69" si="23">AT5+1</f>
        <v>2</v>
      </c>
      <c r="AU6" s="49">
        <f t="shared" ref="AU6:AU69" si="24">IF(I6&lt;&gt;"", AU5-AV5, "")</f>
        <v>0.99069318889927138</v>
      </c>
      <c r="AV6" s="49">
        <f t="shared" ref="AV6:AV69" si="25">IF(I6&lt;&gt;"", S6*AU6/1000, "")</f>
        <v>1.0101937189918872E-2</v>
      </c>
      <c r="AW6" s="50">
        <f xml:space="preserve"> IF(ISERROR(ROUND((1000*NPV($AT$1,$AV7:$AV$124)-$AW$1*($AU7+NPV($AT$1,$AU8:$AU$124)))/AU7,3)), 0, ROUND((1000*NPV($AT$1,$AV7:$AV$124)-$AW$1*($AU7+NPV($AT$1,$AU8:$AU$124)))/AU7,3))</f>
        <v>125.13200000000001</v>
      </c>
      <c r="AX6" s="50">
        <f>IF(ISERROR(ROUND(MAX(0,1000*NPV($AT$2,$AV7:$AV$124)-$AW$2*($AU7+NPV($AT$2,$AU8:$AU$124)))/AU7,3)), 0, ROUND(MAX(0,1000*NPV($AT$2,$AV7:$AV$124)-$AW$2*($AU7+NPV($AT$2,$AU8:$AU$124)))/AU7,3))</f>
        <v>0</v>
      </c>
      <c r="AY6" s="75" t="s">
        <v>80</v>
      </c>
    </row>
    <row r="7" spans="1:54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6">IF(J7&lt;&gt;"",J7*$C$17,"")</f>
        <v/>
      </c>
      <c r="L7" s="42">
        <f t="shared" ref="L7:L70" si="27">IF(I7&lt;&gt;"",$C$21,"")</f>
        <v>25</v>
      </c>
      <c r="M7" s="41">
        <f t="shared" ref="M7:M70" si="28">IF(I7&lt;&gt;"",$E$11,"")</f>
        <v>2000000</v>
      </c>
      <c r="N7" s="43">
        <f t="shared" si="1"/>
        <v>23.678000000000001</v>
      </c>
      <c r="O7" s="44">
        <f t="shared" si="2"/>
        <v>152.34100000000001</v>
      </c>
      <c r="P7" s="41">
        <f t="shared" si="3"/>
        <v>47356</v>
      </c>
      <c r="Q7" s="41">
        <f t="shared" si="4"/>
        <v>304682</v>
      </c>
      <c r="R7" s="44"/>
      <c r="S7" s="44">
        <f>IF(I7&lt;&gt;"",_xlfn.XLOOKUP($D$4+I7,$A$26:$A$145,$B$26:$B$145,0) * 1000,"")</f>
        <v>11.143882174944201</v>
      </c>
      <c r="T7" s="52">
        <f>$C$11</f>
        <v>0</v>
      </c>
      <c r="U7" s="53">
        <f t="shared" si="15"/>
        <v>0.98059125170935246</v>
      </c>
      <c r="V7" s="53">
        <f t="shared" si="16"/>
        <v>1.0927593370830076E-2</v>
      </c>
      <c r="W7" s="53">
        <f t="shared" si="17"/>
        <v>0</v>
      </c>
      <c r="X7" s="46">
        <f t="shared" si="5"/>
        <v>0.96966365833852242</v>
      </c>
      <c r="Y7" s="54"/>
      <c r="Z7" s="41">
        <f t="shared" si="18"/>
        <v>245406.68901778938</v>
      </c>
      <c r="AA7" s="41">
        <f t="shared" si="19"/>
        <v>19611.825034187048</v>
      </c>
      <c r="AB7" s="41">
        <f t="shared" si="6"/>
        <v>295439.06274989771</v>
      </c>
      <c r="AC7" s="41">
        <f t="shared" si="7"/>
        <v>19393.273166770447</v>
      </c>
      <c r="AD7" s="54"/>
      <c r="AE7" s="41">
        <f t="shared" si="8"/>
        <v>0</v>
      </c>
      <c r="AF7" s="41"/>
      <c r="AG7" s="41">
        <f t="shared" si="9"/>
        <v>-24.241591458463059</v>
      </c>
      <c r="AH7" s="41">
        <f t="shared" si="20"/>
        <v>-21855.186741660153</v>
      </c>
      <c r="AI7" s="41">
        <f t="shared" si="21"/>
        <v>0</v>
      </c>
      <c r="AJ7" s="41">
        <f t="shared" si="10"/>
        <v>-21879.428333118616</v>
      </c>
      <c r="AK7" s="41">
        <f t="shared" si="11"/>
        <v>-50032.373732108332</v>
      </c>
      <c r="AL7" s="41">
        <f t="shared" si="22"/>
        <v>10600.740562079058</v>
      </c>
      <c r="AM7" s="41">
        <f t="shared" si="12"/>
        <v>-61311.061503147888</v>
      </c>
      <c r="AN7" s="41">
        <f t="shared" si="13"/>
        <v>218.55186741660145</v>
      </c>
      <c r="AO7" s="41">
        <f>SUM(AM7:AN7)</f>
        <v>-61092.509635731287</v>
      </c>
      <c r="AP7" s="45"/>
      <c r="AQ7" s="45"/>
      <c r="AR7" s="48"/>
      <c r="AS7" s="48"/>
      <c r="AT7" s="51">
        <f t="shared" si="23"/>
        <v>3</v>
      </c>
      <c r="AU7" s="49">
        <f t="shared" si="24"/>
        <v>0.98059125170935246</v>
      </c>
      <c r="AV7" s="49">
        <f t="shared" si="25"/>
        <v>1.0927593370830076E-2</v>
      </c>
      <c r="AW7" s="50">
        <f xml:space="preserve"> IF(ISERROR(ROUND((1000*NPV($AT$1,$AV8:$AV$124)-$AW$1*($AU8+NPV($AT$1,$AU9:$AU$124)))/AU8,3)), 0, ROUND((1000*NPV($AT$1,$AV8:$AV$124)-$AW$1*($AU8+NPV($AT$1,$AU9:$AU$124)))/AU8,3))</f>
        <v>152.34100000000001</v>
      </c>
      <c r="AX7" s="50">
        <f>IF(ISERROR(ROUND(MAX(0,1000*NPV($AT$2,$AV8:$AV$124)-$AW$2*($AU8+NPV($AT$2,$AU9:$AU$124)))/AU8,3)), 0, ROUND(MAX(0,1000*NPV($AT$2,$AV8:$AV$124)-$AW$2*($AU8+NPV($AT$2,$AU9:$AU$124)))/AU8,3))</f>
        <v>23.678000000000001</v>
      </c>
      <c r="AY7" s="75" t="s">
        <v>81</v>
      </c>
      <c r="AZ7" s="65">
        <f>AZ5/AE133</f>
        <v>3.0000003843749699E-2</v>
      </c>
      <c r="BB7" s="75" t="s">
        <v>82</v>
      </c>
    </row>
    <row r="8" spans="1:54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6"/>
        <v/>
      </c>
      <c r="L8" s="42">
        <f t="shared" si="27"/>
        <v>25</v>
      </c>
      <c r="M8" s="41">
        <f t="shared" si="28"/>
        <v>2000000</v>
      </c>
      <c r="N8" s="43">
        <f t="shared" si="1"/>
        <v>50.927999999999997</v>
      </c>
      <c r="O8" s="44">
        <f t="shared" si="2"/>
        <v>180.072</v>
      </c>
      <c r="P8" s="41">
        <f t="shared" si="3"/>
        <v>101856</v>
      </c>
      <c r="Q8" s="41">
        <f t="shared" si="4"/>
        <v>360144</v>
      </c>
      <c r="R8" s="44"/>
      <c r="S8" s="44">
        <f>IF(I8&lt;&gt;"",_xlfn.XLOOKUP($D$4+I8,$A$26:$A$145,$B$26:$B$145,0) * 1000,"")</f>
        <v>12.2102344013446</v>
      </c>
      <c r="T8" s="52">
        <f>$C$11</f>
        <v>0</v>
      </c>
      <c r="U8" s="53">
        <f t="shared" si="15"/>
        <v>0.96966365833852242</v>
      </c>
      <c r="V8" s="53">
        <f t="shared" si="16"/>
        <v>1.1839820558778684E-2</v>
      </c>
      <c r="W8" s="53">
        <f t="shared" si="17"/>
        <v>0</v>
      </c>
      <c r="X8" s="46">
        <f t="shared" si="5"/>
        <v>0.95782383777974378</v>
      </c>
      <c r="Y8" s="54"/>
      <c r="Z8" s="41">
        <f t="shared" si="18"/>
        <v>295439.06274989771</v>
      </c>
      <c r="AA8" s="41">
        <f t="shared" si="19"/>
        <v>19393.273166770447</v>
      </c>
      <c r="AB8" s="41">
        <f t="shared" si="6"/>
        <v>344954.50823334802</v>
      </c>
      <c r="AC8" s="41">
        <f t="shared" si="7"/>
        <v>19156.476755594875</v>
      </c>
      <c r="AD8" s="54"/>
      <c r="AE8" s="41">
        <f t="shared" si="8"/>
        <v>0</v>
      </c>
      <c r="AF8" s="41"/>
      <c r="AG8" s="41">
        <f t="shared" si="9"/>
        <v>-23.945595944493594</v>
      </c>
      <c r="AH8" s="41">
        <f t="shared" si="20"/>
        <v>-23679.641117557367</v>
      </c>
      <c r="AI8" s="41">
        <f t="shared" si="21"/>
        <v>0</v>
      </c>
      <c r="AJ8" s="41">
        <f t="shared" si="10"/>
        <v>-23703.58671350186</v>
      </c>
      <c r="AK8" s="41">
        <f t="shared" si="11"/>
        <v>-49515.445483450312</v>
      </c>
      <c r="AL8" s="41">
        <f t="shared" si="22"/>
        <v>12593.293436666727</v>
      </c>
      <c r="AM8" s="41">
        <f t="shared" si="12"/>
        <v>-60625.738760285451</v>
      </c>
      <c r="AN8" s="41">
        <f t="shared" si="13"/>
        <v>236.79641117557185</v>
      </c>
      <c r="AO8" s="41">
        <f t="shared" si="14"/>
        <v>-60388.942349109879</v>
      </c>
      <c r="AP8" s="45"/>
      <c r="AQ8" s="45"/>
      <c r="AR8" s="48"/>
      <c r="AS8" s="48"/>
      <c r="AT8" s="51">
        <f t="shared" si="23"/>
        <v>4</v>
      </c>
      <c r="AU8" s="49">
        <f t="shared" si="24"/>
        <v>0.96966365833852242</v>
      </c>
      <c r="AV8" s="49">
        <f t="shared" si="25"/>
        <v>1.1839820558778684E-2</v>
      </c>
      <c r="AW8" s="50">
        <f xml:space="preserve"> IF(ISERROR(ROUND((1000*NPV($AT$1,$AV9:$AV$124)-$AW$1*($AU9+NPV($AT$1,$AU10:$AU$124)))/AU9,3)), 0, ROUND((1000*NPV($AT$1,$AV9:$AV$124)-$AW$1*($AU9+NPV($AT$1,$AU10:$AU$124)))/AU9,3))</f>
        <v>180.072</v>
      </c>
      <c r="AX8" s="50">
        <f>IF(ISERROR(ROUND(MAX(0,1000*NPV($AT$2,$AV9:$AV$124)-$AW$2*($AU9+NPV($AT$2,$AU10:$AU$124)))/AU9,3)), 0, ROUND(MAX(0,1000*NPV($AT$2,$AV9:$AV$124)-$AW$2*($AU9+NPV($AT$2,$AU10:$AU$124)))/AU9,3))</f>
        <v>50.927999999999997</v>
      </c>
      <c r="AY8" s="59"/>
    </row>
    <row r="9" spans="1:54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6"/>
        <v/>
      </c>
      <c r="L9" s="42">
        <f t="shared" si="27"/>
        <v>25</v>
      </c>
      <c r="M9" s="41">
        <f t="shared" si="28"/>
        <v>2000000</v>
      </c>
      <c r="N9" s="43">
        <f t="shared" si="1"/>
        <v>79.05</v>
      </c>
      <c r="O9" s="44">
        <f t="shared" si="2"/>
        <v>208.30500000000001</v>
      </c>
      <c r="P9" s="41">
        <f t="shared" si="3"/>
        <v>158100</v>
      </c>
      <c r="Q9" s="41">
        <f t="shared" si="4"/>
        <v>416610</v>
      </c>
      <c r="R9" s="44"/>
      <c r="S9" s="44">
        <f>IF(I9&lt;&gt;"",_xlfn.XLOOKUP($D$4+I9,$A$26:$A$145,$B$26:$B$145,0) * 1000,"")</f>
        <v>13.4128947455425</v>
      </c>
      <c r="T9" s="52">
        <f>$C$11</f>
        <v>0</v>
      </c>
      <c r="U9" s="53">
        <f t="shared" si="15"/>
        <v>0.95782383777974378</v>
      </c>
      <c r="V9" s="53">
        <f t="shared" si="16"/>
        <v>1.2847190320911278E-2</v>
      </c>
      <c r="W9" s="53">
        <f t="shared" si="17"/>
        <v>0</v>
      </c>
      <c r="X9" s="46">
        <f t="shared" si="5"/>
        <v>0.94497664745883247</v>
      </c>
      <c r="Y9" s="54"/>
      <c r="Z9" s="41">
        <f t="shared" si="18"/>
        <v>344954.50823334802</v>
      </c>
      <c r="AA9" s="41">
        <f t="shared" si="19"/>
        <v>19156.476755594875</v>
      </c>
      <c r="AB9" s="41">
        <f t="shared" si="6"/>
        <v>393686.72109782422</v>
      </c>
      <c r="AC9" s="41">
        <f t="shared" si="7"/>
        <v>18899.53294917665</v>
      </c>
      <c r="AD9" s="54"/>
      <c r="AE9" s="41">
        <f t="shared" si="8"/>
        <v>0</v>
      </c>
      <c r="AF9" s="41"/>
      <c r="AG9" s="41">
        <f t="shared" si="9"/>
        <v>-23.62441618647081</v>
      </c>
      <c r="AH9" s="41">
        <f t="shared" si="20"/>
        <v>-25694.380641822558</v>
      </c>
      <c r="AI9" s="41">
        <f t="shared" si="21"/>
        <v>0</v>
      </c>
      <c r="AJ9" s="41">
        <f t="shared" si="10"/>
        <v>-25718.005058009028</v>
      </c>
      <c r="AK9" s="41">
        <f t="shared" si="11"/>
        <v>-48732.212864476198</v>
      </c>
      <c r="AL9" s="41">
        <f t="shared" si="22"/>
        <v>14564.439399557717</v>
      </c>
      <c r="AM9" s="41">
        <f t="shared" si="12"/>
        <v>-59885.77852292751</v>
      </c>
      <c r="AN9" s="41">
        <f t="shared" si="13"/>
        <v>256.94380641822499</v>
      </c>
      <c r="AO9" s="41">
        <f t="shared" si="14"/>
        <v>-59628.834716509285</v>
      </c>
      <c r="AP9" s="45"/>
      <c r="AQ9" s="45"/>
      <c r="AR9" s="48"/>
      <c r="AS9" s="48"/>
      <c r="AT9" s="51">
        <f t="shared" si="23"/>
        <v>5</v>
      </c>
      <c r="AU9" s="49">
        <f t="shared" si="24"/>
        <v>0.95782383777974378</v>
      </c>
      <c r="AV9" s="49">
        <f t="shared" si="25"/>
        <v>1.2847190320911278E-2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208.30500000000001</v>
      </c>
      <c r="AX9" s="50">
        <f>IF(ISERROR(ROUND(MAX(0,1000*NPV($AT$2,$AV10:$AV$124)-$AW$2*($AU10+NPV($AT$2,$AU11:$AU$124)))/AU10,3)), 0, ROUND(MAX(0,1000*NPV($AT$2,$AV10:$AV$124)-$AW$2*($AU10+NPV($AT$2,$AU11:$AU$124)))/AU10,3))</f>
        <v>79.05</v>
      </c>
    </row>
    <row r="10" spans="1:54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6"/>
        <v/>
      </c>
      <c r="L10" s="42">
        <f t="shared" si="27"/>
        <v>25</v>
      </c>
      <c r="M10" s="41">
        <f t="shared" si="28"/>
        <v>2000000</v>
      </c>
      <c r="N10" s="43">
        <f>AX10</f>
        <v>108.018</v>
      </c>
      <c r="O10" s="44">
        <f t="shared" si="2"/>
        <v>237.001</v>
      </c>
      <c r="P10" s="41">
        <f t="shared" si="3"/>
        <v>216036</v>
      </c>
      <c r="Q10" s="41">
        <f t="shared" si="4"/>
        <v>474002</v>
      </c>
      <c r="R10" s="44"/>
      <c r="S10" s="44">
        <f>IF(I10&lt;&gt;"",_xlfn.XLOOKUP($D$4+I10,$A$26:$A$145,$B$26:$B$145,0) * 1000,"")</f>
        <v>14.790989154491299</v>
      </c>
      <c r="T10" s="52">
        <f>$C$12</f>
        <v>0</v>
      </c>
      <c r="U10" s="53">
        <f t="shared" si="15"/>
        <v>0.94497664745883247</v>
      </c>
      <c r="V10" s="53">
        <f t="shared" si="16"/>
        <v>1.3977139343811139E-2</v>
      </c>
      <c r="W10" s="53">
        <f t="shared" si="17"/>
        <v>0</v>
      </c>
      <c r="X10" s="46">
        <f t="shared" si="5"/>
        <v>0.9309995081150213</v>
      </c>
      <c r="Y10" s="54"/>
      <c r="Z10" s="41">
        <f t="shared" si="18"/>
        <v>393686.72109782422</v>
      </c>
      <c r="AA10" s="41">
        <f t="shared" si="19"/>
        <v>18899.53294917665</v>
      </c>
      <c r="AB10" s="41">
        <f t="shared" si="6"/>
        <v>441295.62884553632</v>
      </c>
      <c r="AC10" s="41">
        <f t="shared" si="7"/>
        <v>18619.990162300426</v>
      </c>
      <c r="AD10" s="54"/>
      <c r="AE10" s="41">
        <f t="shared" si="8"/>
        <v>0</v>
      </c>
      <c r="AF10" s="41"/>
      <c r="AG10" s="41">
        <f t="shared" si="9"/>
        <v>-23.274987702875531</v>
      </c>
      <c r="AH10" s="41">
        <f t="shared" si="20"/>
        <v>-27954.278687622278</v>
      </c>
      <c r="AI10" s="41">
        <f t="shared" si="21"/>
        <v>0</v>
      </c>
      <c r="AJ10" s="41">
        <f t="shared" si="10"/>
        <v>-27977.553675325154</v>
      </c>
      <c r="AK10" s="41">
        <f t="shared" si="11"/>
        <v>-47608.907747712103</v>
      </c>
      <c r="AL10" s="41">
        <f t="shared" si="22"/>
        <v>16503.450161880035</v>
      </c>
      <c r="AM10" s="41">
        <f t="shared" si="12"/>
        <v>-59083.011261157219</v>
      </c>
      <c r="AN10" s="41">
        <f t="shared" si="13"/>
        <v>279.54278687622354</v>
      </c>
      <c r="AO10" s="41">
        <f t="shared" si="14"/>
        <v>-58803.468474280991</v>
      </c>
      <c r="AP10" s="45"/>
      <c r="AQ10" s="45"/>
      <c r="AR10" s="48"/>
      <c r="AS10" s="48"/>
      <c r="AT10" s="51">
        <f t="shared" si="23"/>
        <v>6</v>
      </c>
      <c r="AU10" s="49">
        <f t="shared" si="24"/>
        <v>0.94497664745883247</v>
      </c>
      <c r="AV10" s="49">
        <f t="shared" si="25"/>
        <v>1.3977139343811139E-2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237.001</v>
      </c>
      <c r="AX10" s="50">
        <f>IF(ISERROR(ROUND(MAX(0,1000*NPV($AT$2,$AV11:$AV$124)-$AW$2*($AU11+NPV($AT$2,$AU12:$AU$124)))/AU11,3)), 0, ROUND(MAX(0,1000*NPV($AT$2,$AV11:$AV$124)-$AW$2*($AU11+NPV($AT$2,$AU12:$AU$124)))/AU11,3))</f>
        <v>108.018</v>
      </c>
    </row>
    <row r="11" spans="1:54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6"/>
        <v/>
      </c>
      <c r="L11" s="42">
        <f t="shared" si="27"/>
        <v>25</v>
      </c>
      <c r="M11" s="41">
        <f t="shared" si="28"/>
        <v>2000000</v>
      </c>
      <c r="N11" s="43">
        <f t="shared" si="1"/>
        <v>137.79300000000001</v>
      </c>
      <c r="O11" s="44">
        <f>AW11</f>
        <v>266.108</v>
      </c>
      <c r="P11" s="41">
        <f t="shared" si="3"/>
        <v>275586</v>
      </c>
      <c r="Q11" s="41">
        <f t="shared" si="4"/>
        <v>532216</v>
      </c>
      <c r="R11" s="44"/>
      <c r="S11" s="44">
        <f>IF(I11&lt;&gt;"",_xlfn.XLOOKUP($D$4+I11,$A$26:$A$145,$B$26:$B$145,0) * 1000,"")</f>
        <v>16.381027202211499</v>
      </c>
      <c r="T11" s="52">
        <f>$C$12</f>
        <v>0</v>
      </c>
      <c r="U11" s="53">
        <f t="shared" si="15"/>
        <v>0.9309995081150213</v>
      </c>
      <c r="V11" s="53">
        <f t="shared" si="16"/>
        <v>1.5250728267677689E-2</v>
      </c>
      <c r="W11" s="53">
        <f t="shared" si="17"/>
        <v>0</v>
      </c>
      <c r="X11" s="46">
        <f t="shared" si="5"/>
        <v>0.9157487798473436</v>
      </c>
      <c r="Y11" s="54"/>
      <c r="Z11" s="41">
        <f t="shared" si="18"/>
        <v>441295.62884553632</v>
      </c>
      <c r="AA11" s="41">
        <f t="shared" si="19"/>
        <v>18619.990162300426</v>
      </c>
      <c r="AB11" s="41">
        <f t="shared" si="6"/>
        <v>487376.15261523385</v>
      </c>
      <c r="AC11" s="41">
        <f t="shared" si="7"/>
        <v>18314.975596946872</v>
      </c>
      <c r="AD11" s="54"/>
      <c r="AE11" s="41">
        <f t="shared" si="8"/>
        <v>0</v>
      </c>
      <c r="AF11" s="41"/>
      <c r="AG11" s="41">
        <f t="shared" si="9"/>
        <v>-22.893719496183589</v>
      </c>
      <c r="AH11" s="41">
        <f t="shared" si="20"/>
        <v>-30501.456535355377</v>
      </c>
      <c r="AI11" s="41">
        <f t="shared" si="21"/>
        <v>0</v>
      </c>
      <c r="AJ11" s="41">
        <f t="shared" si="10"/>
        <v>-30524.350254851561</v>
      </c>
      <c r="AK11" s="41">
        <f t="shared" si="11"/>
        <v>-46080.523769697524</v>
      </c>
      <c r="AL11" s="41">
        <f t="shared" si="22"/>
        <v>18396.624760313469</v>
      </c>
      <c r="AM11" s="41">
        <f t="shared" si="12"/>
        <v>-58208.249264235623</v>
      </c>
      <c r="AN11" s="41">
        <f t="shared" si="13"/>
        <v>305.01456535355464</v>
      </c>
      <c r="AO11" s="41">
        <f t="shared" si="14"/>
        <v>-57903.234698882065</v>
      </c>
      <c r="AP11" s="45"/>
      <c r="AQ11" s="45"/>
      <c r="AR11" s="48"/>
      <c r="AS11" s="48"/>
      <c r="AT11" s="51">
        <f t="shared" si="23"/>
        <v>7</v>
      </c>
      <c r="AU11" s="49">
        <f t="shared" si="24"/>
        <v>0.9309995081150213</v>
      </c>
      <c r="AV11" s="49">
        <f t="shared" si="25"/>
        <v>1.5250728267677689E-2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266.108</v>
      </c>
      <c r="AX11" s="50">
        <f>IF(ISERROR(ROUND(MAX(0,1000*NPV($AT$2,$AV12:$AV$124)-$AW$2*($AU12+NPV($AT$2,$AU13:$AU$124)))/AU12,3)), 0, ROUND(MAX(0,1000*NPV($AT$2,$AV12:$AV$124)-$AW$2*($AU12+NPV($AT$2,$AU13:$AU$124)))/AU12,3))</f>
        <v>137.79300000000001</v>
      </c>
    </row>
    <row r="12" spans="1:54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6"/>
        <v/>
      </c>
      <c r="L12" s="42">
        <f t="shared" si="27"/>
        <v>25</v>
      </c>
      <c r="M12" s="41">
        <f t="shared" si="28"/>
        <v>2000000</v>
      </c>
      <c r="N12" s="43">
        <f>AX12</f>
        <v>168.32900000000001</v>
      </c>
      <c r="O12" s="44">
        <f t="shared" si="2"/>
        <v>295.56900000000002</v>
      </c>
      <c r="P12" s="41">
        <f t="shared" si="3"/>
        <v>336658</v>
      </c>
      <c r="Q12" s="41">
        <f t="shared" si="4"/>
        <v>591138</v>
      </c>
      <c r="R12" s="44"/>
      <c r="S12" s="44">
        <f>IF(I12&lt;&gt;"",_xlfn.XLOOKUP($D$4+I12,$A$26:$A$145,$B$26:$B$145,0) * 1000,"")</f>
        <v>18.216473337138698</v>
      </c>
      <c r="T12" s="52">
        <f>$C$12</f>
        <v>0</v>
      </c>
      <c r="U12" s="53">
        <f t="shared" si="15"/>
        <v>0.9157487798473436</v>
      </c>
      <c r="V12" s="53">
        <f t="shared" si="16"/>
        <v>1.6681713231606429E-2</v>
      </c>
      <c r="W12" s="53">
        <f t="shared" si="17"/>
        <v>0</v>
      </c>
      <c r="X12" s="46">
        <f t="shared" si="5"/>
        <v>0.89906706661573721</v>
      </c>
      <c r="Y12" s="54"/>
      <c r="Z12" s="41">
        <f t="shared" si="18"/>
        <v>487376.15261523385</v>
      </c>
      <c r="AA12" s="41">
        <f t="shared" si="19"/>
        <v>18314.975596946872</v>
      </c>
      <c r="AB12" s="41">
        <f t="shared" si="6"/>
        <v>531472.70762509364</v>
      </c>
      <c r="AC12" s="41">
        <f t="shared" si="7"/>
        <v>17981.341332314743</v>
      </c>
      <c r="AD12" s="54"/>
      <c r="AE12" s="41">
        <f t="shared" si="8"/>
        <v>0</v>
      </c>
      <c r="AF12" s="41"/>
      <c r="AG12" s="41">
        <f t="shared" si="9"/>
        <v>-22.47667666539343</v>
      </c>
      <c r="AH12" s="41">
        <f t="shared" si="20"/>
        <v>-33363.426463212862</v>
      </c>
      <c r="AI12" s="41">
        <f t="shared" si="21"/>
        <v>0</v>
      </c>
      <c r="AJ12" s="41">
        <f t="shared" si="10"/>
        <v>-33385.903139878254</v>
      </c>
      <c r="AK12" s="41">
        <f t="shared" si="11"/>
        <v>-44096.555009859789</v>
      </c>
      <c r="AL12" s="41">
        <f t="shared" si="22"/>
        <v>20227.645128487231</v>
      </c>
      <c r="AM12" s="41">
        <f t="shared" si="12"/>
        <v>-57254.813021250811</v>
      </c>
      <c r="AN12" s="41">
        <f t="shared" si="13"/>
        <v>333.63426463212818</v>
      </c>
      <c r="AO12" s="41">
        <f t="shared" si="14"/>
        <v>-56921.178756618683</v>
      </c>
      <c r="AP12" s="45"/>
      <c r="AQ12" s="45"/>
      <c r="AR12" s="48"/>
      <c r="AS12" s="48"/>
      <c r="AT12" s="51">
        <f t="shared" si="23"/>
        <v>8</v>
      </c>
      <c r="AU12" s="49">
        <f t="shared" si="24"/>
        <v>0.9157487798473436</v>
      </c>
      <c r="AV12" s="49">
        <f t="shared" si="25"/>
        <v>1.6681713231606429E-2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295.56900000000002</v>
      </c>
      <c r="AX12" s="50">
        <f>IF(ISERROR(ROUND(MAX(0,1000*NPV($AT$2,$AV13:$AV$124)-$AW$2*($AU13+NPV($AT$2,$AU14:$AU$124)))/AU13,3)), 0, ROUND(MAX(0,1000*NPV($AT$2,$AV13:$AV$124)-$AW$2*($AU13+NPV($AT$2,$AU14:$AU$124)))/AU13,3))</f>
        <v>168.32900000000001</v>
      </c>
    </row>
    <row r="13" spans="1:54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6"/>
        <v/>
      </c>
      <c r="L13" s="42">
        <f t="shared" si="27"/>
        <v>25</v>
      </c>
      <c r="M13" s="41">
        <f t="shared" si="28"/>
        <v>2000000</v>
      </c>
      <c r="N13" s="43">
        <f t="shared" si="1"/>
        <v>199.51300000000001</v>
      </c>
      <c r="O13" s="44">
        <f t="shared" si="2"/>
        <v>325.274</v>
      </c>
      <c r="P13" s="41">
        <f t="shared" si="3"/>
        <v>399026</v>
      </c>
      <c r="Q13" s="41">
        <f t="shared" si="4"/>
        <v>650548</v>
      </c>
      <c r="R13" s="44"/>
      <c r="S13" s="44">
        <f>IF(I13&lt;&gt;"",_xlfn.XLOOKUP($D$4+I13,$A$26:$A$145,$B$26:$B$145,0) * 1000,"")</f>
        <v>20.404164627192401</v>
      </c>
      <c r="T13" s="52">
        <f>$C$12</f>
        <v>0</v>
      </c>
      <c r="U13" s="53">
        <f t="shared" si="15"/>
        <v>0.89906706661573721</v>
      </c>
      <c r="V13" s="53">
        <f t="shared" si="16"/>
        <v>1.8344712438114461E-2</v>
      </c>
      <c r="W13" s="53">
        <f t="shared" si="17"/>
        <v>0</v>
      </c>
      <c r="X13" s="46">
        <f t="shared" si="5"/>
        <v>0.88072235417762279</v>
      </c>
      <c r="Y13" s="54"/>
      <c r="Z13" s="41">
        <f t="shared" si="18"/>
        <v>531472.70762509364</v>
      </c>
      <c r="AA13" s="41">
        <f t="shared" si="19"/>
        <v>17981.341332314743</v>
      </c>
      <c r="AB13" s="41">
        <f t="shared" si="6"/>
        <v>572952.16606554412</v>
      </c>
      <c r="AC13" s="41">
        <f t="shared" si="7"/>
        <v>17614.447083552455</v>
      </c>
      <c r="AD13" s="54"/>
      <c r="AE13" s="41">
        <f t="shared" si="8"/>
        <v>0</v>
      </c>
      <c r="AF13" s="41"/>
      <c r="AG13" s="41">
        <f t="shared" si="9"/>
        <v>-22.018058854440568</v>
      </c>
      <c r="AH13" s="41">
        <f t="shared" si="20"/>
        <v>-36689.424876228921</v>
      </c>
      <c r="AI13" s="41">
        <f t="shared" si="21"/>
        <v>0</v>
      </c>
      <c r="AJ13" s="41">
        <f t="shared" si="10"/>
        <v>-36711.44293508336</v>
      </c>
      <c r="AK13" s="41">
        <f t="shared" si="11"/>
        <v>-41479.458440450486</v>
      </c>
      <c r="AL13" s="41">
        <f t="shared" si="22"/>
        <v>21978.161958296336</v>
      </c>
      <c r="AM13" s="41">
        <f t="shared" si="12"/>
        <v>-56212.739417237506</v>
      </c>
      <c r="AN13" s="41">
        <f t="shared" si="13"/>
        <v>366.89424876228804</v>
      </c>
      <c r="AO13" s="41">
        <f t="shared" si="14"/>
        <v>-55845.845168475222</v>
      </c>
      <c r="AP13" s="45"/>
      <c r="AQ13" s="45"/>
      <c r="AR13" s="48"/>
      <c r="AS13" s="48"/>
      <c r="AT13" s="51">
        <f t="shared" si="23"/>
        <v>9</v>
      </c>
      <c r="AU13" s="49">
        <f t="shared" si="24"/>
        <v>0.89906706661573721</v>
      </c>
      <c r="AV13" s="49">
        <f t="shared" si="25"/>
        <v>1.8344712438114461E-2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325.274</v>
      </c>
      <c r="AX13" s="50">
        <f>IF(ISERROR(ROUND(MAX(0,1000*NPV($AT$2,$AV14:$AV$124)-$AW$2*($AU14+NPV($AT$2,$AU15:$AU$124)))/AU14,3)), 0, ROUND(MAX(0,1000*NPV($AT$2,$AV14:$AV$124)-$AW$2*($AU14+NPV($AT$2,$AU15:$AU$124)))/AU14,3))</f>
        <v>199.51300000000001</v>
      </c>
    </row>
    <row r="14" spans="1:54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6"/>
        <v/>
      </c>
      <c r="L14" s="42">
        <f t="shared" si="27"/>
        <v>25</v>
      </c>
      <c r="M14" s="41">
        <f t="shared" si="28"/>
        <v>2000000</v>
      </c>
      <c r="N14" s="43">
        <f t="shared" si="1"/>
        <v>231.27600000000001</v>
      </c>
      <c r="O14" s="44">
        <f t="shared" si="2"/>
        <v>355.14800000000002</v>
      </c>
      <c r="P14" s="41">
        <f t="shared" si="3"/>
        <v>462552</v>
      </c>
      <c r="Q14" s="41">
        <f t="shared" si="4"/>
        <v>710296</v>
      </c>
      <c r="R14" s="44"/>
      <c r="S14" s="44">
        <f>IF(I14&lt;&gt;"",_xlfn.XLOOKUP($D$4+I14,$A$26:$A$145,$B$26:$B$145,0) * 1000,"")</f>
        <v>22.929392279035699</v>
      </c>
      <c r="T14" s="52">
        <f>$C$12</f>
        <v>0</v>
      </c>
      <c r="U14" s="53">
        <f t="shared" si="15"/>
        <v>0.88072235417762279</v>
      </c>
      <c r="V14" s="53">
        <f t="shared" si="16"/>
        <v>2.019442834785453E-2</v>
      </c>
      <c r="W14" s="53">
        <f t="shared" si="17"/>
        <v>0</v>
      </c>
      <c r="X14" s="46">
        <f t="shared" si="5"/>
        <v>0.86052792582976823</v>
      </c>
      <c r="Y14" s="54"/>
      <c r="Z14" s="41">
        <f t="shared" si="18"/>
        <v>572952.16606554412</v>
      </c>
      <c r="AA14" s="41">
        <f t="shared" si="19"/>
        <v>17614.447083552455</v>
      </c>
      <c r="AB14" s="41">
        <f t="shared" si="6"/>
        <v>611229.54360518104</v>
      </c>
      <c r="AC14" s="41">
        <f t="shared" si="7"/>
        <v>17210.558516595363</v>
      </c>
      <c r="AD14" s="54"/>
      <c r="AE14" s="41">
        <f t="shared" si="8"/>
        <v>0</v>
      </c>
      <c r="AF14" s="41"/>
      <c r="AG14" s="41">
        <f t="shared" si="9"/>
        <v>-21.513198145744205</v>
      </c>
      <c r="AH14" s="41">
        <f t="shared" si="20"/>
        <v>-40388.856695709059</v>
      </c>
      <c r="AI14" s="41">
        <f t="shared" si="21"/>
        <v>0</v>
      </c>
      <c r="AJ14" s="41">
        <f t="shared" si="10"/>
        <v>-40410.369893854804</v>
      </c>
      <c r="AK14" s="41">
        <f t="shared" si="11"/>
        <v>-38277.377539636916</v>
      </c>
      <c r="AL14" s="41">
        <f t="shared" si="22"/>
        <v>23622.664525963864</v>
      </c>
      <c r="AM14" s="41">
        <f t="shared" si="12"/>
        <v>-55065.08290752786</v>
      </c>
      <c r="AN14" s="41">
        <f t="shared" si="13"/>
        <v>403.88856695709183</v>
      </c>
      <c r="AO14" s="41">
        <f t="shared" si="14"/>
        <v>-54661.194340570772</v>
      </c>
      <c r="AP14" s="45"/>
      <c r="AQ14" s="45"/>
      <c r="AR14" s="48"/>
      <c r="AS14" s="48"/>
      <c r="AT14" s="51">
        <f t="shared" si="23"/>
        <v>10</v>
      </c>
      <c r="AU14" s="49">
        <f t="shared" si="24"/>
        <v>0.88072235417762279</v>
      </c>
      <c r="AV14" s="49">
        <f t="shared" si="25"/>
        <v>2.019442834785453E-2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355.14800000000002</v>
      </c>
      <c r="AX14" s="50">
        <f>IF(ISERROR(ROUND(MAX(0,1000*NPV($AT$2,$AV15:$AV$124)-$AW$2*($AU15+NPV($AT$2,$AU16:$AU$124)))/AU15,3)), 0, ROUND(MAX(0,1000*NPV($AT$2,$AV15:$AV$124)-$AW$2*($AU15+NPV($AT$2,$AU16:$AU$124)))/AU15,3))</f>
        <v>231.27600000000001</v>
      </c>
    </row>
    <row r="15" spans="1:54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6"/>
        <v/>
      </c>
      <c r="L15" s="42">
        <f t="shared" si="27"/>
        <v>25</v>
      </c>
      <c r="M15" s="41">
        <f t="shared" si="28"/>
        <v>2000000</v>
      </c>
      <c r="N15" s="43">
        <f t="shared" si="1"/>
        <v>260.66699999999997</v>
      </c>
      <c r="O15" s="44">
        <f t="shared" si="2"/>
        <v>382.71499999999997</v>
      </c>
      <c r="P15" s="41">
        <f t="shared" si="3"/>
        <v>521333.99999999994</v>
      </c>
      <c r="Q15" s="41">
        <f t="shared" si="4"/>
        <v>765430</v>
      </c>
      <c r="R15" s="44"/>
      <c r="S15" s="44">
        <f>IF(I15&lt;&gt;"",_xlfn.XLOOKUP($D$4+I15,$A$26:$A$145,$B$26:$B$145,0) * 1000,"")</f>
        <v>29.626299014128801</v>
      </c>
      <c r="T15" s="52">
        <f>$C$13</f>
        <v>0</v>
      </c>
      <c r="U15" s="53">
        <f t="shared" si="15"/>
        <v>0.86052792582976823</v>
      </c>
      <c r="V15" s="53">
        <f t="shared" si="16"/>
        <v>2.5494257640640765E-2</v>
      </c>
      <c r="W15" s="53">
        <f t="shared" si="17"/>
        <v>0</v>
      </c>
      <c r="X15" s="46">
        <f t="shared" si="5"/>
        <v>0.8350336681891275</v>
      </c>
      <c r="Y15" s="54"/>
      <c r="Z15" s="41">
        <f t="shared" si="18"/>
        <v>611229.54360518104</v>
      </c>
      <c r="AA15" s="41">
        <f t="shared" si="19"/>
        <v>17210.558516595363</v>
      </c>
      <c r="AB15" s="41">
        <f t="shared" si="6"/>
        <v>639159.82064200391</v>
      </c>
      <c r="AC15" s="41">
        <f t="shared" si="7"/>
        <v>16700.673363782549</v>
      </c>
      <c r="AD15" s="54"/>
      <c r="AE15" s="41">
        <f t="shared" si="8"/>
        <v>0</v>
      </c>
      <c r="AF15" s="41"/>
      <c r="AG15" s="41">
        <f t="shared" si="9"/>
        <v>-20.875841704728188</v>
      </c>
      <c r="AH15" s="41">
        <f t="shared" si="20"/>
        <v>-50988.515281281529</v>
      </c>
      <c r="AI15" s="41">
        <f t="shared" si="21"/>
        <v>0</v>
      </c>
      <c r="AJ15" s="41">
        <f t="shared" si="10"/>
        <v>-51009.391122986257</v>
      </c>
      <c r="AK15" s="41">
        <f t="shared" si="11"/>
        <v>-27930.277036822867</v>
      </c>
      <c r="AL15" s="41">
        <f t="shared" si="22"/>
        <v>25137.604084871058</v>
      </c>
      <c r="AM15" s="41">
        <f t="shared" si="12"/>
        <v>-53802.064074938069</v>
      </c>
      <c r="AN15" s="41">
        <f t="shared" si="13"/>
        <v>509.88515281281434</v>
      </c>
      <c r="AO15" s="41">
        <f t="shared" si="14"/>
        <v>-53292.178922125255</v>
      </c>
      <c r="AP15" s="45"/>
      <c r="AQ15" s="45"/>
      <c r="AR15" s="48"/>
      <c r="AS15" s="48"/>
      <c r="AT15" s="51">
        <f t="shared" si="23"/>
        <v>11</v>
      </c>
      <c r="AU15" s="49">
        <f t="shared" si="24"/>
        <v>0.86052792582976823</v>
      </c>
      <c r="AV15" s="49">
        <f t="shared" si="25"/>
        <v>2.5494257640640765E-2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382.71499999999997</v>
      </c>
      <c r="AX15" s="50">
        <f>IF(ISERROR(ROUND(MAX(0,1000*NPV($AT$2,$AV16:$AV$124)-$AW$2*($AU16+NPV($AT$2,$AU17:$AU$124)))/AU16,3)), 0, ROUND(MAX(0,1000*NPV($AT$2,$AV16:$AV$124)-$AW$2*($AU16+NPV($AT$2,$AU17:$AU$124)))/AU16,3))</f>
        <v>260.66699999999997</v>
      </c>
    </row>
    <row r="16" spans="1:54" ht="15" x14ac:dyDescent="0.25">
      <c r="A16" s="15"/>
      <c r="B16" s="19">
        <v>1</v>
      </c>
      <c r="C16" s="18">
        <v>0.3</v>
      </c>
      <c r="D16" s="1"/>
      <c r="E16" s="19" t="s">
        <v>69</v>
      </c>
      <c r="F16" s="62">
        <v>0.06</v>
      </c>
      <c r="G16" s="5"/>
      <c r="H16" s="1"/>
      <c r="I16" s="51">
        <v>12</v>
      </c>
      <c r="J16" s="41"/>
      <c r="K16" s="41" t="str">
        <f t="shared" si="26"/>
        <v/>
      </c>
      <c r="L16" s="42">
        <f t="shared" si="27"/>
        <v>25</v>
      </c>
      <c r="M16" s="41">
        <f t="shared" si="28"/>
        <v>2000000</v>
      </c>
      <c r="N16" s="43">
        <f t="shared" si="1"/>
        <v>289.96100000000001</v>
      </c>
      <c r="O16" s="44">
        <f t="shared" si="2"/>
        <v>409.923</v>
      </c>
      <c r="P16" s="41">
        <f t="shared" si="3"/>
        <v>579922</v>
      </c>
      <c r="Q16" s="41">
        <f t="shared" si="4"/>
        <v>819846</v>
      </c>
      <c r="R16" s="44"/>
      <c r="S16" s="44">
        <f>IF(I16&lt;&gt;"",_xlfn.XLOOKUP($D$4+I16,$A$26:$A$145,$B$26:$B$145,0) * 1000,"")</f>
        <v>33.469124984595496</v>
      </c>
      <c r="T16" s="52">
        <f t="shared" ref="T16:T80" si="29">$C$13</f>
        <v>0</v>
      </c>
      <c r="U16" s="53">
        <f t="shared" si="15"/>
        <v>0.8350336681891275</v>
      </c>
      <c r="V16" s="53">
        <f t="shared" si="16"/>
        <v>2.7947846206967154E-2</v>
      </c>
      <c r="W16" s="53">
        <f t="shared" si="17"/>
        <v>0</v>
      </c>
      <c r="X16" s="46">
        <f t="shared" si="5"/>
        <v>0.80708582198216039</v>
      </c>
      <c r="Y16" s="54"/>
      <c r="Z16" s="41">
        <f t="shared" si="18"/>
        <v>639159.82064200391</v>
      </c>
      <c r="AA16" s="41">
        <f t="shared" si="19"/>
        <v>16700.673363782549</v>
      </c>
      <c r="AB16" s="41">
        <f t="shared" si="6"/>
        <v>661686.0828087863</v>
      </c>
      <c r="AC16" s="41">
        <f t="shared" si="7"/>
        <v>16141.716439643207</v>
      </c>
      <c r="AD16" s="54"/>
      <c r="AE16" s="41">
        <f t="shared" si="8"/>
        <v>0</v>
      </c>
      <c r="AF16" s="41"/>
      <c r="AG16" s="41">
        <f t="shared" si="9"/>
        <v>-20.177145549554009</v>
      </c>
      <c r="AH16" s="41">
        <f t="shared" si="20"/>
        <v>-55895.69241393431</v>
      </c>
      <c r="AI16" s="41">
        <f t="shared" si="21"/>
        <v>0</v>
      </c>
      <c r="AJ16" s="41">
        <f t="shared" si="10"/>
        <v>-55915.869559483865</v>
      </c>
      <c r="AK16" s="41">
        <f t="shared" si="11"/>
        <v>-22526.262166782399</v>
      </c>
      <c r="AL16" s="41">
        <f t="shared" si="22"/>
        <v>26234.41976023146</v>
      </c>
      <c r="AM16" s="41">
        <f t="shared" si="12"/>
        <v>-52207.711966034803</v>
      </c>
      <c r="AN16" s="41">
        <f t="shared" si="13"/>
        <v>558.95692413934194</v>
      </c>
      <c r="AO16" s="41">
        <f t="shared" si="14"/>
        <v>-51648.755041895463</v>
      </c>
      <c r="AP16" s="45"/>
      <c r="AQ16" s="45"/>
      <c r="AR16" s="48"/>
      <c r="AS16" s="48"/>
      <c r="AT16" s="51">
        <f t="shared" si="23"/>
        <v>12</v>
      </c>
      <c r="AU16" s="49">
        <f t="shared" si="24"/>
        <v>0.8350336681891275</v>
      </c>
      <c r="AV16" s="49">
        <f t="shared" si="25"/>
        <v>2.7947846206967154E-2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409.923</v>
      </c>
      <c r="AX16" s="50">
        <f>IF(ISERROR(ROUND(MAX(0,1000*NPV($AT$2,$AV17:$AV$124)-$AW$2*($AU17+NPV($AT$2,$AU18:$AU$124)))/AU17,3)), 0, ROUND(MAX(0,1000*NPV($AT$2,$AV17:$AV$124)-$AW$2*($AU17+NPV($AT$2,$AU18:$AU$124)))/AU17,3))</f>
        <v>289.96100000000001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6"/>
        <v/>
      </c>
      <c r="L17" s="42">
        <f t="shared" si="27"/>
        <v>25</v>
      </c>
      <c r="M17" s="41">
        <f t="shared" si="28"/>
        <v>2000000</v>
      </c>
      <c r="N17" s="43">
        <f t="shared" si="1"/>
        <v>319.05799999999999</v>
      </c>
      <c r="O17" s="44">
        <f t="shared" si="2"/>
        <v>436.69299999999998</v>
      </c>
      <c r="P17" s="41">
        <f t="shared" si="3"/>
        <v>638116</v>
      </c>
      <c r="Q17" s="41">
        <f t="shared" si="4"/>
        <v>873386</v>
      </c>
      <c r="R17" s="44"/>
      <c r="S17" s="44">
        <f>IF(I17&lt;&gt;"",_xlfn.XLOOKUP($D$4+I17,$A$26:$A$145,$B$26:$B$145,0) * 1000,"")</f>
        <v>37.769932885946695</v>
      </c>
      <c r="T17" s="52">
        <f t="shared" si="29"/>
        <v>0</v>
      </c>
      <c r="U17" s="53">
        <f t="shared" si="15"/>
        <v>0.80708582198216039</v>
      </c>
      <c r="V17" s="53">
        <f t="shared" si="16"/>
        <v>3.0483577329465321E-2</v>
      </c>
      <c r="W17" s="53">
        <f t="shared" si="17"/>
        <v>0</v>
      </c>
      <c r="X17" s="46">
        <f t="shared" si="5"/>
        <v>0.77660224465269512</v>
      </c>
      <c r="Y17" s="54"/>
      <c r="Z17" s="41">
        <f t="shared" si="18"/>
        <v>661686.0828087863</v>
      </c>
      <c r="AA17" s="41">
        <f t="shared" si="19"/>
        <v>16141.716439643207</v>
      </c>
      <c r="AB17" s="41">
        <f t="shared" si="6"/>
        <v>678273.52804823883</v>
      </c>
      <c r="AC17" s="41">
        <f t="shared" si="7"/>
        <v>15532.044893053902</v>
      </c>
      <c r="AD17" s="54"/>
      <c r="AE17" s="41">
        <f t="shared" si="8"/>
        <v>0</v>
      </c>
      <c r="AF17" s="41"/>
      <c r="AG17" s="41">
        <f t="shared" si="9"/>
        <v>-19.415056116317377</v>
      </c>
      <c r="AH17" s="41">
        <f t="shared" si="20"/>
        <v>-60967.154658930645</v>
      </c>
      <c r="AI17" s="41">
        <f t="shared" si="21"/>
        <v>0</v>
      </c>
      <c r="AJ17" s="41">
        <f t="shared" si="10"/>
        <v>-60986.569715046964</v>
      </c>
      <c r="AK17" s="41">
        <f t="shared" si="11"/>
        <v>-16587.445239452529</v>
      </c>
      <c r="AL17" s="41">
        <f t="shared" si="22"/>
        <v>27113.111969937181</v>
      </c>
      <c r="AM17" s="41">
        <f t="shared" si="12"/>
        <v>-50460.902984562315</v>
      </c>
      <c r="AN17" s="41">
        <f t="shared" si="13"/>
        <v>609.67154658930485</v>
      </c>
      <c r="AO17" s="41">
        <f t="shared" si="14"/>
        <v>-49851.231437973009</v>
      </c>
      <c r="AP17" s="45"/>
      <c r="AQ17" s="45"/>
      <c r="AR17" s="48"/>
      <c r="AS17" s="48"/>
      <c r="AT17" s="51">
        <f t="shared" si="23"/>
        <v>13</v>
      </c>
      <c r="AU17" s="49">
        <f t="shared" si="24"/>
        <v>0.80708582198216039</v>
      </c>
      <c r="AV17" s="49">
        <f t="shared" si="25"/>
        <v>3.0483577329465321E-2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436.69299999999998</v>
      </c>
      <c r="AX17" s="50">
        <f>IF(ISERROR(ROUND(MAX(0,1000*NPV($AT$2,$AV18:$AV$124)-$AW$2*($AU18+NPV($AT$2,$AU19:$AU$124)))/AU18,3)), 0, ROUND(MAX(0,1000*NPV($AT$2,$AV18:$AV$124)-$AW$2*($AU18+NPV($AT$2,$AU19:$AU$124)))/AU18,3))</f>
        <v>319.05799999999999</v>
      </c>
    </row>
    <row r="18" spans="1:50" ht="15" x14ac:dyDescent="0.25">
      <c r="A18" s="12" t="s">
        <v>10</v>
      </c>
      <c r="B18" s="14"/>
      <c r="C18" s="3"/>
      <c r="D18" s="1"/>
      <c r="E18" s="1" t="s">
        <v>74</v>
      </c>
      <c r="F18" s="61">
        <v>0.05</v>
      </c>
      <c r="G18" s="1"/>
      <c r="H18" s="1"/>
      <c r="I18" s="51">
        <v>14</v>
      </c>
      <c r="J18" s="41"/>
      <c r="K18" s="41" t="str">
        <f t="shared" si="26"/>
        <v/>
      </c>
      <c r="L18" s="42">
        <f t="shared" si="27"/>
        <v>25</v>
      </c>
      <c r="M18" s="41">
        <f t="shared" si="28"/>
        <v>2000000</v>
      </c>
      <c r="N18" s="43">
        <f t="shared" si="1"/>
        <v>347.86399999999998</v>
      </c>
      <c r="O18" s="44">
        <f t="shared" si="2"/>
        <v>462.95299999999997</v>
      </c>
      <c r="P18" s="41">
        <f t="shared" si="3"/>
        <v>695728</v>
      </c>
      <c r="Q18" s="41">
        <f t="shared" si="4"/>
        <v>925906</v>
      </c>
      <c r="R18" s="44"/>
      <c r="S18" s="44">
        <f>IF(I18&lt;&gt;"",_xlfn.XLOOKUP($D$4+I18,$A$26:$A$145,$B$26:$B$145,0) * 1000,"")</f>
        <v>42.560780604462302</v>
      </c>
      <c r="T18" s="52">
        <f t="shared" si="29"/>
        <v>0</v>
      </c>
      <c r="U18" s="53">
        <f t="shared" si="15"/>
        <v>0.77660224465269512</v>
      </c>
      <c r="V18" s="53">
        <f t="shared" si="16"/>
        <v>3.3052797751596315E-2</v>
      </c>
      <c r="W18" s="53">
        <f t="shared" si="17"/>
        <v>0</v>
      </c>
      <c r="X18" s="46">
        <f t="shared" si="5"/>
        <v>0.74354944690109881</v>
      </c>
      <c r="Y18" s="54"/>
      <c r="Z18" s="41">
        <f t="shared" si="18"/>
        <v>678273.52804823883</v>
      </c>
      <c r="AA18" s="41">
        <f t="shared" si="19"/>
        <v>15532.044893053902</v>
      </c>
      <c r="AB18" s="41">
        <f t="shared" si="6"/>
        <v>688456.89418240881</v>
      </c>
      <c r="AC18" s="41">
        <f t="shared" si="7"/>
        <v>14870.988938021976</v>
      </c>
      <c r="AD18" s="54"/>
      <c r="AE18" s="41">
        <f t="shared" si="8"/>
        <v>0</v>
      </c>
      <c r="AF18" s="41"/>
      <c r="AG18" s="41">
        <f t="shared" si="9"/>
        <v>-18.588736172527469</v>
      </c>
      <c r="AH18" s="41">
        <f t="shared" si="20"/>
        <v>-66105.595503192628</v>
      </c>
      <c r="AI18" s="41">
        <f t="shared" si="21"/>
        <v>0</v>
      </c>
      <c r="AJ18" s="41">
        <f t="shared" si="10"/>
        <v>-66124.18423936516</v>
      </c>
      <c r="AK18" s="41">
        <f t="shared" si="11"/>
        <v>-10183.366134169977</v>
      </c>
      <c r="AL18" s="41">
        <f t="shared" si="22"/>
        <v>27752.22291765171</v>
      </c>
      <c r="AM18" s="41">
        <f t="shared" si="12"/>
        <v>-48555.327455883424</v>
      </c>
      <c r="AN18" s="41">
        <f t="shared" si="13"/>
        <v>661.05595503192671</v>
      </c>
      <c r="AO18" s="41">
        <f t="shared" si="14"/>
        <v>-47894.271500851493</v>
      </c>
      <c r="AP18" s="45"/>
      <c r="AQ18" s="45"/>
      <c r="AR18" s="48"/>
      <c r="AS18" s="48"/>
      <c r="AT18" s="51">
        <f t="shared" si="23"/>
        <v>14</v>
      </c>
      <c r="AU18" s="49">
        <f t="shared" si="24"/>
        <v>0.77660224465269512</v>
      </c>
      <c r="AV18" s="49">
        <f t="shared" si="25"/>
        <v>3.3052797751596315E-2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462.95299999999997</v>
      </c>
      <c r="AX18" s="50">
        <f>IF(ISERROR(ROUND(MAX(0,1000*NPV($AT$2,$AV19:$AV$124)-$AW$2*($AU19+NPV($AT$2,$AU20:$AU$124)))/AU19,3)), 0, ROUND(MAX(0,1000*NPV($AT$2,$AV19:$AV$124)-$AW$2*($AU19+NPV($AT$2,$AU20:$AU$124)))/AU19,3))</f>
        <v>347.86399999999998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6"/>
        <v/>
      </c>
      <c r="L19" s="42">
        <f t="shared" si="27"/>
        <v>25</v>
      </c>
      <c r="M19" s="41">
        <f t="shared" si="28"/>
        <v>2000000</v>
      </c>
      <c r="N19" s="43">
        <f t="shared" si="1"/>
        <v>376.34699999999998</v>
      </c>
      <c r="O19" s="44">
        <f t="shared" si="2"/>
        <v>488.68099999999998</v>
      </c>
      <c r="P19" s="41">
        <f t="shared" si="3"/>
        <v>752694</v>
      </c>
      <c r="Q19" s="41">
        <f t="shared" si="4"/>
        <v>977362</v>
      </c>
      <c r="R19" s="44"/>
      <c r="S19" s="44">
        <f>IF(I19&lt;&gt;"",_xlfn.XLOOKUP($D$4+I19,$A$26:$A$145,$B$26:$B$145,0) * 1000,"")</f>
        <v>47.795789741909701</v>
      </c>
      <c r="T19" s="52">
        <f t="shared" si="29"/>
        <v>0</v>
      </c>
      <c r="U19" s="53">
        <f t="shared" si="15"/>
        <v>0.74354944690109881</v>
      </c>
      <c r="V19" s="53">
        <f t="shared" si="16"/>
        <v>3.5538533026798172E-2</v>
      </c>
      <c r="W19" s="53">
        <f t="shared" si="17"/>
        <v>0</v>
      </c>
      <c r="X19" s="46">
        <f t="shared" si="5"/>
        <v>0.7080109138743006</v>
      </c>
      <c r="Y19" s="54"/>
      <c r="Z19" s="41">
        <f t="shared" si="18"/>
        <v>688456.89418240881</v>
      </c>
      <c r="AA19" s="41">
        <f t="shared" si="19"/>
        <v>14870.988938021976</v>
      </c>
      <c r="AB19" s="41">
        <f t="shared" si="6"/>
        <v>691982.96280601423</v>
      </c>
      <c r="AC19" s="41">
        <f t="shared" si="7"/>
        <v>14160.218277486012</v>
      </c>
      <c r="AD19" s="54"/>
      <c r="AE19" s="41">
        <f t="shared" si="8"/>
        <v>0</v>
      </c>
      <c r="AF19" s="41"/>
      <c r="AG19" s="41">
        <f t="shared" si="9"/>
        <v>-17.700272846857516</v>
      </c>
      <c r="AH19" s="41">
        <f t="shared" si="20"/>
        <v>-71077.06605359634</v>
      </c>
      <c r="AI19" s="41">
        <f t="shared" si="21"/>
        <v>0</v>
      </c>
      <c r="AJ19" s="41">
        <f t="shared" si="10"/>
        <v>-71094.76632644319</v>
      </c>
      <c r="AK19" s="41">
        <f t="shared" si="11"/>
        <v>-3526.0686236054171</v>
      </c>
      <c r="AL19" s="41">
        <f t="shared" si="22"/>
        <v>28133.11532481723</v>
      </c>
      <c r="AM19" s="41">
        <f t="shared" si="12"/>
        <v>-46487.719625231373</v>
      </c>
      <c r="AN19" s="41">
        <f t="shared" si="13"/>
        <v>710.77066053596354</v>
      </c>
      <c r="AO19" s="41">
        <f t="shared" si="14"/>
        <v>-45776.94896469541</v>
      </c>
      <c r="AP19" s="45"/>
      <c r="AQ19" s="45"/>
      <c r="AR19" s="48"/>
      <c r="AS19" s="48"/>
      <c r="AT19" s="51">
        <f t="shared" si="23"/>
        <v>15</v>
      </c>
      <c r="AU19" s="49">
        <f t="shared" si="24"/>
        <v>0.74354944690109881</v>
      </c>
      <c r="AV19" s="49">
        <f t="shared" si="25"/>
        <v>3.5538533026798172E-2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488.68099999999998</v>
      </c>
      <c r="AX19" s="50">
        <f>IF(ISERROR(ROUND(MAX(0,1000*NPV($AT$2,$AV20:$AV$124)-$AW$2*($AU20+NPV($AT$2,$AU21:$AU$124)))/AU20,3)), 0, ROUND(MAX(0,1000*NPV($AT$2,$AV20:$AV$124)-$AW$2*($AU20+NPV($AT$2,$AU21:$AU$124)))/AU20,3))</f>
        <v>376.34699999999998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/>
      <c r="G20" s="1"/>
      <c r="H20" s="1"/>
      <c r="I20" s="51">
        <v>16</v>
      </c>
      <c r="J20" s="41"/>
      <c r="K20" s="41" t="str">
        <f t="shared" si="26"/>
        <v/>
      </c>
      <c r="L20" s="42">
        <f t="shared" si="27"/>
        <v>25</v>
      </c>
      <c r="M20" s="41">
        <f t="shared" si="28"/>
        <v>2000000</v>
      </c>
      <c r="N20" s="43">
        <f t="shared" si="1"/>
        <v>404.44900000000001</v>
      </c>
      <c r="O20" s="44">
        <f t="shared" si="2"/>
        <v>513.84</v>
      </c>
      <c r="P20" s="41">
        <f t="shared" si="3"/>
        <v>808898</v>
      </c>
      <c r="Q20" s="41">
        <f t="shared" si="4"/>
        <v>1027680.0000000001</v>
      </c>
      <c r="R20" s="44"/>
      <c r="S20" s="44">
        <f>IF(I20&lt;&gt;"",_xlfn.XLOOKUP($D$4+I20,$A$26:$A$145,$B$26:$B$145,0) * 1000,"")</f>
        <v>53.5574293410005</v>
      </c>
      <c r="T20" s="52">
        <f t="shared" si="29"/>
        <v>0</v>
      </c>
      <c r="U20" s="53">
        <f t="shared" si="15"/>
        <v>0.7080109138743006</v>
      </c>
      <c r="V20" s="53">
        <f t="shared" si="16"/>
        <v>3.7919244492480048E-2</v>
      </c>
      <c r="W20" s="53">
        <f t="shared" si="17"/>
        <v>0</v>
      </c>
      <c r="X20" s="46">
        <f t="shared" si="5"/>
        <v>0.67009166938182052</v>
      </c>
      <c r="Y20" s="54"/>
      <c r="Z20" s="41">
        <f t="shared" si="18"/>
        <v>691982.96280601423</v>
      </c>
      <c r="AA20" s="41">
        <f t="shared" si="19"/>
        <v>14160.218277486012</v>
      </c>
      <c r="AB20" s="41">
        <f t="shared" si="6"/>
        <v>688639.80679030938</v>
      </c>
      <c r="AC20" s="41">
        <f t="shared" si="7"/>
        <v>13401.83338763641</v>
      </c>
      <c r="AD20" s="54"/>
      <c r="AE20" s="41">
        <f t="shared" si="8"/>
        <v>0</v>
      </c>
      <c r="AF20" s="41"/>
      <c r="AG20" s="41">
        <f t="shared" si="9"/>
        <v>-16.752291734545512</v>
      </c>
      <c r="AH20" s="41">
        <f t="shared" si="20"/>
        <v>-75838.488984960102</v>
      </c>
      <c r="AI20" s="41">
        <f t="shared" si="21"/>
        <v>0</v>
      </c>
      <c r="AJ20" s="41">
        <f t="shared" si="10"/>
        <v>-75855.241276694651</v>
      </c>
      <c r="AK20" s="41">
        <f t="shared" si="11"/>
        <v>3343.1560157048516</v>
      </c>
      <c r="AL20" s="41">
        <f t="shared" si="22"/>
        <v>28245.72724334001</v>
      </c>
      <c r="AM20" s="41">
        <f t="shared" si="12"/>
        <v>-44266.358017649793</v>
      </c>
      <c r="AN20" s="41">
        <f t="shared" si="13"/>
        <v>758.38488984960168</v>
      </c>
      <c r="AO20" s="41">
        <f t="shared" si="14"/>
        <v>-43507.973127800193</v>
      </c>
      <c r="AP20" s="45"/>
      <c r="AQ20" s="45"/>
      <c r="AR20" s="48"/>
      <c r="AS20" s="48"/>
      <c r="AT20" s="51">
        <f t="shared" si="23"/>
        <v>16</v>
      </c>
      <c r="AU20" s="49">
        <f t="shared" si="24"/>
        <v>0.7080109138743006</v>
      </c>
      <c r="AV20" s="49">
        <f t="shared" si="25"/>
        <v>3.7919244492480048E-2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513.84</v>
      </c>
      <c r="AX20" s="50">
        <f>IF(ISERROR(ROUND(MAX(0,1000*NPV($AT$2,$AV21:$AV$124)-$AW$2*($AU21+NPV($AT$2,$AU22:$AU$124)))/AU21,3)), 0, ROUND(MAX(0,1000*NPV($AT$2,$AV21:$AV$124)-$AW$2*($AU21+NPV($AT$2,$AU22:$AU$124)))/AU21,3))</f>
        <v>404.44900000000001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6"/>
        <v/>
      </c>
      <c r="L21" s="42">
        <f t="shared" si="27"/>
        <v>25</v>
      </c>
      <c r="M21" s="41">
        <f t="shared" si="28"/>
        <v>2000000</v>
      </c>
      <c r="N21" s="43">
        <f t="shared" si="1"/>
        <v>432.029</v>
      </c>
      <c r="O21" s="44">
        <f t="shared" si="2"/>
        <v>538.31899999999996</v>
      </c>
      <c r="P21" s="41">
        <f t="shared" si="3"/>
        <v>864058</v>
      </c>
      <c r="Q21" s="41">
        <f t="shared" si="4"/>
        <v>1076638</v>
      </c>
      <c r="R21" s="44"/>
      <c r="S21" s="44">
        <f>IF(I21&lt;&gt;"",_xlfn.XLOOKUP($D$4+I21,$A$26:$A$145,$B$26:$B$145,0) * 1000,"")</f>
        <v>60.048558902911104</v>
      </c>
      <c r="T21" s="52">
        <f t="shared" si="29"/>
        <v>0</v>
      </c>
      <c r="U21" s="53">
        <f t="shared" si="15"/>
        <v>0.67009166938182052</v>
      </c>
      <c r="V21" s="53">
        <f t="shared" si="16"/>
        <v>4.0238039079224276E-2</v>
      </c>
      <c r="W21" s="53">
        <f t="shared" si="17"/>
        <v>0</v>
      </c>
      <c r="X21" s="46">
        <f t="shared" si="5"/>
        <v>0.62985363030259622</v>
      </c>
      <c r="Y21" s="54"/>
      <c r="Z21" s="41">
        <f t="shared" si="18"/>
        <v>688639.80679030938</v>
      </c>
      <c r="AA21" s="41">
        <f t="shared" si="19"/>
        <v>13401.83338763641</v>
      </c>
      <c r="AB21" s="41">
        <f t="shared" si="6"/>
        <v>678124.35282172658</v>
      </c>
      <c r="AC21" s="41">
        <f t="shared" si="7"/>
        <v>12597.072606051925</v>
      </c>
      <c r="AD21" s="54"/>
      <c r="AE21" s="41">
        <f t="shared" si="8"/>
        <v>0</v>
      </c>
      <c r="AF21" s="41"/>
      <c r="AG21" s="41">
        <f t="shared" si="9"/>
        <v>-15.746340757564905</v>
      </c>
      <c r="AH21" s="41">
        <f t="shared" si="20"/>
        <v>-80476.078158448552</v>
      </c>
      <c r="AI21" s="41">
        <f t="shared" si="21"/>
        <v>0</v>
      </c>
      <c r="AJ21" s="41">
        <f t="shared" si="10"/>
        <v>-80491.824499206123</v>
      </c>
      <c r="AK21" s="41">
        <f t="shared" si="11"/>
        <v>10515.453968582791</v>
      </c>
      <c r="AL21" s="41">
        <f t="shared" si="22"/>
        <v>28081.665607117833</v>
      </c>
      <c r="AM21" s="41">
        <f t="shared" si="12"/>
        <v>-41894.704923505502</v>
      </c>
      <c r="AN21" s="41">
        <f t="shared" si="13"/>
        <v>804.76078158448581</v>
      </c>
      <c r="AO21" s="41">
        <f t="shared" si="14"/>
        <v>-41089.94414192102</v>
      </c>
      <c r="AP21" s="45"/>
      <c r="AQ21" s="45"/>
      <c r="AR21" s="48"/>
      <c r="AS21" s="48"/>
      <c r="AT21" s="51">
        <f t="shared" si="23"/>
        <v>17</v>
      </c>
      <c r="AU21" s="49">
        <f t="shared" si="24"/>
        <v>0.67009166938182052</v>
      </c>
      <c r="AV21" s="49">
        <f t="shared" si="25"/>
        <v>4.0238039079224276E-2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538.31899999999996</v>
      </c>
      <c r="AX21" s="50">
        <f>IF(ISERROR(ROUND(MAX(0,1000*NPV($AT$2,$AV22:$AV$124)-$AW$2*($AU22+NPV($AT$2,$AU23:$AU$124)))/AU22,3)), 0, ROUND(MAX(0,1000*NPV($AT$2,$AV22:$AV$124)-$AW$2*($AU22+NPV($AT$2,$AU23:$AU$124)))/AU22,3))</f>
        <v>432.029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6"/>
        <v/>
      </c>
      <c r="L22" s="42">
        <f t="shared" si="27"/>
        <v>25</v>
      </c>
      <c r="M22" s="41">
        <f t="shared" si="28"/>
        <v>2000000</v>
      </c>
      <c r="N22" s="43">
        <f t="shared" si="1"/>
        <v>458.92500000000001</v>
      </c>
      <c r="O22" s="44">
        <f t="shared" si="2"/>
        <v>562</v>
      </c>
      <c r="P22" s="41">
        <f t="shared" si="3"/>
        <v>917850</v>
      </c>
      <c r="Q22" s="41">
        <f t="shared" si="4"/>
        <v>1124000</v>
      </c>
      <c r="R22" s="44"/>
      <c r="S22" s="44">
        <f>IF(I22&lt;&gt;"",_xlfn.XLOOKUP($D$4+I22,$A$26:$A$145,$B$26:$B$145,0) * 1000,"")</f>
        <v>67.353858678097808</v>
      </c>
      <c r="T22" s="52">
        <f t="shared" si="29"/>
        <v>0</v>
      </c>
      <c r="U22" s="53">
        <f t="shared" si="15"/>
        <v>0.62985363030259622</v>
      </c>
      <c r="V22" s="53">
        <f t="shared" si="16"/>
        <v>4.242307240328793E-2</v>
      </c>
      <c r="W22" s="53">
        <f t="shared" si="17"/>
        <v>0</v>
      </c>
      <c r="X22" s="46">
        <f t="shared" si="5"/>
        <v>0.58743055789930831</v>
      </c>
      <c r="Y22" s="54"/>
      <c r="Z22" s="41">
        <f t="shared" si="18"/>
        <v>678124.35282172658</v>
      </c>
      <c r="AA22" s="41">
        <f t="shared" si="19"/>
        <v>12597.072606051925</v>
      </c>
      <c r="AB22" s="41">
        <f t="shared" si="6"/>
        <v>660271.94707882253</v>
      </c>
      <c r="AC22" s="41">
        <f t="shared" si="7"/>
        <v>11748.611157986166</v>
      </c>
      <c r="AD22" s="54"/>
      <c r="AE22" s="41">
        <f t="shared" si="8"/>
        <v>0</v>
      </c>
      <c r="AF22" s="41"/>
      <c r="AG22" s="41">
        <f t="shared" si="9"/>
        <v>-14.685763947482707</v>
      </c>
      <c r="AH22" s="41">
        <f t="shared" si="20"/>
        <v>-84846.14480657586</v>
      </c>
      <c r="AI22" s="41">
        <f t="shared" si="21"/>
        <v>0</v>
      </c>
      <c r="AJ22" s="41">
        <f t="shared" si="10"/>
        <v>-84860.830570523336</v>
      </c>
      <c r="AK22" s="41">
        <f t="shared" si="11"/>
        <v>17852.405742904055</v>
      </c>
      <c r="AL22" s="41">
        <f t="shared" si="22"/>
        <v>27628.857017111142</v>
      </c>
      <c r="AM22" s="41">
        <f t="shared" si="12"/>
        <v>-39379.567810508139</v>
      </c>
      <c r="AN22" s="41">
        <f t="shared" si="13"/>
        <v>848.4614480657583</v>
      </c>
      <c r="AO22" s="41">
        <f t="shared" si="14"/>
        <v>-38531.106362442384</v>
      </c>
      <c r="AP22" s="45"/>
      <c r="AQ22" s="45"/>
      <c r="AR22" s="48"/>
      <c r="AS22" s="48"/>
      <c r="AT22" s="51">
        <f t="shared" si="23"/>
        <v>18</v>
      </c>
      <c r="AU22" s="49">
        <f t="shared" si="24"/>
        <v>0.62985363030259622</v>
      </c>
      <c r="AV22" s="49">
        <f t="shared" si="25"/>
        <v>4.242307240328793E-2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562</v>
      </c>
      <c r="AX22" s="50">
        <f>IF(ISERROR(ROUND(MAX(0,1000*NPV($AT$2,$AV23:$AV$124)-$AW$2*($AU23+NPV($AT$2,$AU24:$AU$124)))/AU23,3)), 0, ROUND(MAX(0,1000*NPV($AT$2,$AV23:$AV$124)-$AW$2*($AU23+NPV($AT$2,$AU24:$AU$124)))/AU23,3))</f>
        <v>458.92500000000001</v>
      </c>
    </row>
    <row r="23" spans="1:50" ht="15" x14ac:dyDescent="0.25">
      <c r="B23" s="1"/>
      <c r="C23" s="1"/>
      <c r="D23" s="1"/>
      <c r="I23" s="51">
        <v>19</v>
      </c>
      <c r="J23" s="41"/>
      <c r="K23" s="41" t="str">
        <f t="shared" si="26"/>
        <v/>
      </c>
      <c r="L23" s="42">
        <f t="shared" si="27"/>
        <v>25</v>
      </c>
      <c r="M23" s="41">
        <f t="shared" si="28"/>
        <v>2000000</v>
      </c>
      <c r="N23" s="43">
        <f t="shared" si="1"/>
        <v>484.93599999999998</v>
      </c>
      <c r="O23" s="44">
        <f t="shared" si="2"/>
        <v>584.73199999999997</v>
      </c>
      <c r="P23" s="41">
        <f t="shared" si="3"/>
        <v>969872</v>
      </c>
      <c r="Q23" s="41">
        <f t="shared" si="4"/>
        <v>1169464</v>
      </c>
      <c r="R23" s="44"/>
      <c r="S23" s="44">
        <f>IF(I23&lt;&gt;"",_xlfn.XLOOKUP($D$4+I23,$A$26:$A$145,$B$26:$B$145,0) * 1000,"")</f>
        <v>75.607462247925</v>
      </c>
      <c r="T23" s="52">
        <f t="shared" si="29"/>
        <v>0</v>
      </c>
      <c r="U23" s="53">
        <f t="shared" si="15"/>
        <v>0.58743055789930831</v>
      </c>
      <c r="V23" s="53">
        <f t="shared" si="16"/>
        <v>4.4414133729649474E-2</v>
      </c>
      <c r="W23" s="53">
        <f t="shared" si="17"/>
        <v>0</v>
      </c>
      <c r="X23" s="46">
        <f t="shared" si="5"/>
        <v>0.5430164241696589</v>
      </c>
      <c r="Y23" s="54"/>
      <c r="Z23" s="41">
        <f t="shared" si="18"/>
        <v>660271.94707882253</v>
      </c>
      <c r="AA23" s="41">
        <f t="shared" si="19"/>
        <v>11748.611157986166</v>
      </c>
      <c r="AB23" s="41">
        <f t="shared" si="6"/>
        <v>635038.15947514598</v>
      </c>
      <c r="AC23" s="41">
        <f t="shared" si="7"/>
        <v>10860.328483393178</v>
      </c>
      <c r="AD23" s="54"/>
      <c r="AE23" s="41">
        <f t="shared" si="8"/>
        <v>0</v>
      </c>
      <c r="AF23" s="41"/>
      <c r="AG23" s="41">
        <f t="shared" si="9"/>
        <v>-13.575410604241473</v>
      </c>
      <c r="AH23" s="41">
        <f t="shared" si="20"/>
        <v>-88828.26745929895</v>
      </c>
      <c r="AI23" s="41">
        <f t="shared" si="21"/>
        <v>0</v>
      </c>
      <c r="AJ23" s="41">
        <f t="shared" si="10"/>
        <v>-88841.842869903194</v>
      </c>
      <c r="AK23" s="41">
        <f t="shared" si="11"/>
        <v>25233.787603676552</v>
      </c>
      <c r="AL23" s="41">
        <f t="shared" si="22"/>
        <v>26880.82232947235</v>
      </c>
      <c r="AM23" s="41">
        <f t="shared" si="12"/>
        <v>-36727.232936754292</v>
      </c>
      <c r="AN23" s="41">
        <f t="shared" si="13"/>
        <v>888.28267459298877</v>
      </c>
      <c r="AO23" s="41">
        <f t="shared" si="14"/>
        <v>-35838.950262161306</v>
      </c>
      <c r="AP23" s="45"/>
      <c r="AQ23" s="45"/>
      <c r="AR23" s="48"/>
      <c r="AS23" s="48"/>
      <c r="AT23" s="51">
        <f t="shared" si="23"/>
        <v>19</v>
      </c>
      <c r="AU23" s="49">
        <f t="shared" si="24"/>
        <v>0.58743055789930831</v>
      </c>
      <c r="AV23" s="49">
        <f t="shared" si="25"/>
        <v>4.4414133729649474E-2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584.73199999999997</v>
      </c>
      <c r="AX23" s="50">
        <f>IF(ISERROR(ROUND(MAX(0,1000*NPV($AT$2,$AV24:$AV$124)-$AW$2*($AU24+NPV($AT$2,$AU25:$AU$124)))/AU24,3)), 0, ROUND(MAX(0,1000*NPV($AT$2,$AV24:$AV$124)-$AW$2*($AU24+NPV($AT$2,$AU25:$AU$124)))/AU24,3))</f>
        <v>484.93599999999998</v>
      </c>
    </row>
    <row r="24" spans="1:50" ht="15" x14ac:dyDescent="0.25">
      <c r="A24" t="s">
        <v>64</v>
      </c>
      <c r="B24" s="1"/>
      <c r="C24" s="1"/>
      <c r="D24" s="1"/>
      <c r="E24" s="75" t="s">
        <v>83</v>
      </c>
      <c r="I24" s="51">
        <v>20</v>
      </c>
      <c r="J24" s="41"/>
      <c r="K24" s="41" t="str">
        <f t="shared" si="26"/>
        <v/>
      </c>
      <c r="L24" s="42">
        <f t="shared" si="27"/>
        <v>25</v>
      </c>
      <c r="M24" s="41">
        <f t="shared" si="28"/>
        <v>2000000</v>
      </c>
      <c r="N24" s="43">
        <f t="shared" si="1"/>
        <v>510.02800000000002</v>
      </c>
      <c r="O24" s="44">
        <f t="shared" si="2"/>
        <v>606.50400000000002</v>
      </c>
      <c r="P24" s="41">
        <f t="shared" si="3"/>
        <v>1020056</v>
      </c>
      <c r="Q24" s="41">
        <f t="shared" si="4"/>
        <v>1213008</v>
      </c>
      <c r="R24" s="44"/>
      <c r="S24" s="44">
        <f>IF(I24&lt;&gt;"",_xlfn.XLOOKUP($D$4+I24,$A$26:$A$145,$B$26:$B$145,0) * 1000,"")</f>
        <v>84.541493126360308</v>
      </c>
      <c r="T24" s="52">
        <f t="shared" si="29"/>
        <v>0</v>
      </c>
      <c r="U24" s="53">
        <f t="shared" si="15"/>
        <v>0.5430164241696589</v>
      </c>
      <c r="V24" s="53">
        <f t="shared" si="16"/>
        <v>4.5907419291439974E-2</v>
      </c>
      <c r="W24" s="53">
        <f t="shared" si="17"/>
        <v>0</v>
      </c>
      <c r="X24" s="46">
        <f t="shared" si="5"/>
        <v>0.49710900487821891</v>
      </c>
      <c r="Y24" s="54"/>
      <c r="Z24" s="41">
        <f t="shared" si="18"/>
        <v>635038.15947514598</v>
      </c>
      <c r="AA24" s="41">
        <f t="shared" si="19"/>
        <v>10860.328483393178</v>
      </c>
      <c r="AB24" s="41">
        <f t="shared" si="6"/>
        <v>602997.19978931861</v>
      </c>
      <c r="AC24" s="41">
        <f t="shared" si="7"/>
        <v>9942.1800975643782</v>
      </c>
      <c r="AD24" s="54"/>
      <c r="AE24" s="41">
        <f t="shared" si="8"/>
        <v>0</v>
      </c>
      <c r="AF24" s="41"/>
      <c r="AG24" s="41">
        <f t="shared" si="9"/>
        <v>-12.427725121955472</v>
      </c>
      <c r="AH24" s="41">
        <f t="shared" si="20"/>
        <v>-91814.838582879951</v>
      </c>
      <c r="AI24" s="41">
        <f t="shared" si="21"/>
        <v>0</v>
      </c>
      <c r="AJ24" s="41">
        <f t="shared" si="10"/>
        <v>-91827.266308001912</v>
      </c>
      <c r="AK24" s="41">
        <f t="shared" si="11"/>
        <v>32040.959685827373</v>
      </c>
      <c r="AL24" s="41">
        <f t="shared" si="22"/>
        <v>25835.939518341565</v>
      </c>
      <c r="AM24" s="41">
        <f t="shared" si="12"/>
        <v>-33950.367103832978</v>
      </c>
      <c r="AN24" s="41">
        <f t="shared" si="13"/>
        <v>918.14838582879929</v>
      </c>
      <c r="AO24" s="41">
        <f t="shared" si="14"/>
        <v>-33032.21871800418</v>
      </c>
      <c r="AP24" s="45"/>
      <c r="AQ24" s="45"/>
      <c r="AR24" s="48"/>
      <c r="AS24" s="48"/>
      <c r="AT24" s="51">
        <f t="shared" si="23"/>
        <v>20</v>
      </c>
      <c r="AU24" s="49">
        <f t="shared" si="24"/>
        <v>0.5430164241696589</v>
      </c>
      <c r="AV24" s="49">
        <f t="shared" si="25"/>
        <v>4.5907419291439974E-2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606.50400000000002</v>
      </c>
      <c r="AX24" s="50">
        <f>IF(ISERROR(ROUND(MAX(0,1000*NPV($AT$2,$AV25:$AV$124)-$AW$2*($AU25+NPV($AT$2,$AU26:$AU$124)))/AU25,3)), 0, ROUND(MAX(0,1000*NPV($AT$2,$AV25:$AV$124)-$AW$2*($AU25+NPV($AT$2,$AU26:$AU$124)))/AU25,3))</f>
        <v>510.02800000000002</v>
      </c>
    </row>
    <row r="25" spans="1:50" ht="15" x14ac:dyDescent="0.25">
      <c r="A25" t="s">
        <v>65</v>
      </c>
      <c r="B25" t="s">
        <v>77</v>
      </c>
      <c r="C25" t="s">
        <v>73</v>
      </c>
      <c r="D25" s="60">
        <v>35</v>
      </c>
      <c r="E25" s="5">
        <v>612167.65121308423</v>
      </c>
      <c r="F25">
        <v>18365.054909710947</v>
      </c>
      <c r="I25" s="51">
        <v>21</v>
      </c>
      <c r="J25" s="41"/>
      <c r="K25" s="41" t="str">
        <f t="shared" si="26"/>
        <v/>
      </c>
      <c r="L25" s="42">
        <f t="shared" si="27"/>
        <v>25</v>
      </c>
      <c r="M25" s="41">
        <f t="shared" si="28"/>
        <v>2000000</v>
      </c>
      <c r="N25" s="43">
        <f t="shared" si="1"/>
        <v>534.322</v>
      </c>
      <c r="O25" s="44">
        <f t="shared" si="2"/>
        <v>627.42999999999995</v>
      </c>
      <c r="P25" s="41">
        <f t="shared" si="3"/>
        <v>1068644</v>
      </c>
      <c r="Q25" s="41">
        <f t="shared" si="4"/>
        <v>1254860</v>
      </c>
      <c r="R25" s="44"/>
      <c r="S25" s="44">
        <f>IF(I25&lt;&gt;"",_xlfn.XLOOKUP($D$4+I25,$A$26:$A$145,$B$26:$B$145,0) * 1000,"")</f>
        <v>93.896984302318501</v>
      </c>
      <c r="T25" s="52">
        <f t="shared" si="29"/>
        <v>0</v>
      </c>
      <c r="U25" s="53">
        <f t="shared" si="15"/>
        <v>0.49710900487821891</v>
      </c>
      <c r="V25" s="53">
        <f t="shared" si="16"/>
        <v>4.6677036427591287E-2</v>
      </c>
      <c r="W25" s="53">
        <f t="shared" si="17"/>
        <v>0</v>
      </c>
      <c r="X25" s="46">
        <f t="shared" si="5"/>
        <v>0.45043196845062761</v>
      </c>
      <c r="Y25" s="54"/>
      <c r="Z25" s="41">
        <f t="shared" si="18"/>
        <v>602997.19978931861</v>
      </c>
      <c r="AA25" s="41">
        <f t="shared" si="19"/>
        <v>9942.1800975643782</v>
      </c>
      <c r="AB25" s="41">
        <f t="shared" si="6"/>
        <v>565229.05992995459</v>
      </c>
      <c r="AC25" s="41">
        <f t="shared" si="7"/>
        <v>9008.6393690125515</v>
      </c>
      <c r="AD25" s="54"/>
      <c r="AE25" s="41">
        <f t="shared" si="8"/>
        <v>0</v>
      </c>
      <c r="AF25" s="41"/>
      <c r="AG25" s="41">
        <f t="shared" si="9"/>
        <v>-11.26079921126569</v>
      </c>
      <c r="AH25" s="41">
        <f t="shared" si="20"/>
        <v>-93354.072855182574</v>
      </c>
      <c r="AI25" s="41">
        <f t="shared" si="21"/>
        <v>0</v>
      </c>
      <c r="AJ25" s="41">
        <f t="shared" si="10"/>
        <v>-93365.333654393835</v>
      </c>
      <c r="AK25" s="41">
        <f t="shared" si="11"/>
        <v>37768.139859364019</v>
      </c>
      <c r="AL25" s="41">
        <f t="shared" si="22"/>
        <v>24517.575195475318</v>
      </c>
      <c r="AM25" s="41">
        <f t="shared" si="12"/>
        <v>-31079.618599554498</v>
      </c>
      <c r="AN25" s="41">
        <f t="shared" si="13"/>
        <v>933.54072855182676</v>
      </c>
      <c r="AO25" s="41">
        <f t="shared" si="14"/>
        <v>-30146.077871002672</v>
      </c>
      <c r="AP25" s="45"/>
      <c r="AQ25" s="55"/>
      <c r="AR25" s="48"/>
      <c r="AS25" s="48"/>
      <c r="AT25" s="51">
        <f>AT24+1</f>
        <v>21</v>
      </c>
      <c r="AU25" s="49">
        <f t="shared" si="24"/>
        <v>0.49710900487821891</v>
      </c>
      <c r="AV25" s="49">
        <f t="shared" si="25"/>
        <v>4.6677036427591287E-2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627.42999999999995</v>
      </c>
      <c r="AX25" s="50">
        <f>IF(ISERROR(ROUND(MAX(0,1000*NPV($AT$2,$AV26:$AV$124)-$AW$2*($AU26+NPV($AT$2,$AU27:$AU$124)))/AU26,3)), 0, ROUND(MAX(0,1000*NPV($AT$2,$AV26:$AV$124)-$AW$2*($AU26+NPV($AT$2,$AU27:$AU$124)))/AU26,3))</f>
        <v>534.322</v>
      </c>
    </row>
    <row r="26" spans="1:50" ht="15" x14ac:dyDescent="0.25">
      <c r="A26">
        <v>1</v>
      </c>
      <c r="B26">
        <v>3.1367061860122498E-3</v>
      </c>
      <c r="C26">
        <f>B26*(1-$F$16)</f>
        <v>2.9485038148515147E-3</v>
      </c>
      <c r="D26" s="60">
        <v>36</v>
      </c>
      <c r="E26" s="5">
        <v>635173.46395170584</v>
      </c>
      <c r="F26">
        <v>19055.204231218377</v>
      </c>
      <c r="I26" s="51">
        <v>22</v>
      </c>
      <c r="J26" s="41"/>
      <c r="K26" s="41" t="str">
        <f t="shared" si="26"/>
        <v/>
      </c>
      <c r="L26" s="42">
        <f t="shared" si="27"/>
        <v>25</v>
      </c>
      <c r="M26" s="41">
        <f t="shared" si="28"/>
        <v>2000000</v>
      </c>
      <c r="N26" s="43">
        <f t="shared" si="1"/>
        <v>557.74699999999996</v>
      </c>
      <c r="O26" s="44">
        <f t="shared" si="2"/>
        <v>647.46600000000001</v>
      </c>
      <c r="P26" s="41">
        <f t="shared" si="3"/>
        <v>1115494</v>
      </c>
      <c r="Q26" s="41">
        <f t="shared" si="4"/>
        <v>1294932</v>
      </c>
      <c r="R26" s="44"/>
      <c r="S26" s="44">
        <f>IF(I26&lt;&gt;"",_xlfn.XLOOKUP($D$4+I26,$A$26:$A$145,$B$26:$B$145,0) * 1000,"")</f>
        <v>104.132323537525</v>
      </c>
      <c r="T26" s="52">
        <f t="shared" si="29"/>
        <v>0</v>
      </c>
      <c r="U26" s="53">
        <f t="shared" si="15"/>
        <v>0.45043196845062761</v>
      </c>
      <c r="V26" s="53">
        <f t="shared" si="16"/>
        <v>4.6904527470345007E-2</v>
      </c>
      <c r="W26" s="53">
        <f t="shared" si="17"/>
        <v>0</v>
      </c>
      <c r="X26" s="46">
        <f t="shared" si="5"/>
        <v>0.40352744098028259</v>
      </c>
      <c r="Y26" s="54"/>
      <c r="Z26" s="41">
        <f t="shared" si="18"/>
        <v>565229.05992995459</v>
      </c>
      <c r="AA26" s="41">
        <f t="shared" si="19"/>
        <v>9008.6393690125515</v>
      </c>
      <c r="AB26" s="41">
        <f t="shared" si="6"/>
        <v>522540.59620347928</v>
      </c>
      <c r="AC26" s="41">
        <f t="shared" si="7"/>
        <v>8070.5488196056522</v>
      </c>
      <c r="AD26" s="54"/>
      <c r="AE26" s="41">
        <f t="shared" si="8"/>
        <v>0</v>
      </c>
      <c r="AF26" s="41"/>
      <c r="AG26" s="41">
        <f t="shared" si="9"/>
        <v>-10.088186024507065</v>
      </c>
      <c r="AH26" s="41">
        <f t="shared" si="20"/>
        <v>-93809.05494069001</v>
      </c>
      <c r="AI26" s="41">
        <f t="shared" si="21"/>
        <v>0</v>
      </c>
      <c r="AJ26" s="41">
        <f t="shared" si="10"/>
        <v>-93819.143126714524</v>
      </c>
      <c r="AK26" s="41">
        <f t="shared" si="11"/>
        <v>42688.463726475311</v>
      </c>
      <c r="AL26" s="41">
        <f t="shared" si="22"/>
        <v>22969.507971958687</v>
      </c>
      <c r="AM26" s="41">
        <f t="shared" si="12"/>
        <v>-28161.171428280526</v>
      </c>
      <c r="AN26" s="41">
        <f t="shared" si="13"/>
        <v>938.0905494068993</v>
      </c>
      <c r="AO26" s="41">
        <f t="shared" si="14"/>
        <v>-27223.080878873625</v>
      </c>
      <c r="AP26" s="45"/>
      <c r="AQ26" s="55"/>
      <c r="AR26" s="48"/>
      <c r="AS26" s="48"/>
      <c r="AT26" s="51">
        <f t="shared" si="23"/>
        <v>22</v>
      </c>
      <c r="AU26" s="49">
        <f t="shared" si="24"/>
        <v>0.45043196845062761</v>
      </c>
      <c r="AV26" s="49">
        <f t="shared" si="25"/>
        <v>4.6904527470345007E-2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647.46600000000001</v>
      </c>
      <c r="AX26" s="50">
        <f>IF(ISERROR(ROUND(MAX(0,1000*NPV($AT$2,$AV27:$AV$124)-$AW$2*($AU27+NPV($AT$2,$AU28:$AU$124)))/AU27,3)), 0, ROUND(MAX(0,1000*NPV($AT$2,$AV27:$AV$124)-$AW$2*($AU27+NPV($AT$2,$AU28:$AU$124)))/AU27,3))</f>
        <v>557.74699999999996</v>
      </c>
    </row>
    <row r="27" spans="1:50" ht="15" x14ac:dyDescent="0.25">
      <c r="A27">
        <v>2</v>
      </c>
      <c r="B27">
        <v>2.9824445921844401E-4</v>
      </c>
      <c r="C27">
        <f t="shared" ref="C27:C90" si="30">B27*(1-$F$16)</f>
        <v>2.8034979166533734E-4</v>
      </c>
      <c r="D27" s="60">
        <v>37</v>
      </c>
      <c r="E27" s="5">
        <v>658898.71736913035</v>
      </c>
      <c r="F27">
        <v>19766.961840217409</v>
      </c>
      <c r="I27" s="51">
        <v>23</v>
      </c>
      <c r="J27" s="41"/>
      <c r="K27" s="41" t="str">
        <f t="shared" si="26"/>
        <v/>
      </c>
      <c r="L27" s="42">
        <f t="shared" si="27"/>
        <v>25</v>
      </c>
      <c r="M27" s="41">
        <f t="shared" si="28"/>
        <v>2000000</v>
      </c>
      <c r="N27" s="43">
        <f t="shared" si="1"/>
        <v>580.27</v>
      </c>
      <c r="O27" s="44">
        <f t="shared" si="2"/>
        <v>666.6</v>
      </c>
      <c r="P27" s="41">
        <f t="shared" si="3"/>
        <v>1160540</v>
      </c>
      <c r="Q27" s="41">
        <f t="shared" si="4"/>
        <v>1333200</v>
      </c>
      <c r="R27" s="44"/>
      <c r="S27" s="44">
        <f>IF(I27&lt;&gt;"",_xlfn.XLOOKUP($D$4+I27,$A$26:$A$145,$B$26:$B$145,0) * 1000,"")</f>
        <v>115.217726427351</v>
      </c>
      <c r="T27" s="52">
        <f t="shared" si="29"/>
        <v>0</v>
      </c>
      <c r="U27" s="53">
        <f t="shared" si="15"/>
        <v>0.40352744098028259</v>
      </c>
      <c r="V27" s="53">
        <f t="shared" si="16"/>
        <v>4.6493514300795229E-2</v>
      </c>
      <c r="W27" s="53">
        <f t="shared" si="17"/>
        <v>0</v>
      </c>
      <c r="X27" s="46">
        <f t="shared" si="5"/>
        <v>0.35703392667948736</v>
      </c>
      <c r="Y27" s="54"/>
      <c r="Z27" s="41">
        <f t="shared" si="18"/>
        <v>522540.59620347928</v>
      </c>
      <c r="AA27" s="41">
        <f t="shared" si="19"/>
        <v>8070.5488196056522</v>
      </c>
      <c r="AB27" s="41">
        <f t="shared" si="6"/>
        <v>475997.63104909257</v>
      </c>
      <c r="AC27" s="41">
        <f t="shared" si="7"/>
        <v>7140.6785335897475</v>
      </c>
      <c r="AD27" s="54"/>
      <c r="AE27" s="41">
        <f t="shared" si="8"/>
        <v>0</v>
      </c>
      <c r="AF27" s="41"/>
      <c r="AG27" s="41">
        <f t="shared" si="9"/>
        <v>-8.9258481669871834</v>
      </c>
      <c r="AH27" s="41">
        <f t="shared" si="20"/>
        <v>-92987.028601590457</v>
      </c>
      <c r="AI27" s="41">
        <f t="shared" si="21"/>
        <v>0</v>
      </c>
      <c r="AJ27" s="41">
        <f t="shared" si="10"/>
        <v>-92995.954449757439</v>
      </c>
      <c r="AK27" s="41">
        <f t="shared" si="11"/>
        <v>46542.965154386708</v>
      </c>
      <c r="AL27" s="41">
        <f t="shared" si="22"/>
        <v>21224.445800923397</v>
      </c>
      <c r="AM27" s="41">
        <f t="shared" si="12"/>
        <v>-25228.543494447335</v>
      </c>
      <c r="AN27" s="41">
        <f t="shared" si="13"/>
        <v>929.87028601590464</v>
      </c>
      <c r="AO27" s="41">
        <f t="shared" si="14"/>
        <v>-24298.673208431428</v>
      </c>
      <c r="AP27" s="45"/>
      <c r="AQ27" s="55"/>
      <c r="AR27" s="48"/>
      <c r="AS27" s="48"/>
      <c r="AT27" s="51">
        <f t="shared" si="23"/>
        <v>23</v>
      </c>
      <c r="AU27" s="49">
        <f t="shared" si="24"/>
        <v>0.40352744098028259</v>
      </c>
      <c r="AV27" s="49">
        <f t="shared" si="25"/>
        <v>4.6493514300795229E-2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666.6</v>
      </c>
      <c r="AX27" s="50">
        <f>IF(ISERROR(ROUND(MAX(0,1000*NPV($AT$2,$AV28:$AV$124)-$AW$2*($AU28+NPV($AT$2,$AU29:$AU$124)))/AU28,3)), 0, ROUND(MAX(0,1000*NPV($AT$2,$AV28:$AV$124)-$AW$2*($AU28+NPV($AT$2,$AU29:$AU$124)))/AU28,3))</f>
        <v>580.27</v>
      </c>
    </row>
    <row r="28" spans="1:50" ht="15" x14ac:dyDescent="0.25">
      <c r="A28">
        <v>3</v>
      </c>
      <c r="B28">
        <v>2.1241570973284899E-4</v>
      </c>
      <c r="C28">
        <f t="shared" si="30"/>
        <v>1.9967076714887805E-4</v>
      </c>
      <c r="D28" s="60">
        <v>38</v>
      </c>
      <c r="E28" s="5">
        <v>683348.74699113041</v>
      </c>
      <c r="F28">
        <v>20500.467035689158</v>
      </c>
      <c r="I28" s="51">
        <v>24</v>
      </c>
      <c r="J28" s="41"/>
      <c r="K28" s="41" t="str">
        <f t="shared" si="26"/>
        <v/>
      </c>
      <c r="L28" s="42">
        <f t="shared" si="27"/>
        <v>25</v>
      </c>
      <c r="M28" s="41">
        <f t="shared" si="28"/>
        <v>2000000</v>
      </c>
      <c r="N28" s="43">
        <f t="shared" si="1"/>
        <v>601.73900000000003</v>
      </c>
      <c r="O28" s="44">
        <f t="shared" si="2"/>
        <v>684.726</v>
      </c>
      <c r="P28" s="41">
        <f t="shared" si="3"/>
        <v>1203478</v>
      </c>
      <c r="Q28" s="41">
        <f t="shared" si="4"/>
        <v>1369452</v>
      </c>
      <c r="R28" s="44"/>
      <c r="S28" s="44">
        <f>IF(I28&lt;&gt;"",_xlfn.XLOOKUP($D$4+I28,$A$26:$A$145,$B$26:$B$145,0) * 1000,"")</f>
        <v>127.46674554676198</v>
      </c>
      <c r="T28" s="52">
        <f t="shared" si="29"/>
        <v>0</v>
      </c>
      <c r="U28" s="53">
        <f t="shared" si="15"/>
        <v>0.35703392667948736</v>
      </c>
      <c r="V28" s="53">
        <f t="shared" si="16"/>
        <v>4.550995268361549E-2</v>
      </c>
      <c r="W28" s="53">
        <f t="shared" si="17"/>
        <v>0</v>
      </c>
      <c r="X28" s="46">
        <f t="shared" si="5"/>
        <v>0.31152397399587184</v>
      </c>
      <c r="Y28" s="54"/>
      <c r="Z28" s="41">
        <f t="shared" si="18"/>
        <v>475997.63104909257</v>
      </c>
      <c r="AA28" s="41">
        <f t="shared" si="19"/>
        <v>7140.6785335897475</v>
      </c>
      <c r="AB28" s="41">
        <f t="shared" si="6"/>
        <v>426617.12923659466</v>
      </c>
      <c r="AC28" s="41">
        <f t="shared" si="7"/>
        <v>6230.4794799174369</v>
      </c>
      <c r="AD28" s="54"/>
      <c r="AE28" s="41">
        <f t="shared" si="8"/>
        <v>0</v>
      </c>
      <c r="AF28" s="41"/>
      <c r="AG28" s="41">
        <f t="shared" si="9"/>
        <v>-7.7880993498967959</v>
      </c>
      <c r="AH28" s="41">
        <f t="shared" si="20"/>
        <v>-91019.905367230982</v>
      </c>
      <c r="AI28" s="41">
        <f t="shared" si="21"/>
        <v>0</v>
      </c>
      <c r="AJ28" s="41">
        <f t="shared" si="10"/>
        <v>-91027.69346658088</v>
      </c>
      <c r="AK28" s="41">
        <f t="shared" si="11"/>
        <v>49380.501812497911</v>
      </c>
      <c r="AL28" s="41">
        <f t="shared" si="22"/>
        <v>19325.532383307294</v>
      </c>
      <c r="AM28" s="41">
        <f t="shared" si="12"/>
        <v>-22321.659270775675</v>
      </c>
      <c r="AN28" s="41">
        <f t="shared" si="13"/>
        <v>910.19905367231058</v>
      </c>
      <c r="AO28" s="41">
        <f t="shared" si="14"/>
        <v>-21411.460217103366</v>
      </c>
      <c r="AP28" s="45"/>
      <c r="AQ28" s="55"/>
      <c r="AR28" s="48"/>
      <c r="AS28" s="48"/>
      <c r="AT28" s="51">
        <f t="shared" si="23"/>
        <v>24</v>
      </c>
      <c r="AU28" s="49">
        <f t="shared" si="24"/>
        <v>0.35703392667948736</v>
      </c>
      <c r="AV28" s="49">
        <f t="shared" si="25"/>
        <v>4.550995268361549E-2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684.726</v>
      </c>
      <c r="AX28" s="50">
        <f>IF(ISERROR(ROUND(MAX(0,1000*NPV($AT$2,$AV29:$AV$124)-$AW$2*($AU29+NPV($AT$2,$AU30:$AU$124)))/AU29,3)), 0, ROUND(MAX(0,1000*NPV($AT$2,$AV29:$AV$124)-$AW$2*($AU29+NPV($AT$2,$AU30:$AU$124)))/AU29,3))</f>
        <v>601.73900000000003</v>
      </c>
    </row>
    <row r="29" spans="1:50" ht="15" x14ac:dyDescent="0.25">
      <c r="A29">
        <v>4</v>
      </c>
      <c r="B29">
        <v>1.59544514433896E-4</v>
      </c>
      <c r="C29">
        <f t="shared" si="30"/>
        <v>1.4997184356786223E-4</v>
      </c>
      <c r="D29" s="60">
        <v>39</v>
      </c>
      <c r="E29" s="5">
        <v>708549.38265581382</v>
      </c>
      <c r="F29">
        <v>21256.486221431929</v>
      </c>
      <c r="I29" s="51">
        <v>25</v>
      </c>
      <c r="J29" s="41"/>
      <c r="K29" s="41" t="str">
        <f t="shared" si="26"/>
        <v/>
      </c>
      <c r="L29" s="42">
        <f t="shared" si="27"/>
        <v>25</v>
      </c>
      <c r="M29" s="41">
        <f t="shared" si="28"/>
        <v>2000000</v>
      </c>
      <c r="N29" s="43">
        <f t="shared" si="1"/>
        <v>621.93299999999999</v>
      </c>
      <c r="O29" s="44">
        <f t="shared" si="2"/>
        <v>701.68600000000004</v>
      </c>
      <c r="P29" s="41">
        <f t="shared" si="3"/>
        <v>1243866</v>
      </c>
      <c r="Q29" s="41">
        <f t="shared" si="4"/>
        <v>1403372</v>
      </c>
      <c r="R29" s="44"/>
      <c r="S29" s="44">
        <f>IF(I29&lt;&gt;"",_xlfn.XLOOKUP($D$4+I29,$A$26:$A$145,$B$26:$B$145,0) * 1000,"")</f>
        <v>141.054911403533</v>
      </c>
      <c r="T29" s="52">
        <f t="shared" si="29"/>
        <v>0</v>
      </c>
      <c r="U29" s="53">
        <f t="shared" si="15"/>
        <v>0.31152397399587184</v>
      </c>
      <c r="V29" s="53">
        <f t="shared" si="16"/>
        <v>4.3941986552064223E-2</v>
      </c>
      <c r="W29" s="53">
        <f t="shared" si="17"/>
        <v>0</v>
      </c>
      <c r="X29" s="46">
        <f t="shared" si="5"/>
        <v>0.26758198744380762</v>
      </c>
      <c r="Y29" s="54"/>
      <c r="Z29" s="41">
        <f t="shared" si="18"/>
        <v>426617.12923659466</v>
      </c>
      <c r="AA29" s="41">
        <f t="shared" si="19"/>
        <v>6230.4794799174369</v>
      </c>
      <c r="AB29" s="41">
        <f t="shared" si="6"/>
        <v>375517.06888299121</v>
      </c>
      <c r="AC29" s="41">
        <f t="shared" si="7"/>
        <v>5351.6397488761522</v>
      </c>
      <c r="AD29" s="54"/>
      <c r="AE29" s="41">
        <f t="shared" si="8"/>
        <v>0</v>
      </c>
      <c r="AF29" s="41"/>
      <c r="AG29" s="41">
        <f t="shared" si="9"/>
        <v>-6.6895496860951909</v>
      </c>
      <c r="AH29" s="41">
        <f t="shared" si="20"/>
        <v>-87883.973104128439</v>
      </c>
      <c r="AI29" s="41">
        <f t="shared" si="21"/>
        <v>0</v>
      </c>
      <c r="AJ29" s="41">
        <f t="shared" si="10"/>
        <v>-87890.662653814536</v>
      </c>
      <c r="AK29" s="41">
        <f t="shared" si="11"/>
        <v>51100.060353603447</v>
      </c>
      <c r="AL29" s="41">
        <f t="shared" si="22"/>
        <v>17313.904348660486</v>
      </c>
      <c r="AM29" s="41">
        <f t="shared" si="12"/>
        <v>-19476.697951550603</v>
      </c>
      <c r="AN29" s="41">
        <f t="shared" si="13"/>
        <v>878.83973104128472</v>
      </c>
      <c r="AO29" s="41">
        <f t="shared" si="14"/>
        <v>-18597.858220509319</v>
      </c>
      <c r="AP29" s="45"/>
      <c r="AQ29" s="55"/>
      <c r="AR29" s="48"/>
      <c r="AS29" s="48"/>
      <c r="AT29" s="51">
        <f t="shared" si="23"/>
        <v>25</v>
      </c>
      <c r="AU29" s="49">
        <f t="shared" si="24"/>
        <v>0.31152397399587184</v>
      </c>
      <c r="AV29" s="49">
        <f t="shared" si="25"/>
        <v>4.3941986552064223E-2</v>
      </c>
      <c r="AW29" s="50">
        <f xml:space="preserve"> IF(ISERROR(ROUND((1000*NPV($AT$1,$AV30:$AV$124)-$AW$1*($AU30+NPV($AT$1,$AU31:$AU$124)))/AU30,3)), 0, ROUND((1000*NPV($AT$1,$AV30:$AV$124)-$AW$1*($AU30+NPV($AT$1,$AU31:$AU$124)))/AU30,3))</f>
        <v>701.68600000000004</v>
      </c>
      <c r="AX29" s="50">
        <f>IF(ISERROR(ROUND(MAX(0,1000*NPV($AT$2,$AV30:$AV$124)-$AW$2*($AU30+NPV($AT$2,$AU31:$AU$124)))/AU30,3)), 0, ROUND(MAX(0,1000*NPV($AT$2,$AV30:$AV$124)-$AW$2*($AU30+NPV($AT$2,$AU31:$AU$124)))/AU30,3))</f>
        <v>621.93299999999999</v>
      </c>
    </row>
    <row r="30" spans="1:50" ht="15" x14ac:dyDescent="0.25">
      <c r="A30">
        <v>5</v>
      </c>
      <c r="B30">
        <v>1.3940797345623999E-4</v>
      </c>
      <c r="C30">
        <f t="shared" si="30"/>
        <v>1.3104349504886557E-4</v>
      </c>
      <c r="D30" s="60">
        <v>40</v>
      </c>
      <c r="E30" s="5">
        <v>734524.90327313682</v>
      </c>
      <c r="F30">
        <v>22035.75195812888</v>
      </c>
      <c r="I30" s="51">
        <v>26</v>
      </c>
      <c r="J30" s="41"/>
      <c r="K30" s="41" t="str">
        <f t="shared" si="26"/>
        <v/>
      </c>
      <c r="L30" s="42">
        <f t="shared" si="27"/>
        <v>25</v>
      </c>
      <c r="M30" s="41">
        <f t="shared" si="28"/>
        <v>2000000</v>
      </c>
      <c r="N30" s="43">
        <f t="shared" si="1"/>
        <v>641.19799999999998</v>
      </c>
      <c r="O30" s="44">
        <f t="shared" si="2"/>
        <v>717.77099999999996</v>
      </c>
      <c r="P30" s="41">
        <f t="shared" si="3"/>
        <v>1282396</v>
      </c>
      <c r="Q30" s="41">
        <f t="shared" si="4"/>
        <v>1435542</v>
      </c>
      <c r="R30" s="44"/>
      <c r="S30" s="44">
        <f>IF(I30&lt;&gt;"",_xlfn.XLOOKUP($D$4+I30,$A$26:$A$145,$B$26:$B$145,0) * 1000,"")</f>
        <v>154.59666301480198</v>
      </c>
      <c r="T30" s="52">
        <f t="shared" si="29"/>
        <v>0</v>
      </c>
      <c r="U30" s="53">
        <f t="shared" si="15"/>
        <v>0.26758198744380762</v>
      </c>
      <c r="V30" s="53">
        <f t="shared" si="16"/>
        <v>4.1367282341681307E-2</v>
      </c>
      <c r="W30" s="53">
        <f t="shared" si="17"/>
        <v>0</v>
      </c>
      <c r="X30" s="46">
        <f t="shared" si="5"/>
        <v>0.22621470510212632</v>
      </c>
      <c r="Y30" s="54"/>
      <c r="Z30" s="41">
        <f t="shared" si="18"/>
        <v>375517.06888299121</v>
      </c>
      <c r="AA30" s="41">
        <f t="shared" si="19"/>
        <v>5351.6397488761522</v>
      </c>
      <c r="AB30" s="41">
        <f t="shared" si="6"/>
        <v>324740.71019171661</v>
      </c>
      <c r="AC30" s="41">
        <f t="shared" si="7"/>
        <v>4524.2941020425269</v>
      </c>
      <c r="AD30" s="54"/>
      <c r="AE30" s="41">
        <f t="shared" si="8"/>
        <v>0</v>
      </c>
      <c r="AF30" s="41"/>
      <c r="AG30" s="41">
        <f t="shared" si="9"/>
        <v>-5.6553676275531579</v>
      </c>
      <c r="AH30" s="41">
        <f t="shared" si="20"/>
        <v>-82734.564683362609</v>
      </c>
      <c r="AI30" s="41">
        <f t="shared" si="21"/>
        <v>0</v>
      </c>
      <c r="AJ30" s="41">
        <f t="shared" si="10"/>
        <v>-82740.22005099016</v>
      </c>
      <c r="AK30" s="41">
        <f t="shared" si="11"/>
        <v>50776.358691274596</v>
      </c>
      <c r="AL30" s="41">
        <f t="shared" si="22"/>
        <v>15234.748345274695</v>
      </c>
      <c r="AM30" s="41">
        <f t="shared" si="12"/>
        <v>-16729.113014440867</v>
      </c>
      <c r="AN30" s="41">
        <f t="shared" si="13"/>
        <v>827.34564683362532</v>
      </c>
      <c r="AO30" s="41">
        <f t="shared" si="14"/>
        <v>-15901.767367607241</v>
      </c>
      <c r="AP30" s="45"/>
      <c r="AQ30" s="55"/>
      <c r="AR30" s="48"/>
      <c r="AS30" s="48"/>
      <c r="AT30" s="51">
        <f t="shared" si="23"/>
        <v>26</v>
      </c>
      <c r="AU30" s="49">
        <f t="shared" si="24"/>
        <v>0.26758198744380762</v>
      </c>
      <c r="AV30" s="49">
        <f t="shared" si="25"/>
        <v>4.1367282341681307E-2</v>
      </c>
      <c r="AW30" s="50">
        <f xml:space="preserve"> IF(ISERROR(ROUND((1000*NPV($AT$1,$AV31:$AV$124)-$AW$1*($AU31+NPV($AT$1,$AU32:$AU$124)))/AU31,3)), 0, ROUND((1000*NPV($AT$1,$AV31:$AV$124)-$AW$1*($AU31+NPV($AT$1,$AU32:$AU$124)))/AU31,3))</f>
        <v>717.77099999999996</v>
      </c>
      <c r="AX30" s="50">
        <f>IF(ISERROR(ROUND(MAX(0,1000*NPV($AT$2,$AV31:$AV$124)-$AW$2*($AU31+NPV($AT$2,$AU32:$AU$124)))/AU31,3)), 0, ROUND(MAX(0,1000*NPV($AT$2,$AV31:$AV$124)-$AW$2*($AU31+NPV($AT$2,$AU32:$AU$124)))/AU31,3))</f>
        <v>641.19799999999998</v>
      </c>
    </row>
    <row r="31" spans="1:50" ht="15" x14ac:dyDescent="0.25">
      <c r="A31">
        <v>6</v>
      </c>
      <c r="B31">
        <v>1.3036603463068E-4</v>
      </c>
      <c r="C31">
        <f t="shared" si="30"/>
        <v>1.2254407255283918E-4</v>
      </c>
      <c r="D31" s="60">
        <v>41</v>
      </c>
      <c r="E31" s="5">
        <v>761278.19861308823</v>
      </c>
      <c r="F31">
        <v>22838.350930731161</v>
      </c>
      <c r="I31" s="51">
        <v>27</v>
      </c>
      <c r="J31" s="41"/>
      <c r="K31" s="41" t="str">
        <f t="shared" si="26"/>
        <v/>
      </c>
      <c r="L31" s="42">
        <f t="shared" si="27"/>
        <v>25</v>
      </c>
      <c r="M31" s="41">
        <f t="shared" si="28"/>
        <v>2000000</v>
      </c>
      <c r="N31" s="43">
        <f t="shared" si="1"/>
        <v>659.44100000000003</v>
      </c>
      <c r="O31" s="44">
        <f t="shared" si="2"/>
        <v>732.92100000000005</v>
      </c>
      <c r="P31" s="41">
        <f t="shared" si="3"/>
        <v>1318882</v>
      </c>
      <c r="Q31" s="41">
        <f t="shared" si="4"/>
        <v>1465842</v>
      </c>
      <c r="R31" s="44"/>
      <c r="S31" s="44">
        <f>IF(I31&lt;&gt;"",_xlfn.XLOOKUP($D$4+I31,$A$26:$A$145,$B$26:$B$145,0) * 1000,"")</f>
        <v>169.27346614103999</v>
      </c>
      <c r="T31" s="52">
        <f t="shared" si="29"/>
        <v>0</v>
      </c>
      <c r="U31" s="53">
        <f t="shared" si="15"/>
        <v>0.22621470510212632</v>
      </c>
      <c r="V31" s="53">
        <f t="shared" si="16"/>
        <v>3.8292147224710131E-2</v>
      </c>
      <c r="W31" s="53">
        <f t="shared" si="17"/>
        <v>0</v>
      </c>
      <c r="X31" s="46">
        <f t="shared" si="5"/>
        <v>0.18792255787741619</v>
      </c>
      <c r="Y31" s="54"/>
      <c r="Z31" s="41">
        <f t="shared" si="18"/>
        <v>324740.71019171661</v>
      </c>
      <c r="AA31" s="41">
        <f t="shared" si="19"/>
        <v>4524.2941020425269</v>
      </c>
      <c r="AB31" s="41">
        <f t="shared" si="6"/>
        <v>275464.77808414749</v>
      </c>
      <c r="AC31" s="41">
        <f t="shared" si="7"/>
        <v>3758.4511575483239</v>
      </c>
      <c r="AD31" s="54"/>
      <c r="AE31" s="41">
        <f t="shared" si="8"/>
        <v>0</v>
      </c>
      <c r="AF31" s="41"/>
      <c r="AG31" s="41">
        <f t="shared" si="9"/>
        <v>-4.6980639469354042</v>
      </c>
      <c r="AH31" s="41">
        <f t="shared" si="20"/>
        <v>-76584.294449420267</v>
      </c>
      <c r="AI31" s="41">
        <f t="shared" si="21"/>
        <v>0</v>
      </c>
      <c r="AJ31" s="41">
        <f t="shared" si="10"/>
        <v>-76588.992513367208</v>
      </c>
      <c r="AK31" s="41">
        <f t="shared" si="11"/>
        <v>49275.932107569126</v>
      </c>
      <c r="AL31" s="41">
        <f t="shared" si="22"/>
        <v>13170.600171750366</v>
      </c>
      <c r="AM31" s="41">
        <f t="shared" si="12"/>
        <v>-14142.460234047716</v>
      </c>
      <c r="AN31" s="41">
        <f t="shared" si="13"/>
        <v>765.84294449420304</v>
      </c>
      <c r="AO31" s="41">
        <f t="shared" si="14"/>
        <v>-13376.617289553513</v>
      </c>
      <c r="AP31" s="45"/>
      <c r="AQ31" s="55"/>
      <c r="AR31" s="48"/>
      <c r="AS31" s="48"/>
      <c r="AT31" s="51">
        <f t="shared" si="23"/>
        <v>27</v>
      </c>
      <c r="AU31" s="49">
        <f t="shared" si="24"/>
        <v>0.22621470510212632</v>
      </c>
      <c r="AV31" s="49">
        <f t="shared" si="25"/>
        <v>3.8292147224710131E-2</v>
      </c>
      <c r="AW31" s="50">
        <f xml:space="preserve"> IF(ISERROR(ROUND((1000*NPV($AT$1,$AV32:$AV$124)-$AW$1*($AU32+NPV($AT$1,$AU33:$AU$124)))/AU32,3)), 0, ROUND((1000*NPV($AT$1,$AV32:$AV$124)-$AW$1*($AU32+NPV($AT$1,$AU33:$AU$124)))/AU32,3))</f>
        <v>732.92100000000005</v>
      </c>
      <c r="AX31" s="50">
        <f>IF(ISERROR(ROUND(MAX(0,1000*NPV($AT$2,$AV32:$AV$124)-$AW$2*($AU32+NPV($AT$2,$AU33:$AU$124)))/AU32,3)), 0, ROUND(MAX(0,1000*NPV($AT$2,$AV32:$AV$124)-$AW$2*($AU32+NPV($AT$2,$AU33:$AU$124)))/AU32,3))</f>
        <v>659.44100000000003</v>
      </c>
    </row>
    <row r="32" spans="1:50" ht="15" x14ac:dyDescent="0.25">
      <c r="A32">
        <v>7</v>
      </c>
      <c r="B32">
        <v>1.2214515503805601E-4</v>
      </c>
      <c r="C32">
        <f t="shared" si="30"/>
        <v>1.1481644573577264E-4</v>
      </c>
      <c r="D32" s="60">
        <v>42</v>
      </c>
      <c r="E32" s="5">
        <v>788844.71872421389</v>
      </c>
      <c r="F32">
        <v>23665.346652924258</v>
      </c>
      <c r="I32" s="51">
        <v>28</v>
      </c>
      <c r="J32" s="41"/>
      <c r="K32" s="41" t="str">
        <f t="shared" si="26"/>
        <v/>
      </c>
      <c r="L32" s="42">
        <f t="shared" si="27"/>
        <v>25</v>
      </c>
      <c r="M32" s="41">
        <f t="shared" si="28"/>
        <v>2000000</v>
      </c>
      <c r="N32" s="43">
        <f t="shared" si="1"/>
        <v>676.71</v>
      </c>
      <c r="O32" s="44">
        <f t="shared" si="2"/>
        <v>747.19</v>
      </c>
      <c r="P32" s="41">
        <f t="shared" si="3"/>
        <v>1353420</v>
      </c>
      <c r="Q32" s="41">
        <f t="shared" si="4"/>
        <v>1494380</v>
      </c>
      <c r="R32" s="44"/>
      <c r="S32" s="44">
        <f>IF(I32&lt;&gt;"",_xlfn.XLOOKUP($D$4+I32,$A$26:$A$145,$B$26:$B$145,0) * 1000,"")</f>
        <v>184.712193559475</v>
      </c>
      <c r="T32" s="52">
        <f t="shared" si="29"/>
        <v>0</v>
      </c>
      <c r="U32" s="53">
        <f t="shared" si="15"/>
        <v>0.18792255787741619</v>
      </c>
      <c r="V32" s="53">
        <f t="shared" si="16"/>
        <v>3.4711587884844936E-2</v>
      </c>
      <c r="W32" s="53">
        <f t="shared" si="17"/>
        <v>0</v>
      </c>
      <c r="X32" s="46">
        <f t="shared" si="5"/>
        <v>0.15321096999257125</v>
      </c>
      <c r="Y32" s="54"/>
      <c r="Z32" s="41">
        <f t="shared" si="18"/>
        <v>275464.77808414749</v>
      </c>
      <c r="AA32" s="41">
        <f t="shared" si="19"/>
        <v>3758.4511575483239</v>
      </c>
      <c r="AB32" s="41">
        <f t="shared" si="6"/>
        <v>228955.40933749863</v>
      </c>
      <c r="AC32" s="41">
        <f t="shared" si="7"/>
        <v>3064.2193998514249</v>
      </c>
      <c r="AD32" s="54"/>
      <c r="AE32" s="41">
        <f t="shared" si="8"/>
        <v>0</v>
      </c>
      <c r="AF32" s="41"/>
      <c r="AG32" s="41">
        <f t="shared" si="9"/>
        <v>-3.8302742498142814</v>
      </c>
      <c r="AH32" s="41">
        <f t="shared" si="20"/>
        <v>-69423.175769689871</v>
      </c>
      <c r="AI32" s="41">
        <f t="shared" si="21"/>
        <v>0</v>
      </c>
      <c r="AJ32" s="41">
        <f t="shared" si="10"/>
        <v>-69427.006043939691</v>
      </c>
      <c r="AK32" s="41">
        <f t="shared" si="11"/>
        <v>46509.368746648863</v>
      </c>
      <c r="AL32" s="41">
        <f t="shared" si="22"/>
        <v>11168.929169667834</v>
      </c>
      <c r="AM32" s="41">
        <f t="shared" si="12"/>
        <v>-11748.708127622995</v>
      </c>
      <c r="AN32" s="41">
        <f t="shared" si="13"/>
        <v>694.23175769689897</v>
      </c>
      <c r="AO32" s="41">
        <f t="shared" si="14"/>
        <v>-11054.476369926095</v>
      </c>
      <c r="AP32" s="45"/>
      <c r="AQ32" s="55"/>
      <c r="AR32" s="48"/>
      <c r="AS32" s="48"/>
      <c r="AT32" s="51">
        <f t="shared" si="23"/>
        <v>28</v>
      </c>
      <c r="AU32" s="49">
        <f t="shared" si="24"/>
        <v>0.18792255787741619</v>
      </c>
      <c r="AV32" s="49">
        <f t="shared" si="25"/>
        <v>3.4711587884844936E-2</v>
      </c>
      <c r="AW32" s="50">
        <f xml:space="preserve"> IF(ISERROR(ROUND((1000*NPV($AT$1,$AV33:$AV$124)-$AW$1*($AU33+NPV($AT$1,$AU34:$AU$124)))/AU33,3)), 0, ROUND((1000*NPV($AT$1,$AV33:$AV$124)-$AW$1*($AU33+NPV($AT$1,$AU34:$AU$124)))/AU33,3))</f>
        <v>747.19</v>
      </c>
      <c r="AX32" s="50">
        <f>IF(ISERROR(ROUND(MAX(0,1000*NPV($AT$2,$AV33:$AV$124)-$AW$2*($AU33+NPV($AT$2,$AU34:$AU$124)))/AU33,3)), 0, ROUND(MAX(0,1000*NPV($AT$2,$AV33:$AV$124)-$AW$2*($AU33+NPV($AT$2,$AU34:$AU$124)))/AU33,3))</f>
        <v>676.71</v>
      </c>
    </row>
    <row r="33" spans="1:50" ht="15" x14ac:dyDescent="0.25">
      <c r="A33">
        <v>8</v>
      </c>
      <c r="B33">
        <v>1.1371352429201401E-4</v>
      </c>
      <c r="C33">
        <f t="shared" si="30"/>
        <v>1.0689071283449316E-4</v>
      </c>
      <c r="D33" s="60">
        <v>43</v>
      </c>
      <c r="E33" s="5">
        <v>817231.30908681417</v>
      </c>
      <c r="F33">
        <v>24516.944477908779</v>
      </c>
      <c r="I33" s="51">
        <v>29</v>
      </c>
      <c r="J33" s="41"/>
      <c r="K33" s="41" t="str">
        <f t="shared" si="26"/>
        <v/>
      </c>
      <c r="L33" s="42">
        <f t="shared" si="27"/>
        <v>25</v>
      </c>
      <c r="M33" s="41">
        <f t="shared" si="28"/>
        <v>2000000</v>
      </c>
      <c r="N33" s="43">
        <f t="shared" si="1"/>
        <v>693.13300000000004</v>
      </c>
      <c r="O33" s="44">
        <f t="shared" si="2"/>
        <v>760.69100000000003</v>
      </c>
      <c r="P33" s="41">
        <f t="shared" si="3"/>
        <v>1386266</v>
      </c>
      <c r="Q33" s="41">
        <f t="shared" si="4"/>
        <v>1521382</v>
      </c>
      <c r="R33" s="44"/>
      <c r="S33" s="44">
        <f>IF(I33&lt;&gt;"",_xlfn.XLOOKUP($D$4+I33,$A$26:$A$145,$B$26:$B$145,0) * 1000,"")</f>
        <v>200.72935476423302</v>
      </c>
      <c r="T33" s="52">
        <f t="shared" si="29"/>
        <v>0</v>
      </c>
      <c r="U33" s="53">
        <f t="shared" si="15"/>
        <v>0.15321096999257125</v>
      </c>
      <c r="V33" s="53">
        <f t="shared" si="16"/>
        <v>3.0753939149411096E-2</v>
      </c>
      <c r="W33" s="53">
        <f t="shared" si="17"/>
        <v>0</v>
      </c>
      <c r="X33" s="46">
        <f t="shared" si="5"/>
        <v>0.12245703084316015</v>
      </c>
      <c r="Y33" s="54"/>
      <c r="Z33" s="41">
        <f t="shared" si="18"/>
        <v>228955.40933749863</v>
      </c>
      <c r="AA33" s="41">
        <f t="shared" si="19"/>
        <v>3064.2193998514249</v>
      </c>
      <c r="AB33" s="41">
        <f t="shared" si="6"/>
        <v>186303.92249822867</v>
      </c>
      <c r="AC33" s="41">
        <f t="shared" si="7"/>
        <v>2449.1406168632029</v>
      </c>
      <c r="AD33" s="54"/>
      <c r="AE33" s="41">
        <f t="shared" si="8"/>
        <v>0</v>
      </c>
      <c r="AF33" s="41"/>
      <c r="AG33" s="41">
        <f t="shared" si="9"/>
        <v>-3.0614257710790036</v>
      </c>
      <c r="AH33" s="41">
        <f t="shared" si="20"/>
        <v>-61507.878298822194</v>
      </c>
      <c r="AI33" s="41">
        <f t="shared" si="21"/>
        <v>0</v>
      </c>
      <c r="AJ33" s="41">
        <f t="shared" si="10"/>
        <v>-61510.939724593271</v>
      </c>
      <c r="AK33" s="41">
        <f t="shared" si="11"/>
        <v>42651.486839269957</v>
      </c>
      <c r="AL33" s="41">
        <f t="shared" si="22"/>
        <v>9280.7851494940023</v>
      </c>
      <c r="AM33" s="41">
        <f t="shared" si="12"/>
        <v>-9578.6677358293109</v>
      </c>
      <c r="AN33" s="41">
        <f t="shared" si="13"/>
        <v>615.07878298822197</v>
      </c>
      <c r="AO33" s="41">
        <f t="shared" si="14"/>
        <v>-8963.588952841088</v>
      </c>
      <c r="AP33" s="45"/>
      <c r="AQ33" s="55"/>
      <c r="AR33" s="48"/>
      <c r="AS33" s="48"/>
      <c r="AT33" s="51">
        <f t="shared" si="23"/>
        <v>29</v>
      </c>
      <c r="AU33" s="49">
        <f t="shared" si="24"/>
        <v>0.15321096999257125</v>
      </c>
      <c r="AV33" s="49">
        <f t="shared" si="25"/>
        <v>3.0753939149411096E-2</v>
      </c>
      <c r="AW33" s="50">
        <f xml:space="preserve"> IF(ISERROR(ROUND((1000*NPV($AT$1,$AV34:$AV$124)-$AW$1*($AU34+NPV($AT$1,$AU35:$AU$124)))/AU34,3)), 0, ROUND((1000*NPV($AT$1,$AV34:$AV$124)-$AW$1*($AU34+NPV($AT$1,$AU35:$AU$124)))/AU34,3))</f>
        <v>760.69100000000003</v>
      </c>
      <c r="AX33" s="50">
        <f>IF(ISERROR(ROUND(MAX(0,1000*NPV($AT$2,$AV34:$AV$124)-$AW$2*($AU34+NPV($AT$2,$AU35:$AU$124)))/AU34,3)), 0, ROUND(MAX(0,1000*NPV($AT$2,$AV34:$AV$124)-$AW$2*($AU34+NPV($AT$2,$AU35:$AU$124)))/AU34,3))</f>
        <v>693.13300000000004</v>
      </c>
    </row>
    <row r="34" spans="1:50" ht="15" x14ac:dyDescent="0.25">
      <c r="A34">
        <v>9</v>
      </c>
      <c r="B34">
        <v>1.1165540732793701E-4</v>
      </c>
      <c r="C34">
        <f t="shared" si="30"/>
        <v>1.0495608288826078E-4</v>
      </c>
      <c r="D34" s="60">
        <v>44</v>
      </c>
      <c r="E34" s="5">
        <v>846456.68884031905</v>
      </c>
      <c r="F34">
        <v>25393.70598433516</v>
      </c>
      <c r="I34" s="51">
        <v>30</v>
      </c>
      <c r="J34" s="41"/>
      <c r="K34" s="41" t="str">
        <f t="shared" si="26"/>
        <v/>
      </c>
      <c r="L34" s="42">
        <f t="shared" si="27"/>
        <v>25</v>
      </c>
      <c r="M34" s="41">
        <f t="shared" si="28"/>
        <v>2000000</v>
      </c>
      <c r="N34" s="43">
        <f t="shared" si="1"/>
        <v>708.62199999999996</v>
      </c>
      <c r="O34" s="44">
        <f t="shared" si="2"/>
        <v>773.36199999999997</v>
      </c>
      <c r="P34" s="41">
        <f t="shared" si="3"/>
        <v>1417244</v>
      </c>
      <c r="Q34" s="41">
        <f t="shared" si="4"/>
        <v>1546724</v>
      </c>
      <c r="R34" s="44"/>
      <c r="S34" s="44">
        <f>IF(I34&lt;&gt;"",_xlfn.XLOOKUP($D$4+I34,$A$26:$A$145,$B$26:$B$145,0) * 1000,"")</f>
        <v>217.99107375417401</v>
      </c>
      <c r="T34" s="52">
        <f t="shared" si="29"/>
        <v>0</v>
      </c>
      <c r="U34" s="53">
        <f t="shared" si="15"/>
        <v>0.12245703084316015</v>
      </c>
      <c r="V34" s="53">
        <f t="shared" si="16"/>
        <v>2.6694539642248487E-2</v>
      </c>
      <c r="W34" s="53">
        <f t="shared" si="17"/>
        <v>0</v>
      </c>
      <c r="X34" s="46">
        <f t="shared" si="5"/>
        <v>9.5762491200911654E-2</v>
      </c>
      <c r="Y34" s="54"/>
      <c r="Z34" s="41">
        <f t="shared" si="18"/>
        <v>186303.92249822867</v>
      </c>
      <c r="AA34" s="41">
        <f t="shared" si="19"/>
        <v>2449.1406168632029</v>
      </c>
      <c r="AB34" s="41">
        <f t="shared" si="6"/>
        <v>148118.14344023887</v>
      </c>
      <c r="AC34" s="41">
        <f t="shared" si="7"/>
        <v>1915.2498240182331</v>
      </c>
      <c r="AD34" s="54"/>
      <c r="AE34" s="41">
        <f t="shared" si="8"/>
        <v>0</v>
      </c>
      <c r="AF34" s="41"/>
      <c r="AG34" s="41">
        <f t="shared" si="9"/>
        <v>-2.3940622800227915</v>
      </c>
      <c r="AH34" s="41">
        <f t="shared" si="20"/>
        <v>-53389.079284496976</v>
      </c>
      <c r="AI34" s="41">
        <f t="shared" si="21"/>
        <v>0</v>
      </c>
      <c r="AJ34" s="41">
        <f t="shared" si="10"/>
        <v>-53391.473346776998</v>
      </c>
      <c r="AK34" s="41">
        <f t="shared" si="11"/>
        <v>38185.779057989799</v>
      </c>
      <c r="AL34" s="41">
        <f t="shared" si="22"/>
        <v>7550.1225246036756</v>
      </c>
      <c r="AM34" s="41">
        <f t="shared" si="12"/>
        <v>-7655.5717641835236</v>
      </c>
      <c r="AN34" s="41">
        <f t="shared" si="13"/>
        <v>533.89079284496984</v>
      </c>
      <c r="AO34" s="41">
        <f t="shared" si="14"/>
        <v>-7121.6809713385537</v>
      </c>
      <c r="AP34" s="45"/>
      <c r="AQ34" s="55"/>
      <c r="AR34" s="48"/>
      <c r="AS34" s="48"/>
      <c r="AT34" s="51">
        <f t="shared" si="23"/>
        <v>30</v>
      </c>
      <c r="AU34" s="49">
        <f t="shared" si="24"/>
        <v>0.12245703084316015</v>
      </c>
      <c r="AV34" s="49">
        <f t="shared" si="25"/>
        <v>2.6694539642248487E-2</v>
      </c>
      <c r="AW34" s="50">
        <f xml:space="preserve"> IF(ISERROR(ROUND((1000*NPV($AT$1,$AV35:$AV$124)-$AW$1*($AU35+NPV($AT$1,$AU36:$AU$124)))/AU35,3)), 0, ROUND((1000*NPV($AT$1,$AV35:$AV$124)-$AW$1*($AU35+NPV($AT$1,$AU36:$AU$124)))/AU35,3))</f>
        <v>773.36199999999997</v>
      </c>
      <c r="AX34" s="50">
        <f>IF(ISERROR(ROUND(MAX(0,1000*NPV($AT$2,$AV35:$AV$124)-$AW$2*($AU35+NPV($AT$2,$AU36:$AU$124)))/AU35,3)), 0, ROUND(MAX(0,1000*NPV($AT$2,$AV35:$AV$124)-$AW$2*($AU35+NPV($AT$2,$AU36:$AU$124)))/AU35,3))</f>
        <v>708.62199999999996</v>
      </c>
    </row>
    <row r="35" spans="1:50" ht="15" x14ac:dyDescent="0.25">
      <c r="A35">
        <v>10</v>
      </c>
      <c r="B35">
        <v>1.10529216223121E-4</v>
      </c>
      <c r="C35">
        <f t="shared" si="30"/>
        <v>1.0389746324973374E-4</v>
      </c>
      <c r="D35" s="60">
        <v>45</v>
      </c>
      <c r="E35" s="5">
        <v>876537.26019768638</v>
      </c>
      <c r="F35">
        <v>26296.123237504042</v>
      </c>
      <c r="I35" s="51">
        <v>31</v>
      </c>
      <c r="J35" s="41"/>
      <c r="K35" s="41" t="str">
        <f t="shared" si="26"/>
        <v/>
      </c>
      <c r="L35" s="42">
        <f t="shared" si="27"/>
        <v>25</v>
      </c>
      <c r="M35" s="41">
        <f t="shared" si="28"/>
        <v>2000000</v>
      </c>
      <c r="N35" s="43">
        <f t="shared" si="1"/>
        <v>723.30399999999997</v>
      </c>
      <c r="O35" s="44">
        <f t="shared" si="2"/>
        <v>785.31700000000001</v>
      </c>
      <c r="P35" s="41">
        <f t="shared" si="3"/>
        <v>1446608</v>
      </c>
      <c r="Q35" s="41">
        <f t="shared" si="4"/>
        <v>1570634</v>
      </c>
      <c r="R35" s="44"/>
      <c r="S35" s="44">
        <f>IF(I35&lt;&gt;"",_xlfn.XLOOKUP($D$4+I35,$A$26:$A$145,$B$26:$B$145,0) * 1000,"")</f>
        <v>235.83000026086302</v>
      </c>
      <c r="T35" s="52">
        <f t="shared" si="29"/>
        <v>0</v>
      </c>
      <c r="U35" s="53">
        <f t="shared" si="15"/>
        <v>9.5762491200911654E-2</v>
      </c>
      <c r="V35" s="53">
        <f t="shared" si="16"/>
        <v>2.2583668324891889E-2</v>
      </c>
      <c r="W35" s="53">
        <f t="shared" si="17"/>
        <v>0</v>
      </c>
      <c r="X35" s="46">
        <f t="shared" si="5"/>
        <v>7.3178822876019761E-2</v>
      </c>
      <c r="Y35" s="54"/>
      <c r="Z35" s="41">
        <f t="shared" si="18"/>
        <v>148118.14344023887</v>
      </c>
      <c r="AA35" s="41">
        <f t="shared" si="19"/>
        <v>1915.2498240182331</v>
      </c>
      <c r="AB35" s="41">
        <f t="shared" si="6"/>
        <v>114937.14728905442</v>
      </c>
      <c r="AC35" s="41">
        <f t="shared" si="7"/>
        <v>1463.5764575203953</v>
      </c>
      <c r="AD35" s="54"/>
      <c r="AE35" s="41">
        <f t="shared" si="8"/>
        <v>0</v>
      </c>
      <c r="AF35" s="41"/>
      <c r="AG35" s="41">
        <f t="shared" si="9"/>
        <v>-1.829470571900494</v>
      </c>
      <c r="AH35" s="41">
        <f t="shared" si="20"/>
        <v>-45167.336649783778</v>
      </c>
      <c r="AI35" s="41">
        <f t="shared" si="21"/>
        <v>0</v>
      </c>
      <c r="AJ35" s="41">
        <f t="shared" si="10"/>
        <v>-45169.16612035568</v>
      </c>
      <c r="AK35" s="41">
        <f t="shared" si="11"/>
        <v>33180.996151184445</v>
      </c>
      <c r="AL35" s="41">
        <f t="shared" si="22"/>
        <v>6001.3357305702848</v>
      </c>
      <c r="AM35" s="41">
        <f t="shared" si="12"/>
        <v>-5986.8342386009499</v>
      </c>
      <c r="AN35" s="41">
        <f t="shared" si="13"/>
        <v>451.67336649783783</v>
      </c>
      <c r="AO35" s="41">
        <f t="shared" si="14"/>
        <v>-5535.1608721031116</v>
      </c>
      <c r="AP35" s="45"/>
      <c r="AQ35" s="55"/>
      <c r="AR35" s="48"/>
      <c r="AS35" s="48"/>
      <c r="AT35" s="51">
        <f t="shared" si="23"/>
        <v>31</v>
      </c>
      <c r="AU35" s="49">
        <f t="shared" si="24"/>
        <v>9.5762491200911654E-2</v>
      </c>
      <c r="AV35" s="49">
        <f t="shared" si="25"/>
        <v>2.2583668324891889E-2</v>
      </c>
      <c r="AW35" s="50">
        <f xml:space="preserve"> IF(ISERROR(ROUND((1000*NPV($AT$1,$AV36:$AV$124)-$AW$1*($AU36+NPV($AT$1,$AU37:$AU$124)))/AU36,3)), 0, ROUND((1000*NPV($AT$1,$AV36:$AV$124)-$AW$1*($AU36+NPV($AT$1,$AU37:$AU$124)))/AU36,3))</f>
        <v>785.31700000000001</v>
      </c>
      <c r="AX35" s="50">
        <f>IF(ISERROR(ROUND(MAX(0,1000*NPV($AT$2,$AV36:$AV$124)-$AW$2*($AU36+NPV($AT$2,$AU37:$AU$124)))/AU36,3)), 0, ROUND(MAX(0,1000*NPV($AT$2,$AV36:$AV$124)-$AW$2*($AU36+NPV($AT$2,$AU37:$AU$124)))/AU36,3))</f>
        <v>723.30399999999997</v>
      </c>
    </row>
    <row r="36" spans="1:50" ht="15" x14ac:dyDescent="0.25">
      <c r="A36">
        <v>11</v>
      </c>
      <c r="B36">
        <v>1.2110724150693501E-4</v>
      </c>
      <c r="C36">
        <f t="shared" si="30"/>
        <v>1.138408070165189E-4</v>
      </c>
      <c r="D36" s="60">
        <v>46</v>
      </c>
      <c r="E36" s="5">
        <v>907583.03614578105</v>
      </c>
      <c r="F36">
        <v>27227.496665950515</v>
      </c>
      <c r="I36" s="51">
        <v>32</v>
      </c>
      <c r="J36" s="41"/>
      <c r="K36" s="41" t="str">
        <f t="shared" si="26"/>
        <v/>
      </c>
      <c r="L36" s="42">
        <f t="shared" si="27"/>
        <v>25</v>
      </c>
      <c r="M36" s="41">
        <f t="shared" si="28"/>
        <v>2000000</v>
      </c>
      <c r="N36" s="43">
        <f t="shared" si="1"/>
        <v>737.13800000000003</v>
      </c>
      <c r="O36" s="44">
        <f t="shared" si="2"/>
        <v>796.53099999999995</v>
      </c>
      <c r="P36" s="41">
        <f t="shared" si="3"/>
        <v>1474276</v>
      </c>
      <c r="Q36" s="41">
        <f t="shared" si="4"/>
        <v>1593062</v>
      </c>
      <c r="R36" s="44"/>
      <c r="S36" s="44">
        <f>IF(I36&lt;&gt;"",_xlfn.XLOOKUP($D$4+I36,$A$26:$A$145,$B$26:$B$145,0) * 1000,"")</f>
        <v>254.82058477845098</v>
      </c>
      <c r="T36" s="52">
        <f t="shared" si="29"/>
        <v>0</v>
      </c>
      <c r="U36" s="53">
        <f t="shared" si="15"/>
        <v>7.3178822876019761E-2</v>
      </c>
      <c r="V36" s="53">
        <f t="shared" si="16"/>
        <v>1.864747043866604E-2</v>
      </c>
      <c r="W36" s="53">
        <f t="shared" si="17"/>
        <v>0</v>
      </c>
      <c r="X36" s="46">
        <f t="shared" si="5"/>
        <v>5.4531352437353721E-2</v>
      </c>
      <c r="Y36" s="54"/>
      <c r="Z36" s="41">
        <f t="shared" si="18"/>
        <v>114937.14728905442</v>
      </c>
      <c r="AA36" s="41">
        <f t="shared" si="19"/>
        <v>1463.5764575203953</v>
      </c>
      <c r="AB36" s="41">
        <f t="shared" si="6"/>
        <v>86871.8253765556</v>
      </c>
      <c r="AC36" s="41">
        <f t="shared" si="7"/>
        <v>1090.6270487470745</v>
      </c>
      <c r="AD36" s="54"/>
      <c r="AE36" s="41">
        <f t="shared" si="8"/>
        <v>0</v>
      </c>
      <c r="AF36" s="41"/>
      <c r="AG36" s="41">
        <f t="shared" si="9"/>
        <v>-1.363283810933843</v>
      </c>
      <c r="AH36" s="41">
        <f t="shared" si="20"/>
        <v>-37294.940877332083</v>
      </c>
      <c r="AI36" s="41">
        <f t="shared" si="21"/>
        <v>0</v>
      </c>
      <c r="AJ36" s="41">
        <f t="shared" si="10"/>
        <v>-37296.304161143016</v>
      </c>
      <c r="AK36" s="41">
        <f t="shared" si="11"/>
        <v>28065.321912498825</v>
      </c>
      <c r="AL36" s="41">
        <f t="shared" si="22"/>
        <v>4656.0289498629927</v>
      </c>
      <c r="AM36" s="41">
        <f t="shared" si="12"/>
        <v>-4574.953298781199</v>
      </c>
      <c r="AN36" s="41">
        <f t="shared" si="13"/>
        <v>372.94940877332078</v>
      </c>
      <c r="AO36" s="41">
        <f t="shared" si="14"/>
        <v>-4202.003890007878</v>
      </c>
      <c r="AP36" s="45"/>
      <c r="AQ36" s="55"/>
      <c r="AR36" s="48"/>
      <c r="AS36" s="48"/>
      <c r="AT36" s="51">
        <f t="shared" si="23"/>
        <v>32</v>
      </c>
      <c r="AU36" s="49">
        <f t="shared" si="24"/>
        <v>7.3178822876019761E-2</v>
      </c>
      <c r="AV36" s="49">
        <f t="shared" si="25"/>
        <v>1.864747043866604E-2</v>
      </c>
      <c r="AW36" s="50">
        <f xml:space="preserve"> IF(ISERROR(ROUND((1000*NPV($AT$1,$AV37:$AV$124)-$AW$1*($AU37+NPV($AT$1,$AU38:$AU$124)))/AU37,3)), 0, ROUND((1000*NPV($AT$1,$AV37:$AV$124)-$AW$1*($AU37+NPV($AT$1,$AU38:$AU$124)))/AU37,3))</f>
        <v>796.53099999999995</v>
      </c>
      <c r="AX36" s="50">
        <f>IF(ISERROR(ROUND(MAX(0,1000*NPV($AT$2,$AV37:$AV$124)-$AW$2*($AU37+NPV($AT$2,$AU38:$AU$124)))/AU37,3)), 0, ROUND(MAX(0,1000*NPV($AT$2,$AV37:$AV$124)-$AW$2*($AU37+NPV($AT$2,$AU38:$AU$124)))/AU37,3))</f>
        <v>737.13800000000003</v>
      </c>
    </row>
    <row r="37" spans="1:50" ht="15" x14ac:dyDescent="0.25">
      <c r="A37">
        <v>12</v>
      </c>
      <c r="B37">
        <v>1.2840169048056199E-4</v>
      </c>
      <c r="C37">
        <f t="shared" si="30"/>
        <v>1.2069758905172827E-4</v>
      </c>
      <c r="D37" s="60">
        <v>47</v>
      </c>
      <c r="E37" s="5">
        <v>939510.47982304811</v>
      </c>
      <c r="F37">
        <v>28185.320082530088</v>
      </c>
      <c r="I37" s="51">
        <v>33</v>
      </c>
      <c r="J37" s="41"/>
      <c r="K37" s="41" t="str">
        <f t="shared" si="26"/>
        <v/>
      </c>
      <c r="L37" s="42">
        <f t="shared" si="27"/>
        <v>25</v>
      </c>
      <c r="M37" s="41">
        <f t="shared" si="28"/>
        <v>2000000</v>
      </c>
      <c r="N37" s="43">
        <f t="shared" si="1"/>
        <v>750.03499999999997</v>
      </c>
      <c r="O37" s="44">
        <f t="shared" si="2"/>
        <v>806.94299999999998</v>
      </c>
      <c r="P37" s="41">
        <f t="shared" si="3"/>
        <v>1500070</v>
      </c>
      <c r="Q37" s="41">
        <f t="shared" si="4"/>
        <v>1613886</v>
      </c>
      <c r="R37" s="44"/>
      <c r="S37" s="44">
        <f>IF(I37&lt;&gt;"",_xlfn.XLOOKUP($D$4+I37,$A$26:$A$145,$B$26:$B$145,0) * 1000,"")</f>
        <v>275.03759909077803</v>
      </c>
      <c r="T37" s="52">
        <f t="shared" si="29"/>
        <v>0</v>
      </c>
      <c r="U37" s="53">
        <f t="shared" si="15"/>
        <v>5.4531352437353721E-2</v>
      </c>
      <c r="V37" s="53">
        <f t="shared" si="16"/>
        <v>1.4998172249542814E-2</v>
      </c>
      <c r="W37" s="53">
        <f t="shared" si="17"/>
        <v>0</v>
      </c>
      <c r="X37" s="46">
        <f t="shared" si="5"/>
        <v>3.9533180187810907E-2</v>
      </c>
      <c r="Y37" s="54"/>
      <c r="Z37" s="41">
        <f t="shared" si="18"/>
        <v>86871.8253765556</v>
      </c>
      <c r="AA37" s="41">
        <f t="shared" si="19"/>
        <v>1090.6270487470745</v>
      </c>
      <c r="AB37" s="41">
        <f t="shared" si="6"/>
        <v>63802.046040585396</v>
      </c>
      <c r="AC37" s="41">
        <f t="shared" si="7"/>
        <v>790.66360375621809</v>
      </c>
      <c r="AD37" s="54"/>
      <c r="AE37" s="41">
        <f t="shared" si="8"/>
        <v>0</v>
      </c>
      <c r="AF37" s="41"/>
      <c r="AG37" s="41">
        <f t="shared" si="9"/>
        <v>-0.9883295046952727</v>
      </c>
      <c r="AH37" s="41">
        <f t="shared" si="20"/>
        <v>-29996.34449908563</v>
      </c>
      <c r="AI37" s="41">
        <f t="shared" si="21"/>
        <v>0</v>
      </c>
      <c r="AJ37" s="41">
        <f t="shared" si="10"/>
        <v>-29997.332828590326</v>
      </c>
      <c r="AK37" s="41">
        <f t="shared" si="11"/>
        <v>23069.779335970205</v>
      </c>
      <c r="AL37" s="41">
        <f t="shared" si="22"/>
        <v>3518.4980970121069</v>
      </c>
      <c r="AM37" s="41">
        <f t="shared" si="12"/>
        <v>-3409.0553956080148</v>
      </c>
      <c r="AN37" s="41">
        <f t="shared" si="13"/>
        <v>299.96344499085637</v>
      </c>
      <c r="AO37" s="41">
        <f t="shared" si="14"/>
        <v>-3109.0919506171585</v>
      </c>
      <c r="AP37" s="45"/>
      <c r="AQ37" s="55"/>
      <c r="AR37" s="48"/>
      <c r="AS37" s="48"/>
      <c r="AT37" s="51">
        <f t="shared" si="23"/>
        <v>33</v>
      </c>
      <c r="AU37" s="49">
        <f t="shared" si="24"/>
        <v>5.4531352437353721E-2</v>
      </c>
      <c r="AV37" s="49">
        <f t="shared" si="25"/>
        <v>1.4998172249542814E-2</v>
      </c>
      <c r="AW37" s="50">
        <f xml:space="preserve"> IF(ISERROR(ROUND((1000*NPV($AT$1,$AV38:$AV$124)-$AW$1*($AU38+NPV($AT$1,$AU39:$AU$124)))/AU38,3)), 0, ROUND((1000*NPV($AT$1,$AV38:$AV$124)-$AW$1*($AU38+NPV($AT$1,$AU39:$AU$124)))/AU38,3))</f>
        <v>806.94299999999998</v>
      </c>
      <c r="AX37" s="50">
        <f>IF(ISERROR(ROUND(MAX(0,1000*NPV($AT$2,$AV38:$AV$124)-$AW$2*($AU38+NPV($AT$2,$AU39:$AU$124)))/AU38,3)), 0, ROUND(MAX(0,1000*NPV($AT$2,$AV38:$AV$124)-$AW$2*($AU38+NPV($AT$2,$AU39:$AU$124)))/AU38,3))</f>
        <v>750.03499999999997</v>
      </c>
    </row>
    <row r="38" spans="1:50" ht="15" x14ac:dyDescent="0.25">
      <c r="A38">
        <v>13</v>
      </c>
      <c r="B38">
        <v>1.42524644688113E-4</v>
      </c>
      <c r="C38">
        <f t="shared" si="30"/>
        <v>1.3397316600682622E-4</v>
      </c>
      <c r="D38" s="60">
        <v>48</v>
      </c>
      <c r="E38" s="5">
        <v>972316.17288710305</v>
      </c>
      <c r="F38">
        <v>29169.490970246727</v>
      </c>
      <c r="I38" s="51">
        <v>34</v>
      </c>
      <c r="J38" s="41"/>
      <c r="K38" s="41" t="str">
        <f t="shared" si="26"/>
        <v/>
      </c>
      <c r="L38" s="42">
        <f t="shared" si="27"/>
        <v>25</v>
      </c>
      <c r="M38" s="41">
        <f t="shared" si="28"/>
        <v>2000000</v>
      </c>
      <c r="N38" s="43">
        <f t="shared" si="1"/>
        <v>762.09400000000005</v>
      </c>
      <c r="O38" s="44">
        <f t="shared" si="2"/>
        <v>816.64099999999996</v>
      </c>
      <c r="P38" s="41">
        <f t="shared" si="3"/>
        <v>1524188</v>
      </c>
      <c r="Q38" s="41">
        <f t="shared" si="4"/>
        <v>1633282</v>
      </c>
      <c r="R38" s="44"/>
      <c r="S38" s="44">
        <f>IF(I38&lt;&gt;"",_xlfn.XLOOKUP($D$4+I38,$A$26:$A$145,$B$26:$B$145,0) * 1000,"")</f>
        <v>295.75266332708998</v>
      </c>
      <c r="T38" s="52">
        <f t="shared" si="29"/>
        <v>0</v>
      </c>
      <c r="U38" s="53">
        <f t="shared" si="15"/>
        <v>3.9533180187810907E-2</v>
      </c>
      <c r="V38" s="53">
        <f t="shared" si="16"/>
        <v>1.1692043330334823E-2</v>
      </c>
      <c r="W38" s="53">
        <f t="shared" si="17"/>
        <v>0</v>
      </c>
      <c r="X38" s="46">
        <f t="shared" si="5"/>
        <v>2.7841136857476086E-2</v>
      </c>
      <c r="Y38" s="54"/>
      <c r="Z38" s="41">
        <f t="shared" si="18"/>
        <v>63802.046040585396</v>
      </c>
      <c r="AA38" s="41">
        <f t="shared" si="19"/>
        <v>790.66360375621809</v>
      </c>
      <c r="AB38" s="41">
        <f t="shared" si="6"/>
        <v>45472.427688852258</v>
      </c>
      <c r="AC38" s="41">
        <f t="shared" si="7"/>
        <v>556.82273714952169</v>
      </c>
      <c r="AD38" s="54"/>
      <c r="AE38" s="41">
        <f t="shared" si="8"/>
        <v>0</v>
      </c>
      <c r="AF38" s="41"/>
      <c r="AG38" s="41">
        <f t="shared" si="9"/>
        <v>-0.69602842143690213</v>
      </c>
      <c r="AH38" s="41">
        <f t="shared" si="20"/>
        <v>-23384.086660669647</v>
      </c>
      <c r="AI38" s="41">
        <f t="shared" si="21"/>
        <v>0</v>
      </c>
      <c r="AJ38" s="41">
        <f t="shared" si="10"/>
        <v>-23384.782689091084</v>
      </c>
      <c r="AK38" s="41">
        <f t="shared" si="11"/>
        <v>18329.618351733137</v>
      </c>
      <c r="AL38" s="41">
        <f t="shared" si="22"/>
        <v>2583.7083857736648</v>
      </c>
      <c r="AM38" s="41">
        <f t="shared" si="12"/>
        <v>-2471.4559515842816</v>
      </c>
      <c r="AN38" s="41">
        <f t="shared" si="13"/>
        <v>233.84086660669641</v>
      </c>
      <c r="AO38" s="41">
        <f t="shared" si="14"/>
        <v>-2237.615084977585</v>
      </c>
      <c r="AP38" s="45"/>
      <c r="AQ38" s="55"/>
      <c r="AR38" s="48"/>
      <c r="AS38" s="48"/>
      <c r="AT38" s="51">
        <f t="shared" si="23"/>
        <v>34</v>
      </c>
      <c r="AU38" s="49">
        <f t="shared" si="24"/>
        <v>3.9533180187810907E-2</v>
      </c>
      <c r="AV38" s="49">
        <f t="shared" si="25"/>
        <v>1.1692043330334823E-2</v>
      </c>
      <c r="AW38" s="50">
        <f xml:space="preserve"> IF(ISERROR(ROUND((1000*NPV($AT$1,$AV39:$AV$124)-$AW$1*($AU39+NPV($AT$1,$AU40:$AU$124)))/AU39,3)), 0, ROUND((1000*NPV($AT$1,$AV39:$AV$124)-$AW$1*($AU39+NPV($AT$1,$AU40:$AU$124)))/AU39,3))</f>
        <v>816.64099999999996</v>
      </c>
      <c r="AX38" s="50">
        <f>IF(ISERROR(ROUND(MAX(0,1000*NPV($AT$2,$AV39:$AV$124)-$AW$2*($AU39+NPV($AT$2,$AU40:$AU$124)))/AU39,3)), 0, ROUND(MAX(0,1000*NPV($AT$2,$AV39:$AV$124)-$AW$2*($AU39+NPV($AT$2,$AU40:$AU$124)))/AU39,3))</f>
        <v>762.09400000000005</v>
      </c>
    </row>
    <row r="39" spans="1:50" ht="15" x14ac:dyDescent="0.25">
      <c r="A39">
        <v>14</v>
      </c>
      <c r="B39">
        <v>1.6004271360370301E-4</v>
      </c>
      <c r="C39">
        <f t="shared" si="30"/>
        <v>1.5044015078748081E-4</v>
      </c>
      <c r="D39" s="60">
        <v>49</v>
      </c>
      <c r="E39" s="5">
        <v>1006023.4275069686</v>
      </c>
      <c r="F39">
        <v>30180.70870551595</v>
      </c>
      <c r="I39" s="51">
        <v>35</v>
      </c>
      <c r="J39" s="41"/>
      <c r="K39" s="41" t="str">
        <f t="shared" si="26"/>
        <v/>
      </c>
      <c r="L39" s="42">
        <f t="shared" si="27"/>
        <v>25</v>
      </c>
      <c r="M39" s="41">
        <f t="shared" si="28"/>
        <v>2000000</v>
      </c>
      <c r="N39" s="43">
        <f t="shared" si="1"/>
        <v>773.22799999999995</v>
      </c>
      <c r="O39" s="44">
        <f t="shared" si="2"/>
        <v>825.56600000000003</v>
      </c>
      <c r="P39" s="41">
        <f t="shared" si="3"/>
        <v>1546456</v>
      </c>
      <c r="Q39" s="41">
        <f t="shared" si="4"/>
        <v>1651132</v>
      </c>
      <c r="R39" s="44"/>
      <c r="S39" s="44">
        <f>IF(I39&lt;&gt;"",_xlfn.XLOOKUP($D$4+I39,$A$26:$A$145,$B$26:$B$145,0) * 1000,"")</f>
        <v>317.54119093103401</v>
      </c>
      <c r="T39" s="52">
        <f t="shared" si="29"/>
        <v>0</v>
      </c>
      <c r="U39" s="53">
        <f t="shared" si="15"/>
        <v>2.7841136857476086E-2</v>
      </c>
      <c r="V39" s="53">
        <f t="shared" si="16"/>
        <v>8.8407077545968622E-3</v>
      </c>
      <c r="W39" s="53">
        <f t="shared" si="17"/>
        <v>0</v>
      </c>
      <c r="X39" s="46">
        <f t="shared" si="5"/>
        <v>1.9000429102879225E-2</v>
      </c>
      <c r="Y39" s="54"/>
      <c r="Z39" s="41">
        <f t="shared" si="18"/>
        <v>45472.427688852258</v>
      </c>
      <c r="AA39" s="41">
        <f t="shared" si="19"/>
        <v>556.82273714952169</v>
      </c>
      <c r="AB39" s="41">
        <f t="shared" si="6"/>
        <v>31372.21650549518</v>
      </c>
      <c r="AC39" s="41">
        <f t="shared" si="7"/>
        <v>380.00858205758448</v>
      </c>
      <c r="AD39" s="54"/>
      <c r="AE39" s="41">
        <f t="shared" si="8"/>
        <v>0</v>
      </c>
      <c r="AF39" s="41"/>
      <c r="AG39" s="41">
        <f t="shared" si="9"/>
        <v>-0.47501072757198065</v>
      </c>
      <c r="AH39" s="41">
        <f t="shared" si="20"/>
        <v>-17681.415509193725</v>
      </c>
      <c r="AI39" s="41">
        <f t="shared" si="21"/>
        <v>0</v>
      </c>
      <c r="AJ39" s="41">
        <f t="shared" si="10"/>
        <v>-17681.890519921297</v>
      </c>
      <c r="AK39" s="41">
        <f t="shared" si="11"/>
        <v>14100.211183357078</v>
      </c>
      <c r="AL39" s="41">
        <f t="shared" si="22"/>
        <v>1841.1700170400713</v>
      </c>
      <c r="AM39" s="41">
        <f t="shared" si="12"/>
        <v>-1740.5093195241475</v>
      </c>
      <c r="AN39" s="41">
        <f t="shared" si="13"/>
        <v>176.81415509193721</v>
      </c>
      <c r="AO39" s="41">
        <f t="shared" si="14"/>
        <v>-1563.6951644322103</v>
      </c>
      <c r="AP39" s="45"/>
      <c r="AQ39" s="55"/>
      <c r="AR39" s="48"/>
      <c r="AS39" s="48"/>
      <c r="AT39" s="51">
        <f t="shared" si="23"/>
        <v>35</v>
      </c>
      <c r="AU39" s="49">
        <f t="shared" si="24"/>
        <v>2.7841136857476086E-2</v>
      </c>
      <c r="AV39" s="49">
        <f t="shared" si="25"/>
        <v>8.8407077545968622E-3</v>
      </c>
      <c r="AW39" s="50">
        <f xml:space="preserve"> IF(ISERROR(ROUND((1000*NPV($AT$1,$AV40:$AV$124)-$AW$1*($AU40+NPV($AT$1,$AU41:$AU$124)))/AU40,3)), 0, ROUND((1000*NPV($AT$1,$AV40:$AV$124)-$AW$1*($AU40+NPV($AT$1,$AU41:$AU$124)))/AU40,3))</f>
        <v>825.56600000000003</v>
      </c>
      <c r="AX39" s="50">
        <f>IF(ISERROR(ROUND(MAX(0,1000*NPV($AT$2,$AV40:$AV$124)-$AW$2*($AU40+NPV($AT$2,$AU41:$AU$124)))/AU40,3)), 0, ROUND(MAX(0,1000*NPV($AT$2,$AV40:$AV$124)-$AW$2*($AU40+NPV($AT$2,$AU41:$AU$124)))/AU40,3))</f>
        <v>773.22799999999995</v>
      </c>
    </row>
    <row r="40" spans="1:50" ht="15" x14ac:dyDescent="0.25">
      <c r="A40">
        <v>15</v>
      </c>
      <c r="B40">
        <v>1.9260754633443301E-4</v>
      </c>
      <c r="C40">
        <f t="shared" si="30"/>
        <v>1.8105109355436702E-4</v>
      </c>
      <c r="D40" s="60">
        <v>50</v>
      </c>
      <c r="E40" s="5">
        <v>1040643.6692818254</v>
      </c>
      <c r="F40">
        <v>31219.316051047761</v>
      </c>
      <c r="I40" s="51">
        <v>36</v>
      </c>
      <c r="J40" s="41"/>
      <c r="K40" s="41" t="str">
        <f t="shared" si="26"/>
        <v/>
      </c>
      <c r="L40" s="42">
        <f t="shared" si="27"/>
        <v>25</v>
      </c>
      <c r="M40" s="41">
        <f t="shared" si="28"/>
        <v>2000000</v>
      </c>
      <c r="N40" s="43">
        <f t="shared" si="1"/>
        <v>783.51700000000005</v>
      </c>
      <c r="O40" s="44">
        <f t="shared" si="2"/>
        <v>833.78800000000001</v>
      </c>
      <c r="P40" s="41">
        <f t="shared" si="3"/>
        <v>1567034</v>
      </c>
      <c r="Q40" s="41">
        <f t="shared" si="4"/>
        <v>1667576</v>
      </c>
      <c r="R40" s="44"/>
      <c r="S40" s="44">
        <f>IF(I40&lt;&gt;"",_xlfn.XLOOKUP($D$4+I40,$A$26:$A$145,$B$26:$B$145,0) * 1000,"")</f>
        <v>339.62695672274998</v>
      </c>
      <c r="T40" s="52">
        <f t="shared" si="29"/>
        <v>0</v>
      </c>
      <c r="U40" s="53">
        <f t="shared" si="15"/>
        <v>1.9000429102879225E-2</v>
      </c>
      <c r="V40" s="53">
        <f t="shared" si="16"/>
        <v>6.4530579126372417E-3</v>
      </c>
      <c r="W40" s="53">
        <f t="shared" si="17"/>
        <v>0</v>
      </c>
      <c r="X40" s="46">
        <f t="shared" si="5"/>
        <v>1.2547371190241983E-2</v>
      </c>
      <c r="Y40" s="54"/>
      <c r="Z40" s="41">
        <f t="shared" si="18"/>
        <v>31372.21650549518</v>
      </c>
      <c r="AA40" s="41">
        <f t="shared" si="19"/>
        <v>380.00858205758448</v>
      </c>
      <c r="AB40" s="41">
        <f t="shared" si="6"/>
        <v>20923.695059938967</v>
      </c>
      <c r="AC40" s="41">
        <f t="shared" si="7"/>
        <v>250.94742380483967</v>
      </c>
      <c r="AD40" s="54"/>
      <c r="AE40" s="41">
        <f t="shared" si="8"/>
        <v>0</v>
      </c>
      <c r="AF40" s="41"/>
      <c r="AG40" s="41">
        <f t="shared" si="9"/>
        <v>-0.31368427975604957</v>
      </c>
      <c r="AH40" s="41">
        <f t="shared" si="20"/>
        <v>-12906.115825274483</v>
      </c>
      <c r="AI40" s="41">
        <f t="shared" si="21"/>
        <v>0</v>
      </c>
      <c r="AJ40" s="41">
        <f t="shared" si="10"/>
        <v>-12906.429509554238</v>
      </c>
      <c r="AK40" s="41">
        <f t="shared" si="11"/>
        <v>10448.521445556213</v>
      </c>
      <c r="AL40" s="41">
        <f t="shared" si="22"/>
        <v>1270.0890035021107</v>
      </c>
      <c r="AM40" s="41">
        <f t="shared" si="12"/>
        <v>-1187.819060495915</v>
      </c>
      <c r="AN40" s="41">
        <f t="shared" si="13"/>
        <v>129.0611582527448</v>
      </c>
      <c r="AO40" s="41">
        <f t="shared" si="14"/>
        <v>-1058.7579022431701</v>
      </c>
      <c r="AP40" s="45"/>
      <c r="AQ40" s="55"/>
      <c r="AR40" s="48"/>
      <c r="AS40" s="48"/>
      <c r="AT40" s="51">
        <f t="shared" si="23"/>
        <v>36</v>
      </c>
      <c r="AU40" s="49">
        <f t="shared" si="24"/>
        <v>1.9000429102879225E-2</v>
      </c>
      <c r="AV40" s="49">
        <f t="shared" si="25"/>
        <v>6.4530579126372417E-3</v>
      </c>
      <c r="AW40" s="50">
        <f xml:space="preserve"> IF(ISERROR(ROUND((1000*NPV($AT$1,$AV41:$AV$124)-$AW$1*($AU41+NPV($AT$1,$AU42:$AU$124)))/AU41,3)), 0, ROUND((1000*NPV($AT$1,$AV41:$AV$124)-$AW$1*($AU41+NPV($AT$1,$AU42:$AU$124)))/AU41,3))</f>
        <v>833.78800000000001</v>
      </c>
      <c r="AX40" s="50">
        <f>IF(ISERROR(ROUND(MAX(0,1000*NPV($AT$2,$AV41:$AV$124)-$AW$2*($AU41+NPV($AT$2,$AU42:$AU$124)))/AU41,3)), 0, ROUND(MAX(0,1000*NPV($AT$2,$AV41:$AV$124)-$AW$2*($AU41+NPV($AT$2,$AU42:$AU$124)))/AU41,3))</f>
        <v>783.51700000000005</v>
      </c>
    </row>
    <row r="41" spans="1:50" ht="15" x14ac:dyDescent="0.25">
      <c r="A41">
        <v>16</v>
      </c>
      <c r="B41">
        <v>2.3312767864480701E-4</v>
      </c>
      <c r="C41">
        <f t="shared" si="30"/>
        <v>2.1914001792611859E-4</v>
      </c>
      <c r="D41" s="60">
        <v>51</v>
      </c>
      <c r="E41" s="5">
        <v>1076197.3865129689</v>
      </c>
      <c r="F41">
        <v>32285.927659833455</v>
      </c>
      <c r="I41" s="51">
        <v>37</v>
      </c>
      <c r="J41" s="41"/>
      <c r="K41" s="41" t="str">
        <f t="shared" si="26"/>
        <v/>
      </c>
      <c r="L41" s="42">
        <f t="shared" si="27"/>
        <v>25</v>
      </c>
      <c r="M41" s="41">
        <f t="shared" si="28"/>
        <v>2000000</v>
      </c>
      <c r="N41" s="43">
        <f t="shared" si="1"/>
        <v>793.17899999999997</v>
      </c>
      <c r="O41" s="44">
        <f t="shared" si="2"/>
        <v>841.48400000000004</v>
      </c>
      <c r="P41" s="41">
        <f t="shared" si="3"/>
        <v>1586358</v>
      </c>
      <c r="Q41" s="41">
        <f t="shared" si="4"/>
        <v>1682968</v>
      </c>
      <c r="R41" s="44"/>
      <c r="S41" s="44">
        <f>IF(I41&lt;&gt;"",_xlfn.XLOOKUP($D$4+I41,$A$26:$A$145,$B$26:$B$145,0) * 1000,"")</f>
        <v>361.50683300951295</v>
      </c>
      <c r="T41" s="52">
        <f t="shared" si="29"/>
        <v>0</v>
      </c>
      <c r="U41" s="53">
        <f t="shared" si="15"/>
        <v>1.2547371190241983E-2</v>
      </c>
      <c r="V41" s="53">
        <f t="shared" si="16"/>
        <v>4.5359604215791825E-3</v>
      </c>
      <c r="W41" s="53">
        <f t="shared" si="17"/>
        <v>0</v>
      </c>
      <c r="X41" s="46">
        <f t="shared" si="5"/>
        <v>8.0114107686628001E-3</v>
      </c>
      <c r="Y41" s="54"/>
      <c r="Z41" s="41">
        <f t="shared" si="18"/>
        <v>20923.695059938967</v>
      </c>
      <c r="AA41" s="41">
        <f t="shared" si="19"/>
        <v>250.94742380483967</v>
      </c>
      <c r="AB41" s="41">
        <f t="shared" si="6"/>
        <v>13482.947958514895</v>
      </c>
      <c r="AC41" s="41">
        <f t="shared" si="7"/>
        <v>160.22821537325601</v>
      </c>
      <c r="AD41" s="54"/>
      <c r="AE41" s="41">
        <f t="shared" si="8"/>
        <v>0</v>
      </c>
      <c r="AF41" s="41"/>
      <c r="AG41" s="41">
        <f t="shared" si="9"/>
        <v>-0.20028526921657</v>
      </c>
      <c r="AH41" s="41">
        <f t="shared" si="20"/>
        <v>-9071.9208431583647</v>
      </c>
      <c r="AI41" s="41">
        <f t="shared" si="21"/>
        <v>0</v>
      </c>
      <c r="AJ41" s="41">
        <f t="shared" si="10"/>
        <v>-9072.1211284275814</v>
      </c>
      <c r="AK41" s="41">
        <f t="shared" si="11"/>
        <v>7440.7471014240728</v>
      </c>
      <c r="AL41" s="41">
        <f t="shared" si="22"/>
        <v>846.98569934975228</v>
      </c>
      <c r="AM41" s="41">
        <f t="shared" si="12"/>
        <v>-784.38832765375639</v>
      </c>
      <c r="AN41" s="41">
        <f t="shared" si="13"/>
        <v>90.719208431583667</v>
      </c>
      <c r="AO41" s="41">
        <f t="shared" si="14"/>
        <v>-693.66911922217275</v>
      </c>
      <c r="AP41" s="45"/>
      <c r="AQ41" s="55"/>
      <c r="AR41" s="48"/>
      <c r="AS41" s="48"/>
      <c r="AT41" s="51">
        <f t="shared" si="23"/>
        <v>37</v>
      </c>
      <c r="AU41" s="49">
        <f t="shared" si="24"/>
        <v>1.2547371190241983E-2</v>
      </c>
      <c r="AV41" s="49">
        <f t="shared" si="25"/>
        <v>4.5359604215791825E-3</v>
      </c>
      <c r="AW41" s="50">
        <f xml:space="preserve"> IF(ISERROR(ROUND((1000*NPV($AT$1,$AV42:$AV$124)-$AW$1*($AU42+NPV($AT$1,$AU43:$AU$124)))/AU42,3)), 0, ROUND((1000*NPV($AT$1,$AV42:$AV$124)-$AW$1*($AU42+NPV($AT$1,$AU43:$AU$124)))/AU42,3))</f>
        <v>841.48400000000004</v>
      </c>
      <c r="AX41" s="50">
        <f>IF(ISERROR(ROUND(MAX(0,1000*NPV($AT$2,$AV42:$AV$124)-$AW$2*($AU42+NPV($AT$2,$AU43:$AU$124)))/AU42,3)), 0, ROUND(MAX(0,1000*NPV($AT$2,$AV42:$AV$124)-$AW$2*($AU42+NPV($AT$2,$AU43:$AU$124)))/AU42,3))</f>
        <v>793.17899999999997</v>
      </c>
    </row>
    <row r="42" spans="1:50" ht="15" x14ac:dyDescent="0.25">
      <c r="A42">
        <v>17</v>
      </c>
      <c r="B42">
        <v>2.79267776338687E-4</v>
      </c>
      <c r="C42">
        <f t="shared" si="30"/>
        <v>2.6251170975836579E-4</v>
      </c>
      <c r="D42" s="60">
        <v>52</v>
      </c>
      <c r="E42" s="5">
        <v>1112672.4902747644</v>
      </c>
      <c r="F42">
        <v>33380.180849471246</v>
      </c>
      <c r="I42" s="51">
        <v>38</v>
      </c>
      <c r="J42" s="41"/>
      <c r="K42" s="41" t="str">
        <f t="shared" si="26"/>
        <v/>
      </c>
      <c r="L42" s="42">
        <f t="shared" si="27"/>
        <v>25</v>
      </c>
      <c r="M42" s="41">
        <f t="shared" si="28"/>
        <v>2000000</v>
      </c>
      <c r="N42" s="43">
        <f t="shared" si="1"/>
        <v>802.22799999999995</v>
      </c>
      <c r="O42" s="44">
        <f t="shared" si="2"/>
        <v>848.67100000000005</v>
      </c>
      <c r="P42" s="41">
        <f t="shared" si="3"/>
        <v>1604456</v>
      </c>
      <c r="Q42" s="41">
        <f t="shared" si="4"/>
        <v>1697342</v>
      </c>
      <c r="R42" s="44"/>
      <c r="S42" s="44">
        <f>IF(I42&lt;&gt;"",_xlfn.XLOOKUP($D$4+I42,$A$26:$A$145,$B$26:$B$145,0) * 1000,"")</f>
        <v>384.07633691336702</v>
      </c>
      <c r="T42" s="52">
        <f t="shared" si="29"/>
        <v>0</v>
      </c>
      <c r="U42" s="53">
        <f t="shared" si="15"/>
        <v>8.0114107686628001E-3</v>
      </c>
      <c r="V42" s="53">
        <f t="shared" si="16"/>
        <v>3.0769933015363103E-3</v>
      </c>
      <c r="W42" s="53">
        <f t="shared" si="17"/>
        <v>0</v>
      </c>
      <c r="X42" s="46">
        <f t="shared" si="5"/>
        <v>4.9344174671264902E-3</v>
      </c>
      <c r="Y42" s="54"/>
      <c r="Z42" s="41">
        <f t="shared" si="18"/>
        <v>13482.947958514895</v>
      </c>
      <c r="AA42" s="41">
        <f t="shared" si="19"/>
        <v>160.22821537325601</v>
      </c>
      <c r="AB42" s="41">
        <f t="shared" si="6"/>
        <v>8375.3940124874116</v>
      </c>
      <c r="AC42" s="41">
        <f t="shared" si="7"/>
        <v>98.688349342529804</v>
      </c>
      <c r="AD42" s="54"/>
      <c r="AE42" s="41">
        <f t="shared" si="8"/>
        <v>0</v>
      </c>
      <c r="AF42" s="41"/>
      <c r="AG42" s="41">
        <f t="shared" si="9"/>
        <v>-0.12336043667816225</v>
      </c>
      <c r="AH42" s="41">
        <f t="shared" si="20"/>
        <v>-6153.9866030726207</v>
      </c>
      <c r="AI42" s="41">
        <f t="shared" si="21"/>
        <v>0</v>
      </c>
      <c r="AJ42" s="41">
        <f t="shared" si="10"/>
        <v>-6154.1099635092987</v>
      </c>
      <c r="AK42" s="41">
        <f t="shared" si="11"/>
        <v>5107.5539460274831</v>
      </c>
      <c r="AL42" s="41">
        <f t="shared" si="22"/>
        <v>545.72704695552602</v>
      </c>
      <c r="AM42" s="41">
        <f t="shared" si="12"/>
        <v>-500.82897052628959</v>
      </c>
      <c r="AN42" s="41">
        <f t="shared" si="13"/>
        <v>61.539866030726202</v>
      </c>
      <c r="AO42" s="41">
        <f t="shared" si="14"/>
        <v>-439.28910449556338</v>
      </c>
      <c r="AP42" s="45"/>
      <c r="AQ42" s="55"/>
      <c r="AR42" s="48"/>
      <c r="AS42" s="48"/>
      <c r="AT42" s="51">
        <f t="shared" si="23"/>
        <v>38</v>
      </c>
      <c r="AU42" s="49">
        <f t="shared" si="24"/>
        <v>8.0114107686628001E-3</v>
      </c>
      <c r="AV42" s="49">
        <f t="shared" si="25"/>
        <v>3.0769933015363103E-3</v>
      </c>
      <c r="AW42" s="50">
        <f xml:space="preserve"> IF(ISERROR(ROUND((1000*NPV($AT$1,$AV43:$AV$124)-$AW$1*($AU43+NPV($AT$1,$AU44:$AU$124)))/AU43,3)), 0, ROUND((1000*NPV($AT$1,$AV43:$AV$124)-$AW$1*($AU43+NPV($AT$1,$AU44:$AU$124)))/AU43,3))</f>
        <v>848.67100000000005</v>
      </c>
      <c r="AX42" s="50">
        <f>IF(ISERROR(ROUND(MAX(0,1000*NPV($AT$2,$AV43:$AV$124)-$AW$2*($AU43+NPV($AT$2,$AU44:$AU$124)))/AU43,3)), 0, ROUND(MAX(0,1000*NPV($AT$2,$AV43:$AV$124)-$AW$2*($AU43+NPV($AT$2,$AU44:$AU$124)))/AU43,3))</f>
        <v>802.22799999999995</v>
      </c>
    </row>
    <row r="43" spans="1:50" ht="15" x14ac:dyDescent="0.25">
      <c r="A43">
        <v>18</v>
      </c>
      <c r="B43">
        <v>3.3401304033053901E-4</v>
      </c>
      <c r="C43">
        <f t="shared" si="30"/>
        <v>3.1397225791070666E-4</v>
      </c>
      <c r="D43" s="60">
        <v>53</v>
      </c>
      <c r="E43" s="5">
        <v>1150055.8589264173</v>
      </c>
      <c r="F43">
        <v>34501.681970245205</v>
      </c>
      <c r="I43" s="51">
        <v>39</v>
      </c>
      <c r="J43" s="41"/>
      <c r="K43" s="41" t="str">
        <f t="shared" si="26"/>
        <v/>
      </c>
      <c r="L43" s="42">
        <f t="shared" si="27"/>
        <v>25</v>
      </c>
      <c r="M43" s="41">
        <f t="shared" si="28"/>
        <v>2000000</v>
      </c>
      <c r="N43" s="43">
        <f t="shared" si="1"/>
        <v>810.68799999999999</v>
      </c>
      <c r="O43" s="44">
        <f t="shared" si="2"/>
        <v>855.37</v>
      </c>
      <c r="P43" s="41">
        <f t="shared" si="3"/>
        <v>1621376</v>
      </c>
      <c r="Q43" s="41">
        <f t="shared" si="4"/>
        <v>1710740</v>
      </c>
      <c r="R43" s="44"/>
      <c r="S43" s="44">
        <f>IF(I43&lt;&gt;"",_xlfn.XLOOKUP($D$4+I43,$A$26:$A$145,$B$26:$B$145,0) * 1000,"")</f>
        <v>407.22353323420299</v>
      </c>
      <c r="T43" s="52">
        <f t="shared" si="29"/>
        <v>0</v>
      </c>
      <c r="U43" s="53">
        <f t="shared" si="15"/>
        <v>4.9344174671264902E-3</v>
      </c>
      <c r="V43" s="53">
        <f t="shared" si="16"/>
        <v>2.0094109154158162E-3</v>
      </c>
      <c r="W43" s="53">
        <f t="shared" si="17"/>
        <v>0</v>
      </c>
      <c r="X43" s="46">
        <f t="shared" si="5"/>
        <v>2.9250065517106741E-3</v>
      </c>
      <c r="Y43" s="54"/>
      <c r="Z43" s="41">
        <f t="shared" si="18"/>
        <v>8375.3940124874116</v>
      </c>
      <c r="AA43" s="41">
        <f t="shared" si="19"/>
        <v>98.688349342529804</v>
      </c>
      <c r="AB43" s="41">
        <f t="shared" si="6"/>
        <v>5003.9257082735185</v>
      </c>
      <c r="AC43" s="41">
        <f t="shared" si="7"/>
        <v>58.500131034213481</v>
      </c>
      <c r="AD43" s="54"/>
      <c r="AE43" s="41">
        <f t="shared" si="8"/>
        <v>0</v>
      </c>
      <c r="AF43" s="41"/>
      <c r="AG43" s="41">
        <f t="shared" si="9"/>
        <v>-7.3125163792766845E-2</v>
      </c>
      <c r="AH43" s="41">
        <f t="shared" si="20"/>
        <v>-4018.8218308316323</v>
      </c>
      <c r="AI43" s="41">
        <f t="shared" si="21"/>
        <v>0</v>
      </c>
      <c r="AJ43" s="41">
        <f t="shared" si="10"/>
        <v>-4018.8949559954249</v>
      </c>
      <c r="AK43" s="41">
        <f t="shared" si="11"/>
        <v>3371.4683042138931</v>
      </c>
      <c r="AL43" s="41">
        <f t="shared" si="22"/>
        <v>338.96329447319766</v>
      </c>
      <c r="AM43" s="41">
        <f t="shared" si="12"/>
        <v>-308.46335730833408</v>
      </c>
      <c r="AN43" s="41">
        <f t="shared" si="13"/>
        <v>40.188218308316323</v>
      </c>
      <c r="AO43" s="41">
        <f t="shared" si="14"/>
        <v>-268.27513900001776</v>
      </c>
      <c r="AP43" s="45"/>
      <c r="AQ43" s="55"/>
      <c r="AR43" s="48"/>
      <c r="AS43" s="48"/>
      <c r="AT43" s="51">
        <f t="shared" si="23"/>
        <v>39</v>
      </c>
      <c r="AU43" s="49">
        <f t="shared" si="24"/>
        <v>4.9344174671264902E-3</v>
      </c>
      <c r="AV43" s="49">
        <f t="shared" si="25"/>
        <v>2.0094109154158162E-3</v>
      </c>
      <c r="AW43" s="50">
        <f xml:space="preserve"> IF(ISERROR(ROUND((1000*NPV($AT$1,$AV44:$AV$124)-$AW$1*($AU44+NPV($AT$1,$AU45:$AU$124)))/AU44,3)), 0, ROUND((1000*NPV($AT$1,$AV44:$AV$124)-$AW$1*($AU44+NPV($AT$1,$AU45:$AU$124)))/AU44,3))</f>
        <v>855.37</v>
      </c>
      <c r="AX43" s="50">
        <f>IF(ISERROR(ROUND(MAX(0,1000*NPV($AT$2,$AV44:$AV$124)-$AW$2*($AU44+NPV($AT$2,$AU45:$AU$124)))/AU44,3)), 0, ROUND(MAX(0,1000*NPV($AT$2,$AV44:$AV$124)-$AW$2*($AU44+NPV($AT$2,$AU45:$AU$124)))/AU44,3))</f>
        <v>810.68799999999999</v>
      </c>
    </row>
    <row r="44" spans="1:50" ht="15" x14ac:dyDescent="0.25">
      <c r="A44">
        <v>19</v>
      </c>
      <c r="B44">
        <v>3.0212039730859202E-4</v>
      </c>
      <c r="C44">
        <f t="shared" si="30"/>
        <v>2.8399317347007648E-4</v>
      </c>
      <c r="D44" s="60">
        <v>54</v>
      </c>
      <c r="E44" s="5">
        <v>1188349.4339270461</v>
      </c>
      <c r="F44">
        <v>35650.489272809937</v>
      </c>
      <c r="I44" s="51">
        <v>40</v>
      </c>
      <c r="J44" s="41"/>
      <c r="K44" s="41" t="str">
        <f t="shared" si="26"/>
        <v/>
      </c>
      <c r="L44" s="42">
        <f t="shared" si="27"/>
        <v>25</v>
      </c>
      <c r="M44" s="41">
        <f t="shared" si="28"/>
        <v>2000000</v>
      </c>
      <c r="N44" s="43">
        <f t="shared" si="1"/>
        <v>818.59500000000003</v>
      </c>
      <c r="O44" s="44">
        <f t="shared" si="2"/>
        <v>861.61500000000001</v>
      </c>
      <c r="P44" s="41">
        <f t="shared" si="3"/>
        <v>1637190</v>
      </c>
      <c r="Q44" s="41">
        <f t="shared" si="4"/>
        <v>1723230</v>
      </c>
      <c r="R44" s="44"/>
      <c r="S44" s="44">
        <f>IF(I44&lt;&gt;"",_xlfn.XLOOKUP($D$4+I44,$A$26:$A$145,$B$26:$B$145,0) * 1000,"")</f>
        <v>430.81789158893702</v>
      </c>
      <c r="T44" s="52">
        <f t="shared" si="29"/>
        <v>0</v>
      </c>
      <c r="U44" s="53">
        <f t="shared" si="15"/>
        <v>2.9250065517106741E-3</v>
      </c>
      <c r="V44" s="53">
        <f t="shared" si="16"/>
        <v>1.2601451554918198E-3</v>
      </c>
      <c r="W44" s="53">
        <f t="shared" si="17"/>
        <v>0</v>
      </c>
      <c r="X44" s="46">
        <f t="shared" si="5"/>
        <v>1.6648613962188543E-3</v>
      </c>
      <c r="Y44" s="54"/>
      <c r="Z44" s="41">
        <f t="shared" si="18"/>
        <v>5003.9257082735185</v>
      </c>
      <c r="AA44" s="41">
        <f t="shared" si="19"/>
        <v>58.500131034213481</v>
      </c>
      <c r="AB44" s="41">
        <f t="shared" si="6"/>
        <v>2868.9391038062163</v>
      </c>
      <c r="AC44" s="41">
        <f t="shared" si="7"/>
        <v>33.297227924377083</v>
      </c>
      <c r="AD44" s="54"/>
      <c r="AE44" s="41">
        <f t="shared" si="8"/>
        <v>0</v>
      </c>
      <c r="AF44" s="41"/>
      <c r="AG44" s="41">
        <f t="shared" si="9"/>
        <v>-4.1621534905471359E-2</v>
      </c>
      <c r="AH44" s="41">
        <f t="shared" si="20"/>
        <v>-2520.2903109836398</v>
      </c>
      <c r="AI44" s="41">
        <f t="shared" si="21"/>
        <v>0</v>
      </c>
      <c r="AJ44" s="41">
        <f t="shared" si="10"/>
        <v>-2520.3319325185453</v>
      </c>
      <c r="AK44" s="41">
        <f t="shared" si="11"/>
        <v>2134.9866044673022</v>
      </c>
      <c r="AL44" s="41">
        <f t="shared" si="22"/>
        <v>202.49703357230928</v>
      </c>
      <c r="AM44" s="41">
        <f t="shared" si="12"/>
        <v>-182.84829447893381</v>
      </c>
      <c r="AN44" s="41">
        <f t="shared" si="13"/>
        <v>25.202903109836399</v>
      </c>
      <c r="AO44" s="41">
        <f t="shared" si="14"/>
        <v>-157.64539136909741</v>
      </c>
      <c r="AP44" s="45"/>
      <c r="AQ44" s="55"/>
      <c r="AR44" s="48"/>
      <c r="AS44" s="48"/>
      <c r="AT44" s="51">
        <f t="shared" si="23"/>
        <v>40</v>
      </c>
      <c r="AU44" s="49">
        <f t="shared" si="24"/>
        <v>2.9250065517106741E-3</v>
      </c>
      <c r="AV44" s="49">
        <f t="shared" si="25"/>
        <v>1.2601451554918198E-3</v>
      </c>
      <c r="AW44" s="50">
        <f xml:space="preserve"> IF(ISERROR(ROUND((1000*NPV($AT$1,$AV45:$AV$124)-$AW$1*($AU45+NPV($AT$1,$AU46:$AU$124)))/AU45,3)), 0, ROUND((1000*NPV($AT$1,$AV45:$AV$124)-$AW$1*($AU45+NPV($AT$1,$AU46:$AU$124)))/AU45,3))</f>
        <v>861.61500000000001</v>
      </c>
      <c r="AX44" s="50">
        <f>IF(ISERROR(ROUND(MAX(0,1000*NPV($AT$2,$AV45:$AV$124)-$AW$2*($AU45+NPV($AT$2,$AU46:$AU$124)))/AU45,3)), 0, ROUND(MAX(0,1000*NPV($AT$2,$AV45:$AV$124)-$AW$2*($AU45+NPV($AT$2,$AU46:$AU$124)))/AU45,3))</f>
        <v>818.59500000000003</v>
      </c>
    </row>
    <row r="45" spans="1:50" ht="15" x14ac:dyDescent="0.25">
      <c r="A45">
        <v>20</v>
      </c>
      <c r="B45">
        <v>3.2771843540135799E-4</v>
      </c>
      <c r="C45">
        <f t="shared" si="30"/>
        <v>3.0805532927727651E-4</v>
      </c>
      <c r="D45" s="60">
        <v>55</v>
      </c>
      <c r="E45" s="5">
        <v>1227533.033150496</v>
      </c>
      <c r="F45">
        <v>36825.997283499921</v>
      </c>
      <c r="I45" s="51">
        <v>41</v>
      </c>
      <c r="J45" s="41"/>
      <c r="K45" s="41" t="str">
        <f t="shared" si="26"/>
        <v/>
      </c>
      <c r="L45" s="42">
        <f t="shared" si="27"/>
        <v>25</v>
      </c>
      <c r="M45" s="41">
        <f t="shared" si="28"/>
        <v>2000000</v>
      </c>
      <c r="N45" s="43">
        <f t="shared" si="1"/>
        <v>826.01199999999994</v>
      </c>
      <c r="O45" s="44">
        <f t="shared" si="2"/>
        <v>867.45899999999995</v>
      </c>
      <c r="P45" s="41">
        <f t="shared" si="3"/>
        <v>1652024</v>
      </c>
      <c r="Q45" s="41">
        <f t="shared" si="4"/>
        <v>1734918</v>
      </c>
      <c r="R45" s="44"/>
      <c r="S45" s="44">
        <f>IF(I45&lt;&gt;"",_xlfn.XLOOKUP($D$4+I45,$A$26:$A$145,$B$26:$B$145,0) * 1000,"")</f>
        <v>454.72577874192098</v>
      </c>
      <c r="T45" s="52">
        <f t="shared" si="29"/>
        <v>0</v>
      </c>
      <c r="U45" s="53">
        <f t="shared" si="15"/>
        <v>1.6648613962188543E-3</v>
      </c>
      <c r="V45" s="53">
        <f t="shared" si="16"/>
        <v>7.5705539489298037E-4</v>
      </c>
      <c r="W45" s="53">
        <f t="shared" si="17"/>
        <v>0</v>
      </c>
      <c r="X45" s="46">
        <f t="shared" si="5"/>
        <v>9.0780600132587392E-4</v>
      </c>
      <c r="Y45" s="54"/>
      <c r="Z45" s="41">
        <f t="shared" si="18"/>
        <v>2868.9391038062163</v>
      </c>
      <c r="AA45" s="41">
        <f t="shared" si="19"/>
        <v>33.297227924377083</v>
      </c>
      <c r="AB45" s="41">
        <f t="shared" si="6"/>
        <v>1574.9689722082826</v>
      </c>
      <c r="AC45" s="41">
        <f t="shared" si="7"/>
        <v>18.156120026517478</v>
      </c>
      <c r="AD45" s="54"/>
      <c r="AE45" s="41">
        <f t="shared" si="8"/>
        <v>0</v>
      </c>
      <c r="AF45" s="41"/>
      <c r="AG45" s="41">
        <f t="shared" si="9"/>
        <v>-2.2695150033146847E-2</v>
      </c>
      <c r="AH45" s="41">
        <f t="shared" si="20"/>
        <v>-1514.1107897859608</v>
      </c>
      <c r="AI45" s="41">
        <f t="shared" si="21"/>
        <v>0</v>
      </c>
      <c r="AJ45" s="41">
        <f t="shared" si="10"/>
        <v>-1514.1334849359939</v>
      </c>
      <c r="AK45" s="41">
        <f t="shared" si="11"/>
        <v>1293.9701315979337</v>
      </c>
      <c r="AL45" s="41">
        <f t="shared" si="22"/>
        <v>116.08945326922374</v>
      </c>
      <c r="AM45" s="41">
        <f t="shared" si="12"/>
        <v>-104.07390006883649</v>
      </c>
      <c r="AN45" s="41">
        <f t="shared" si="13"/>
        <v>15.141107897859605</v>
      </c>
      <c r="AO45" s="41">
        <f t="shared" si="14"/>
        <v>-88.932792170976882</v>
      </c>
      <c r="AP45" s="45"/>
      <c r="AQ45" s="55"/>
      <c r="AR45" s="48"/>
      <c r="AS45" s="48"/>
      <c r="AT45" s="51">
        <f t="shared" si="23"/>
        <v>41</v>
      </c>
      <c r="AU45" s="49">
        <f t="shared" si="24"/>
        <v>1.6648613962188543E-3</v>
      </c>
      <c r="AV45" s="49">
        <f t="shared" si="25"/>
        <v>7.5705539489298037E-4</v>
      </c>
      <c r="AW45" s="50">
        <f xml:space="preserve"> IF(ISERROR(ROUND((1000*NPV($AT$1,$AV46:$AV$124)-$AW$1*($AU46+NPV($AT$1,$AU47:$AU$124)))/AU46,3)), 0, ROUND((1000*NPV($AT$1,$AV46:$AV$124)-$AW$1*($AU46+NPV($AT$1,$AU47:$AU$124)))/AU46,3))</f>
        <v>867.45899999999995</v>
      </c>
      <c r="AX45" s="50">
        <f>IF(ISERROR(ROUND(MAX(0,1000*NPV($AT$2,$AV46:$AV$124)-$AW$2*($AU46+NPV($AT$2,$AU47:$AU$124)))/AU46,3)), 0, ROUND(MAX(0,1000*NPV($AT$2,$AV46:$AV$124)-$AW$2*($AU46+NPV($AT$2,$AU47:$AU$124)))/AU46,3))</f>
        <v>826.01199999999994</v>
      </c>
    </row>
    <row r="46" spans="1:50" ht="15" x14ac:dyDescent="0.25">
      <c r="A46">
        <v>21</v>
      </c>
      <c r="B46">
        <v>3.5369267327167698E-4</v>
      </c>
      <c r="C46">
        <f t="shared" si="30"/>
        <v>3.3247111287537635E-4</v>
      </c>
      <c r="D46" s="60">
        <v>56</v>
      </c>
      <c r="E46" s="5">
        <v>1267933.9564132337</v>
      </c>
      <c r="F46">
        <v>38038.025154912146</v>
      </c>
      <c r="I46" s="51">
        <v>42</v>
      </c>
      <c r="J46" s="41"/>
      <c r="K46" s="41" t="str">
        <f t="shared" si="26"/>
        <v/>
      </c>
      <c r="L46" s="42">
        <f t="shared" si="27"/>
        <v>25</v>
      </c>
      <c r="M46" s="41">
        <f t="shared" si="28"/>
        <v>2000000</v>
      </c>
      <c r="N46" s="43">
        <f t="shared" si="1"/>
        <v>833.00099999999998</v>
      </c>
      <c r="O46" s="44">
        <f t="shared" si="2"/>
        <v>872.95299999999997</v>
      </c>
      <c r="P46" s="41">
        <f t="shared" si="3"/>
        <v>1666002</v>
      </c>
      <c r="Q46" s="41">
        <f t="shared" si="4"/>
        <v>1745906</v>
      </c>
      <c r="R46" s="44"/>
      <c r="S46" s="44">
        <f>IF(I46&lt;&gt;"",_xlfn.XLOOKUP($D$4+I46,$A$26:$A$145,$B$26:$B$145,0) * 1000,"")</f>
        <v>478.987904435281</v>
      </c>
      <c r="T46" s="52">
        <f t="shared" si="29"/>
        <v>0</v>
      </c>
      <c r="U46" s="53">
        <f t="shared" si="15"/>
        <v>9.0780600132587392E-4</v>
      </c>
      <c r="V46" s="53">
        <f t="shared" si="16"/>
        <v>4.3482809420885226E-4</v>
      </c>
      <c r="W46" s="53">
        <f t="shared" si="17"/>
        <v>0</v>
      </c>
      <c r="X46" s="46">
        <f t="shared" si="5"/>
        <v>4.7297790711702166E-4</v>
      </c>
      <c r="Y46" s="54"/>
      <c r="Z46" s="41">
        <f t="shared" si="18"/>
        <v>1574.9689722082826</v>
      </c>
      <c r="AA46" s="41">
        <f t="shared" si="19"/>
        <v>18.156120026517478</v>
      </c>
      <c r="AB46" s="41">
        <f t="shared" si="6"/>
        <v>825.77496590305077</v>
      </c>
      <c r="AC46" s="41">
        <f t="shared" si="7"/>
        <v>9.459558142340434</v>
      </c>
      <c r="AD46" s="54"/>
      <c r="AE46" s="41">
        <f t="shared" si="8"/>
        <v>0</v>
      </c>
      <c r="AF46" s="41"/>
      <c r="AG46" s="41">
        <f t="shared" si="9"/>
        <v>-1.1824447677925542E-2</v>
      </c>
      <c r="AH46" s="41">
        <f t="shared" si="20"/>
        <v>-869.65618841770447</v>
      </c>
      <c r="AI46" s="41">
        <f t="shared" si="21"/>
        <v>0</v>
      </c>
      <c r="AJ46" s="41">
        <f t="shared" si="10"/>
        <v>-869.66801286538237</v>
      </c>
      <c r="AK46" s="41">
        <f t="shared" si="11"/>
        <v>749.19400630523182</v>
      </c>
      <c r="AL46" s="41">
        <f t="shared" si="22"/>
        <v>63.725003689392004</v>
      </c>
      <c r="AM46" s="41">
        <f t="shared" si="12"/>
        <v>-56.749002870758538</v>
      </c>
      <c r="AN46" s="41">
        <f t="shared" si="13"/>
        <v>8.6965618841770436</v>
      </c>
      <c r="AO46" s="41">
        <f t="shared" si="14"/>
        <v>-48.052440986581495</v>
      </c>
      <c r="AP46" s="45"/>
      <c r="AQ46" s="55"/>
      <c r="AR46" s="48"/>
      <c r="AS46" s="48"/>
      <c r="AT46" s="51">
        <f t="shared" si="23"/>
        <v>42</v>
      </c>
      <c r="AU46" s="49">
        <f t="shared" si="24"/>
        <v>9.0780600132587392E-4</v>
      </c>
      <c r="AV46" s="49">
        <f t="shared" si="25"/>
        <v>4.3482809420885226E-4</v>
      </c>
      <c r="AW46" s="50">
        <f xml:space="preserve"> IF(ISERROR(ROUND((1000*NPV($AT$1,$AV47:$AV$124)-$AW$1*($AU47+NPV($AT$1,$AU48:$AU$124)))/AU47,3)), 0, ROUND((1000*NPV($AT$1,$AV47:$AV$124)-$AW$1*($AU47+NPV($AT$1,$AU48:$AU$124)))/AU47,3))</f>
        <v>872.95299999999997</v>
      </c>
      <c r="AX46" s="50">
        <f>IF(ISERROR(ROUND(MAX(0,1000*NPV($AT$2,$AV47:$AV$124)-$AW$2*($AU47+NPV($AT$2,$AU48:$AU$124)))/AU47,3)), 0, ROUND(MAX(0,1000*NPV($AT$2,$AV47:$AV$124)-$AW$2*($AU47+NPV($AT$2,$AU48:$AU$124)))/AU47,3))</f>
        <v>833.00099999999998</v>
      </c>
    </row>
    <row r="47" spans="1:50" ht="15" x14ac:dyDescent="0.25">
      <c r="A47">
        <v>22</v>
      </c>
      <c r="B47">
        <v>3.7146846353486302E-4</v>
      </c>
      <c r="C47">
        <f t="shared" si="30"/>
        <v>3.4918035572277121E-4</v>
      </c>
      <c r="D47" s="60">
        <v>57</v>
      </c>
      <c r="E47" s="5">
        <v>1309280.4157309553</v>
      </c>
      <c r="F47">
        <v>39278.418972724932</v>
      </c>
      <c r="I47" s="51">
        <v>43</v>
      </c>
      <c r="J47" s="41"/>
      <c r="K47" s="41" t="str">
        <f t="shared" si="26"/>
        <v/>
      </c>
      <c r="L47" s="42">
        <f t="shared" si="27"/>
        <v>25</v>
      </c>
      <c r="M47" s="41">
        <f t="shared" si="28"/>
        <v>2000000</v>
      </c>
      <c r="N47" s="43">
        <f t="shared" si="1"/>
        <v>839.62099999999998</v>
      </c>
      <c r="O47" s="44">
        <f t="shared" si="2"/>
        <v>878.14599999999996</v>
      </c>
      <c r="P47" s="41">
        <f t="shared" si="3"/>
        <v>1679242</v>
      </c>
      <c r="Q47" s="41">
        <f t="shared" si="4"/>
        <v>1756292</v>
      </c>
      <c r="R47" s="44"/>
      <c r="S47" s="44">
        <f>IF(I47&lt;&gt;"",_xlfn.XLOOKUP($D$4+I47,$A$26:$A$145,$B$26:$B$145,0) * 1000,"")</f>
        <v>503.66971393054905</v>
      </c>
      <c r="T47" s="52">
        <f t="shared" si="29"/>
        <v>0</v>
      </c>
      <c r="U47" s="53">
        <f t="shared" si="15"/>
        <v>4.7297790711702166E-4</v>
      </c>
      <c r="V47" s="53">
        <f t="shared" si="16"/>
        <v>2.3822464717310009E-4</v>
      </c>
      <c r="W47" s="53">
        <f t="shared" si="17"/>
        <v>0</v>
      </c>
      <c r="X47" s="46">
        <f t="shared" si="5"/>
        <v>2.3475325994392157E-4</v>
      </c>
      <c r="Y47" s="54"/>
      <c r="Z47" s="41">
        <f t="shared" si="18"/>
        <v>825.77496590305077</v>
      </c>
      <c r="AA47" s="41">
        <f t="shared" si="19"/>
        <v>9.459558142340434</v>
      </c>
      <c r="AB47" s="41">
        <f t="shared" si="6"/>
        <v>412.29527241342987</v>
      </c>
      <c r="AC47" s="41">
        <f t="shared" si="7"/>
        <v>4.6950651988784315</v>
      </c>
      <c r="AD47" s="54"/>
      <c r="AE47" s="41">
        <f t="shared" si="8"/>
        <v>0</v>
      </c>
      <c r="AF47" s="41"/>
      <c r="AG47" s="41">
        <f t="shared" si="9"/>
        <v>-5.8688314985980393E-3</v>
      </c>
      <c r="AH47" s="41">
        <f t="shared" si="20"/>
        <v>-476.44929434620019</v>
      </c>
      <c r="AI47" s="41">
        <f t="shared" si="21"/>
        <v>0</v>
      </c>
      <c r="AJ47" s="41">
        <f t="shared" si="10"/>
        <v>-476.45516317769881</v>
      </c>
      <c r="AK47" s="41">
        <f t="shared" si="11"/>
        <v>413.4796934896209</v>
      </c>
      <c r="AL47" s="41">
        <f t="shared" si="22"/>
        <v>33.40938096181565</v>
      </c>
      <c r="AM47" s="41">
        <f t="shared" si="12"/>
        <v>-29.566088726262258</v>
      </c>
      <c r="AN47" s="41">
        <f t="shared" si="13"/>
        <v>4.7644929434620025</v>
      </c>
      <c r="AO47" s="41">
        <f t="shared" si="14"/>
        <v>-24.801595782800256</v>
      </c>
      <c r="AP47" s="45"/>
      <c r="AQ47" s="55"/>
      <c r="AR47" s="48"/>
      <c r="AS47" s="48"/>
      <c r="AT47" s="51">
        <f t="shared" si="23"/>
        <v>43</v>
      </c>
      <c r="AU47" s="49">
        <f t="shared" si="24"/>
        <v>4.7297790711702166E-4</v>
      </c>
      <c r="AV47" s="49">
        <f t="shared" si="25"/>
        <v>2.3822464717310009E-4</v>
      </c>
      <c r="AW47" s="50">
        <f xml:space="preserve"> IF(ISERROR(ROUND((1000*NPV($AT$1,$AV48:$AV$124)-$AW$1*($AU48+NPV($AT$1,$AU49:$AU$124)))/AU48,3)), 0, ROUND((1000*NPV($AT$1,$AV48:$AV$124)-$AW$1*($AU48+NPV($AT$1,$AU49:$AU$124)))/AU48,3))</f>
        <v>878.14599999999996</v>
      </c>
      <c r="AX47" s="50">
        <f>IF(ISERROR(ROUND(MAX(0,1000*NPV($AT$2,$AV48:$AV$124)-$AW$2*($AU48+NPV($AT$2,$AU49:$AU$124)))/AU48,3)), 0, ROUND(MAX(0,1000*NPV($AT$2,$AV48:$AV$124)-$AW$2*($AU48+NPV($AT$2,$AU49:$AU$124)))/AU48,3))</f>
        <v>839.62099999999998</v>
      </c>
    </row>
    <row r="48" spans="1:50" ht="15" x14ac:dyDescent="0.25">
      <c r="A48">
        <v>23</v>
      </c>
      <c r="B48">
        <v>3.8552094334432001E-4</v>
      </c>
      <c r="C48">
        <f t="shared" si="30"/>
        <v>3.6238968674366082E-4</v>
      </c>
      <c r="D48" s="60">
        <v>58</v>
      </c>
      <c r="E48" s="5">
        <v>1351594.6156881731</v>
      </c>
      <c r="F48">
        <v>40547.845010584686</v>
      </c>
      <c r="I48" s="51">
        <v>44</v>
      </c>
      <c r="J48" s="41"/>
      <c r="K48" s="41" t="str">
        <f t="shared" si="26"/>
        <v/>
      </c>
      <c r="L48" s="42">
        <f t="shared" si="27"/>
        <v>25</v>
      </c>
      <c r="M48" s="41">
        <f t="shared" si="28"/>
        <v>2000000</v>
      </c>
      <c r="N48" s="43">
        <f t="shared" si="1"/>
        <v>846.00800000000004</v>
      </c>
      <c r="O48" s="44">
        <f t="shared" si="2"/>
        <v>883.14599999999996</v>
      </c>
      <c r="P48" s="41">
        <f t="shared" si="3"/>
        <v>1692016</v>
      </c>
      <c r="Q48" s="41">
        <f t="shared" si="4"/>
        <v>1766292</v>
      </c>
      <c r="R48" s="44"/>
      <c r="S48" s="44">
        <f>IF(I48&lt;&gt;"",_xlfn.XLOOKUP($D$4+I48,$A$26:$A$145,$B$26:$B$145,0) * 1000,"")</f>
        <v>528.65017529981594</v>
      </c>
      <c r="T48" s="52">
        <f t="shared" si="29"/>
        <v>0</v>
      </c>
      <c r="U48" s="53">
        <f t="shared" si="15"/>
        <v>2.3475325994392157E-4</v>
      </c>
      <c r="V48" s="53">
        <f t="shared" si="16"/>
        <v>1.241023520215574E-4</v>
      </c>
      <c r="W48" s="53">
        <f t="shared" si="17"/>
        <v>0</v>
      </c>
      <c r="X48" s="46">
        <f t="shared" si="5"/>
        <v>1.1065090792236417E-4</v>
      </c>
      <c r="Y48" s="54"/>
      <c r="Z48" s="41">
        <f t="shared" si="18"/>
        <v>412.29527241342987</v>
      </c>
      <c r="AA48" s="41">
        <f t="shared" si="19"/>
        <v>4.6950651988784315</v>
      </c>
      <c r="AB48" s="41">
        <f t="shared" si="6"/>
        <v>195.44181345600845</v>
      </c>
      <c r="AC48" s="41">
        <f t="shared" si="7"/>
        <v>2.2130181584472832</v>
      </c>
      <c r="AD48" s="54"/>
      <c r="AE48" s="41">
        <f t="shared" si="8"/>
        <v>0</v>
      </c>
      <c r="AF48" s="41"/>
      <c r="AG48" s="41">
        <f t="shared" si="9"/>
        <v>-2.7662726980591042E-3</v>
      </c>
      <c r="AH48" s="41">
        <f t="shared" si="20"/>
        <v>-248.20470404311479</v>
      </c>
      <c r="AI48" s="41">
        <f t="shared" si="21"/>
        <v>0</v>
      </c>
      <c r="AJ48" s="41">
        <f t="shared" si="10"/>
        <v>-248.20747031581286</v>
      </c>
      <c r="AK48" s="41">
        <f t="shared" si="11"/>
        <v>216.85345895742142</v>
      </c>
      <c r="AL48" s="41">
        <f t="shared" si="22"/>
        <v>16.67961350449233</v>
      </c>
      <c r="AM48" s="41">
        <f t="shared" si="12"/>
        <v>-14.674397853899102</v>
      </c>
      <c r="AN48" s="41">
        <f t="shared" si="13"/>
        <v>2.4820470404311483</v>
      </c>
      <c r="AO48" s="41">
        <f t="shared" si="14"/>
        <v>-12.192350813467954</v>
      </c>
      <c r="AP48" s="45"/>
      <c r="AQ48" s="55"/>
      <c r="AR48" s="48"/>
      <c r="AS48" s="48"/>
      <c r="AT48" s="51">
        <f t="shared" si="23"/>
        <v>44</v>
      </c>
      <c r="AU48" s="49">
        <f t="shared" si="24"/>
        <v>2.3475325994392157E-4</v>
      </c>
      <c r="AV48" s="49">
        <f t="shared" si="25"/>
        <v>1.241023520215574E-4</v>
      </c>
      <c r="AW48" s="50">
        <f xml:space="preserve"> IF(ISERROR(ROUND((1000*NPV($AT$1,$AV49:$AV$124)-$AW$1*($AU49+NPV($AT$1,$AU50:$AU$124)))/AU49,3)), 0, ROUND((1000*NPV($AT$1,$AV49:$AV$124)-$AW$1*($AU49+NPV($AT$1,$AU50:$AU$124)))/AU49,3))</f>
        <v>883.14599999999996</v>
      </c>
      <c r="AX48" s="50">
        <f>IF(ISERROR(ROUND(MAX(0,1000*NPV($AT$2,$AV49:$AV$124)-$AW$2*($AU49+NPV($AT$2,$AU50:$AU$124)))/AU49,3)), 0, ROUND(MAX(0,1000*NPV($AT$2,$AV49:$AV$124)-$AW$2*($AU49+NPV($AT$2,$AU50:$AU$124)))/AU49,3))</f>
        <v>846.00800000000004</v>
      </c>
    </row>
    <row r="49" spans="1:50" ht="15" x14ac:dyDescent="0.25">
      <c r="A49">
        <v>24</v>
      </c>
      <c r="B49">
        <v>3.8702470831519803E-4</v>
      </c>
      <c r="C49">
        <f t="shared" si="30"/>
        <v>3.6380322581628613E-4</v>
      </c>
      <c r="D49" s="60">
        <v>59</v>
      </c>
      <c r="E49" s="5">
        <v>1394879.6518742007</v>
      </c>
      <c r="F49">
        <v>41846.396127493237</v>
      </c>
      <c r="I49" s="51">
        <v>45</v>
      </c>
      <c r="J49" s="41"/>
      <c r="K49" s="41" t="str">
        <f t="shared" si="26"/>
        <v/>
      </c>
      <c r="L49" s="42">
        <f t="shared" si="27"/>
        <v>25</v>
      </c>
      <c r="M49" s="41">
        <f t="shared" si="28"/>
        <v>2000000</v>
      </c>
      <c r="N49" s="43">
        <f t="shared" si="1"/>
        <v>852.50199999999995</v>
      </c>
      <c r="O49" s="44">
        <f t="shared" si="2"/>
        <v>888.21199999999999</v>
      </c>
      <c r="P49" s="41">
        <f t="shared" si="3"/>
        <v>1705004</v>
      </c>
      <c r="Q49" s="41">
        <f t="shared" si="4"/>
        <v>1776424</v>
      </c>
      <c r="R49" s="44"/>
      <c r="S49" s="44">
        <f>IF(I49&lt;&gt;"",_xlfn.XLOOKUP($D$4+I49,$A$26:$A$145,$B$26:$B$145,0) * 1000,"")</f>
        <v>553.80498128422892</v>
      </c>
      <c r="T49" s="52">
        <f t="shared" si="29"/>
        <v>0</v>
      </c>
      <c r="U49" s="53">
        <f t="shared" si="15"/>
        <v>1.1065090792236417E-4</v>
      </c>
      <c r="V49" s="53">
        <f t="shared" si="16"/>
        <v>6.1279023991027827E-5</v>
      </c>
      <c r="W49" s="53">
        <f t="shared" si="17"/>
        <v>0</v>
      </c>
      <c r="X49" s="46">
        <f t="shared" si="5"/>
        <v>4.9371883931336342E-5</v>
      </c>
      <c r="Y49" s="54"/>
      <c r="Z49" s="41">
        <f t="shared" si="18"/>
        <v>195.44181345600845</v>
      </c>
      <c r="AA49" s="41">
        <f t="shared" si="19"/>
        <v>2.2130181584472832</v>
      </c>
      <c r="AB49" s="41">
        <f t="shared" si="6"/>
        <v>87.705399540840233</v>
      </c>
      <c r="AC49" s="41">
        <f t="shared" si="7"/>
        <v>0.98743767862672682</v>
      </c>
      <c r="AD49" s="54"/>
      <c r="AE49" s="41">
        <f t="shared" si="8"/>
        <v>0</v>
      </c>
      <c r="AF49" s="41"/>
      <c r="AG49" s="41">
        <f t="shared" si="9"/>
        <v>-1.2342970982834086E-3</v>
      </c>
      <c r="AH49" s="41">
        <f t="shared" si="20"/>
        <v>-122.55804798205565</v>
      </c>
      <c r="AI49" s="41">
        <f t="shared" si="21"/>
        <v>0</v>
      </c>
      <c r="AJ49" s="41">
        <f t="shared" si="10"/>
        <v>-122.55928227915393</v>
      </c>
      <c r="AK49" s="41">
        <f t="shared" si="11"/>
        <v>107.73641391516821</v>
      </c>
      <c r="AL49" s="41">
        <f t="shared" si="22"/>
        <v>7.9061932645782296</v>
      </c>
      <c r="AM49" s="41">
        <f t="shared" si="12"/>
        <v>-6.9166750994074899</v>
      </c>
      <c r="AN49" s="41">
        <f t="shared" si="13"/>
        <v>1.2255804798205565</v>
      </c>
      <c r="AO49" s="41">
        <f t="shared" si="14"/>
        <v>-5.6910946195869334</v>
      </c>
      <c r="AP49" s="45"/>
      <c r="AQ49" s="45"/>
      <c r="AR49" s="48"/>
      <c r="AS49" s="48"/>
      <c r="AT49" s="51">
        <f t="shared" si="23"/>
        <v>45</v>
      </c>
      <c r="AU49" s="49">
        <f t="shared" si="24"/>
        <v>1.1065090792236417E-4</v>
      </c>
      <c r="AV49" s="49">
        <f t="shared" si="25"/>
        <v>6.1279023991027827E-5</v>
      </c>
      <c r="AW49" s="50">
        <f xml:space="preserve"> IF(ISERROR(ROUND((1000*NPV($AT$1,$AV50:$AV$124)-$AW$1*($AU50+NPV($AT$1,$AU51:$AU$124)))/AU50,3)), 0, ROUND((1000*NPV($AT$1,$AV50:$AV$124)-$AW$1*($AU50+NPV($AT$1,$AU51:$AU$124)))/AU50,3))</f>
        <v>888.21199999999999</v>
      </c>
      <c r="AX49" s="50">
        <f>IF(ISERROR(ROUND(MAX(0,1000*NPV($AT$2,$AV50:$AV$124)-$AW$2*($AU50+NPV($AT$2,$AU51:$AU$124)))/AU50,3)), 0, ROUND(MAX(0,1000*NPV($AT$2,$AV50:$AV$124)-$AW$2*($AU50+NPV($AT$2,$AU51:$AU$124)))/AU50,3))</f>
        <v>852.50199999999995</v>
      </c>
    </row>
    <row r="50" spans="1:50" ht="15" x14ac:dyDescent="0.25">
      <c r="A50">
        <v>25</v>
      </c>
      <c r="B50">
        <v>3.8902972969090399E-4</v>
      </c>
      <c r="C50">
        <f t="shared" si="30"/>
        <v>3.6568794590944974E-4</v>
      </c>
      <c r="D50" s="60">
        <v>60</v>
      </c>
      <c r="E50" s="5">
        <v>1439062.8677493036</v>
      </c>
      <c r="F50">
        <v>43171.892593310797</v>
      </c>
      <c r="I50" s="51">
        <v>46</v>
      </c>
      <c r="J50" s="41"/>
      <c r="K50" s="41" t="str">
        <f t="shared" si="26"/>
        <v/>
      </c>
      <c r="L50" s="42">
        <f t="shared" si="27"/>
        <v>25</v>
      </c>
      <c r="M50" s="41">
        <f t="shared" si="28"/>
        <v>2000000</v>
      </c>
      <c r="N50" s="43">
        <f t="shared" si="1"/>
        <v>858.548</v>
      </c>
      <c r="O50" s="44">
        <f t="shared" si="2"/>
        <v>892.91800000000001</v>
      </c>
      <c r="P50" s="41">
        <f t="shared" si="3"/>
        <v>1717096</v>
      </c>
      <c r="Q50" s="41">
        <f t="shared" si="4"/>
        <v>1785836</v>
      </c>
      <c r="R50" s="44"/>
      <c r="S50" s="44">
        <f>IF(I50&lt;&gt;"",_xlfn.XLOOKUP($D$4+I50,$A$26:$A$145,$B$26:$B$145,0) * 1000,"")</f>
        <v>583.395247077107</v>
      </c>
      <c r="T50" s="52">
        <f t="shared" si="29"/>
        <v>0</v>
      </c>
      <c r="U50" s="53">
        <f t="shared" si="15"/>
        <v>4.9371883931336342E-5</v>
      </c>
      <c r="V50" s="53">
        <f t="shared" si="16"/>
        <v>2.8803322424784214E-5</v>
      </c>
      <c r="W50" s="53">
        <f t="shared" si="17"/>
        <v>0</v>
      </c>
      <c r="X50" s="46">
        <f t="shared" si="5"/>
        <v>2.0568561506552128E-5</v>
      </c>
      <c r="Y50" s="54"/>
      <c r="Z50" s="41">
        <f t="shared" si="18"/>
        <v>87.705399540840233</v>
      </c>
      <c r="AA50" s="41">
        <f t="shared" si="19"/>
        <v>0.98743767862672682</v>
      </c>
      <c r="AB50" s="41">
        <f t="shared" si="6"/>
        <v>36.732077606615029</v>
      </c>
      <c r="AC50" s="41">
        <f t="shared" si="7"/>
        <v>0.41137123013104254</v>
      </c>
      <c r="AD50" s="54"/>
      <c r="AE50" s="41">
        <f t="shared" si="8"/>
        <v>0</v>
      </c>
      <c r="AF50" s="41"/>
      <c r="AG50" s="41">
        <f t="shared" si="9"/>
        <v>-5.1421403766380321E-4</v>
      </c>
      <c r="AH50" s="41">
        <f t="shared" si="20"/>
        <v>-57.606644849568426</v>
      </c>
      <c r="AI50" s="41">
        <f t="shared" si="21"/>
        <v>0</v>
      </c>
      <c r="AJ50" s="41">
        <f t="shared" si="10"/>
        <v>-57.60715906360609</v>
      </c>
      <c r="AK50" s="41">
        <f t="shared" si="11"/>
        <v>50.973321934225204</v>
      </c>
      <c r="AL50" s="41">
        <f t="shared" si="22"/>
        <v>3.5477134887786788</v>
      </c>
      <c r="AM50" s="41">
        <f t="shared" si="12"/>
        <v>-3.0861236406022075</v>
      </c>
      <c r="AN50" s="41">
        <f t="shared" si="13"/>
        <v>0.57606644849568434</v>
      </c>
      <c r="AO50" s="41">
        <f t="shared" si="14"/>
        <v>-2.5100571921065233</v>
      </c>
      <c r="AP50" s="45"/>
      <c r="AQ50" s="45"/>
      <c r="AR50" s="48"/>
      <c r="AS50" s="48"/>
      <c r="AT50" s="51">
        <f t="shared" si="23"/>
        <v>46</v>
      </c>
      <c r="AU50" s="49">
        <f t="shared" si="24"/>
        <v>4.9371883931336342E-5</v>
      </c>
      <c r="AV50" s="49">
        <f t="shared" si="25"/>
        <v>2.8803322424784214E-5</v>
      </c>
      <c r="AW50" s="50">
        <f xml:space="preserve"> IF(ISERROR(ROUND((1000*NPV($AT$1,$AV51:$AV$124)-$AW$1*($AU51+NPV($AT$1,$AU52:$AU$124)))/AU51,3)), 0, ROUND((1000*NPV($AT$1,$AV51:$AV$124)-$AW$1*($AU51+NPV($AT$1,$AU52:$AU$124)))/AU51,3))</f>
        <v>892.91800000000001</v>
      </c>
      <c r="AX50" s="50">
        <f>IF(ISERROR(ROUND(MAX(0,1000*NPV($AT$2,$AV51:$AV$124)-$AW$2*($AU51+NPV($AT$2,$AU52:$AU$124)))/AU51,3)), 0, ROUND(MAX(0,1000*NPV($AT$2,$AV51:$AV$124)-$AW$2*($AU51+NPV($AT$2,$AU52:$AU$124)))/AU51,3))</f>
        <v>858.548</v>
      </c>
    </row>
    <row r="51" spans="1:50" ht="15" x14ac:dyDescent="0.25">
      <c r="A51">
        <v>26</v>
      </c>
      <c r="B51">
        <v>3.6570937634672302E-4</v>
      </c>
      <c r="C51">
        <f t="shared" si="30"/>
        <v>3.4376681376591963E-4</v>
      </c>
      <c r="D51" s="60">
        <v>61</v>
      </c>
      <c r="E51" s="5">
        <v>1484170.2709719567</v>
      </c>
      <c r="F51">
        <v>44525.114683631691</v>
      </c>
      <c r="I51" s="51">
        <v>47</v>
      </c>
      <c r="J51" s="41"/>
      <c r="K51" s="41" t="str">
        <f t="shared" si="26"/>
        <v/>
      </c>
      <c r="L51" s="42">
        <f t="shared" si="27"/>
        <v>25</v>
      </c>
      <c r="M51" s="41">
        <f t="shared" si="28"/>
        <v>2000000</v>
      </c>
      <c r="N51" s="43">
        <f t="shared" si="1"/>
        <v>864.19100000000003</v>
      </c>
      <c r="O51" s="44">
        <f t="shared" si="2"/>
        <v>897.30200000000002</v>
      </c>
      <c r="P51" s="41">
        <f t="shared" si="3"/>
        <v>1728382</v>
      </c>
      <c r="Q51" s="41">
        <f t="shared" si="4"/>
        <v>1794604</v>
      </c>
      <c r="R51" s="44"/>
      <c r="S51" s="44">
        <f>IF(I51&lt;&gt;"",_xlfn.XLOOKUP($D$4+I51,$A$26:$A$145,$B$26:$B$145,0) * 1000,"")</f>
        <v>613.27672221244904</v>
      </c>
      <c r="T51" s="52">
        <f t="shared" si="29"/>
        <v>0</v>
      </c>
      <c r="U51" s="53">
        <f t="shared" si="15"/>
        <v>2.0568561506552128E-5</v>
      </c>
      <c r="V51" s="53">
        <f t="shared" si="16"/>
        <v>1.2614219981363442E-5</v>
      </c>
      <c r="W51" s="53">
        <f t="shared" si="17"/>
        <v>0</v>
      </c>
      <c r="X51" s="46">
        <f t="shared" si="5"/>
        <v>7.9543415251886859E-6</v>
      </c>
      <c r="Y51" s="54"/>
      <c r="Z51" s="41">
        <f t="shared" si="18"/>
        <v>36.732077606615029</v>
      </c>
      <c r="AA51" s="41">
        <f t="shared" si="19"/>
        <v>0.41137123013104254</v>
      </c>
      <c r="AB51" s="41">
        <f t="shared" si="6"/>
        <v>14.274893118469716</v>
      </c>
      <c r="AC51" s="41">
        <f t="shared" si="7"/>
        <v>0.15908683050377373</v>
      </c>
      <c r="AD51" s="54"/>
      <c r="AE51" s="41">
        <f t="shared" si="8"/>
        <v>0</v>
      </c>
      <c r="AF51" s="41"/>
      <c r="AG51" s="41">
        <f t="shared" si="9"/>
        <v>-1.9885853812971714E-4</v>
      </c>
      <c r="AH51" s="41">
        <f t="shared" si="20"/>
        <v>-25.228439962726885</v>
      </c>
      <c r="AI51" s="41">
        <f t="shared" si="21"/>
        <v>0</v>
      </c>
      <c r="AJ51" s="41">
        <f t="shared" si="10"/>
        <v>-25.228638821265015</v>
      </c>
      <c r="AK51" s="41">
        <f t="shared" si="11"/>
        <v>22.457184488145312</v>
      </c>
      <c r="AL51" s="41">
        <f t="shared" si="22"/>
        <v>1.4857379534698429</v>
      </c>
      <c r="AM51" s="41">
        <f t="shared" si="12"/>
        <v>-1.2857163796498599</v>
      </c>
      <c r="AN51" s="41">
        <f t="shared" si="13"/>
        <v>0.25228439962726878</v>
      </c>
      <c r="AO51" s="41">
        <f t="shared" si="14"/>
        <v>-1.0334319800225911</v>
      </c>
      <c r="AP51" s="45"/>
      <c r="AQ51" s="45"/>
      <c r="AR51" s="48"/>
      <c r="AS51" s="48"/>
      <c r="AT51" s="51">
        <f t="shared" si="23"/>
        <v>47</v>
      </c>
      <c r="AU51" s="49">
        <f t="shared" si="24"/>
        <v>2.0568561506552128E-5</v>
      </c>
      <c r="AV51" s="49">
        <f t="shared" si="25"/>
        <v>1.2614219981363442E-5</v>
      </c>
      <c r="AW51" s="50">
        <f xml:space="preserve"> IF(ISERROR(ROUND((1000*NPV($AT$1,$AV52:$AV$124)-$AW$1*($AU52+NPV($AT$1,$AU53:$AU$124)))/AU52,3)), 0, ROUND((1000*NPV($AT$1,$AV52:$AV$124)-$AW$1*($AU52+NPV($AT$1,$AU53:$AU$124)))/AU52,3))</f>
        <v>897.30200000000002</v>
      </c>
      <c r="AX51" s="50">
        <f>IF(ISERROR(ROUND(MAX(0,1000*NPV($AT$2,$AV52:$AV$124)-$AW$2*($AU52+NPV($AT$2,$AU53:$AU$124)))/AU52,3)), 0, ROUND(MAX(0,1000*NPV($AT$2,$AV52:$AV$124)-$AW$2*($AU52+NPV($AT$2,$AU53:$AU$124)))/AU52,3))</f>
        <v>864.19100000000003</v>
      </c>
    </row>
    <row r="52" spans="1:50" ht="15" x14ac:dyDescent="0.25">
      <c r="A52">
        <v>27</v>
      </c>
      <c r="B52">
        <v>3.7385381998444899E-4</v>
      </c>
      <c r="C52">
        <f t="shared" si="30"/>
        <v>3.5142259078538204E-4</v>
      </c>
      <c r="D52" s="60">
        <v>62</v>
      </c>
      <c r="E52" s="5">
        <v>1530298.3203520209</v>
      </c>
      <c r="F52">
        <v>45908.956194206839</v>
      </c>
      <c r="I52" s="51">
        <v>48</v>
      </c>
      <c r="J52" s="41"/>
      <c r="K52" s="41" t="str">
        <f t="shared" si="26"/>
        <v/>
      </c>
      <c r="L52" s="42">
        <f t="shared" si="27"/>
        <v>25</v>
      </c>
      <c r="M52" s="41">
        <f t="shared" si="28"/>
        <v>2000000</v>
      </c>
      <c r="N52" s="43">
        <f t="shared" si="1"/>
        <v>869.47</v>
      </c>
      <c r="O52" s="44">
        <f t="shared" si="2"/>
        <v>901.39599999999996</v>
      </c>
      <c r="P52" s="41">
        <f t="shared" si="3"/>
        <v>1738940</v>
      </c>
      <c r="Q52" s="41">
        <f t="shared" si="4"/>
        <v>1802792</v>
      </c>
      <c r="R52" s="44"/>
      <c r="S52" s="44">
        <f>IF(I52&lt;&gt;"",_xlfn.XLOOKUP($D$4+I52,$A$26:$A$145,$B$26:$B$145,0) * 1000,"")</f>
        <v>643.45436782111403</v>
      </c>
      <c r="T52" s="52">
        <f t="shared" si="29"/>
        <v>0</v>
      </c>
      <c r="U52" s="53">
        <f t="shared" si="15"/>
        <v>7.9543415251886859E-6</v>
      </c>
      <c r="V52" s="53">
        <f t="shared" si="16"/>
        <v>5.1182557975235217E-6</v>
      </c>
      <c r="W52" s="53">
        <f t="shared" si="17"/>
        <v>0</v>
      </c>
      <c r="X52" s="46">
        <f t="shared" si="5"/>
        <v>2.8360857276651642E-6</v>
      </c>
      <c r="Y52" s="54"/>
      <c r="Z52" s="41">
        <f t="shared" si="18"/>
        <v>14.274893118469716</v>
      </c>
      <c r="AA52" s="41">
        <f t="shared" si="19"/>
        <v>0.15908683050377373</v>
      </c>
      <c r="AB52" s="41">
        <f t="shared" si="6"/>
        <v>5.1128726611489368</v>
      </c>
      <c r="AC52" s="41">
        <f t="shared" si="7"/>
        <v>5.6721714553303285E-2</v>
      </c>
      <c r="AD52" s="54"/>
      <c r="AE52" s="41">
        <f t="shared" si="8"/>
        <v>0</v>
      </c>
      <c r="AF52" s="41"/>
      <c r="AG52" s="41">
        <f t="shared" si="9"/>
        <v>-7.0902143191629106E-5</v>
      </c>
      <c r="AH52" s="41">
        <f t="shared" si="20"/>
        <v>-10.236511595047043</v>
      </c>
      <c r="AI52" s="41">
        <f t="shared" si="21"/>
        <v>0</v>
      </c>
      <c r="AJ52" s="41">
        <f t="shared" si="10"/>
        <v>-10.236582497190234</v>
      </c>
      <c r="AK52" s="41">
        <f t="shared" si="11"/>
        <v>9.1620204573207786</v>
      </c>
      <c r="AL52" s="41">
        <f t="shared" si="22"/>
        <v>0.57735919795893964</v>
      </c>
      <c r="AM52" s="41">
        <f>SUM(AJ52:AL52)</f>
        <v>-0.49720284191051589</v>
      </c>
      <c r="AN52" s="41">
        <f t="shared" si="13"/>
        <v>0.10236511595047044</v>
      </c>
      <c r="AO52" s="41">
        <f t="shared" si="14"/>
        <v>-0.39483772596004546</v>
      </c>
      <c r="AP52" s="45"/>
      <c r="AQ52" s="45"/>
      <c r="AR52" s="48"/>
      <c r="AS52" s="48"/>
      <c r="AT52" s="51">
        <f t="shared" si="23"/>
        <v>48</v>
      </c>
      <c r="AU52" s="49">
        <f t="shared" si="24"/>
        <v>7.9543415251886859E-6</v>
      </c>
      <c r="AV52" s="49">
        <f t="shared" si="25"/>
        <v>5.1182557975235217E-6</v>
      </c>
      <c r="AW52" s="50">
        <f xml:space="preserve"> IF(ISERROR(ROUND((1000*NPV($AT$1,$AV53:$AV$124)-$AW$1*($AU53+NPV($AT$1,$AU54:$AU$124)))/AU53,3)), 0, ROUND((1000*NPV($AT$1,$AV53:$AV$124)-$AW$1*($AU53+NPV($AT$1,$AU54:$AU$124)))/AU53,3))</f>
        <v>901.39599999999996</v>
      </c>
      <c r="AX52" s="50">
        <f>IF(ISERROR(ROUND(MAX(0,1000*NPV($AT$2,$AV53:$AV$124)-$AW$2*($AU53+NPV($AT$2,$AU54:$AU$124)))/AU53,3)), 0, ROUND(MAX(0,1000*NPV($AT$2,$AV53:$AV$124)-$AW$2*($AU53+NPV($AT$2,$AU54:$AU$124)))/AU53,3))</f>
        <v>869.47</v>
      </c>
    </row>
    <row r="53" spans="1:50" ht="15" x14ac:dyDescent="0.25">
      <c r="A53">
        <v>28</v>
      </c>
      <c r="B53">
        <v>3.8352575330280502E-4</v>
      </c>
      <c r="C53">
        <f t="shared" si="30"/>
        <v>3.605142081046367E-4</v>
      </c>
      <c r="D53" s="60">
        <v>63</v>
      </c>
      <c r="E53" s="5">
        <v>1577453.599860389</v>
      </c>
      <c r="F53">
        <v>47323.614602950518</v>
      </c>
      <c r="I53" s="51">
        <v>49</v>
      </c>
      <c r="J53" s="41"/>
      <c r="K53" s="41" t="str">
        <f t="shared" si="26"/>
        <v/>
      </c>
      <c r="L53" s="42">
        <f t="shared" si="27"/>
        <v>25</v>
      </c>
      <c r="M53" s="41">
        <f t="shared" si="28"/>
        <v>2000000</v>
      </c>
      <c r="N53" s="43">
        <f t="shared" si="1"/>
        <v>874.43100000000004</v>
      </c>
      <c r="O53" s="44">
        <f t="shared" si="2"/>
        <v>905.23599999999999</v>
      </c>
      <c r="P53" s="41">
        <f t="shared" si="3"/>
        <v>1748862</v>
      </c>
      <c r="Q53" s="41">
        <f t="shared" si="4"/>
        <v>1810472</v>
      </c>
      <c r="R53" s="44"/>
      <c r="S53" s="44">
        <f>IF(I53&lt;&gt;"",_xlfn.XLOOKUP($D$4+I53,$A$26:$A$145,$B$26:$B$145,0) * 1000,"")</f>
        <v>673.94050294274803</v>
      </c>
      <c r="T53" s="52">
        <f t="shared" si="29"/>
        <v>0</v>
      </c>
      <c r="U53" s="53">
        <f t="shared" si="15"/>
        <v>2.8360857276651642E-6</v>
      </c>
      <c r="V53" s="53">
        <f t="shared" si="16"/>
        <v>1.9113530416914104E-6</v>
      </c>
      <c r="W53" s="53">
        <f t="shared" si="17"/>
        <v>0</v>
      </c>
      <c r="X53" s="46">
        <f t="shared" si="5"/>
        <v>9.2473268597375384E-7</v>
      </c>
      <c r="Y53" s="54"/>
      <c r="Z53" s="41">
        <f t="shared" si="18"/>
        <v>5.1128726611489368</v>
      </c>
      <c r="AA53" s="41">
        <f t="shared" si="19"/>
        <v>5.6721714553303285E-2</v>
      </c>
      <c r="AB53" s="41">
        <f t="shared" si="6"/>
        <v>1.6742026354402741</v>
      </c>
      <c r="AC53" s="41">
        <f t="shared" si="7"/>
        <v>1.8494653719475077E-2</v>
      </c>
      <c r="AD53" s="54"/>
      <c r="AE53" s="41">
        <f t="shared" si="8"/>
        <v>0</v>
      </c>
      <c r="AF53" s="41"/>
      <c r="AG53" s="41">
        <f t="shared" si="9"/>
        <v>-2.3118317149343847E-5</v>
      </c>
      <c r="AH53" s="41">
        <f t="shared" si="20"/>
        <v>-3.8227060833828208</v>
      </c>
      <c r="AI53" s="41">
        <f t="shared" si="21"/>
        <v>0</v>
      </c>
      <c r="AJ53" s="41">
        <f t="shared" si="10"/>
        <v>-3.8227292016999703</v>
      </c>
      <c r="AK53" s="41">
        <f t="shared" si="11"/>
        <v>3.4386700257086629</v>
      </c>
      <c r="AL53" s="41">
        <f t="shared" si="22"/>
        <v>0.20678377502808962</v>
      </c>
      <c r="AM53" s="41">
        <f t="shared" si="12"/>
        <v>-0.17727540096321784</v>
      </c>
      <c r="AN53" s="41">
        <f t="shared" si="13"/>
        <v>3.8227060833828208E-2</v>
      </c>
      <c r="AO53" s="41">
        <f t="shared" si="14"/>
        <v>-0.13904834012938963</v>
      </c>
      <c r="AP53" s="45"/>
      <c r="AQ53" s="45"/>
      <c r="AR53" s="48"/>
      <c r="AS53" s="48"/>
      <c r="AT53" s="51">
        <f t="shared" si="23"/>
        <v>49</v>
      </c>
      <c r="AU53" s="49">
        <f t="shared" si="24"/>
        <v>2.8360857276651642E-6</v>
      </c>
      <c r="AV53" s="49">
        <f t="shared" si="25"/>
        <v>1.9113530416914104E-6</v>
      </c>
      <c r="AW53" s="50">
        <f xml:space="preserve"> IF(ISERROR(ROUND((1000*NPV($AT$1,$AV54:$AV$124)-$AW$1*($AU54+NPV($AT$1,$AU55:$AU$124)))/AU54,3)), 0, ROUND((1000*NPV($AT$1,$AV54:$AV$124)-$AW$1*($AU54+NPV($AT$1,$AU55:$AU$124)))/AU54,3))</f>
        <v>905.23599999999999</v>
      </c>
      <c r="AX53" s="50">
        <f>IF(ISERROR(ROUND(MAX(0,1000*NPV($AT$2,$AV54:$AV$124)-$AW$2*($AU54+NPV($AT$2,$AU55:$AU$124)))/AU54,3)), 0, ROUND(MAX(0,1000*NPV($AT$2,$AV54:$AV$124)-$AW$2*($AU54+NPV($AT$2,$AU55:$AU$124)))/AU54,3))</f>
        <v>874.43100000000004</v>
      </c>
    </row>
    <row r="54" spans="1:50" ht="15" x14ac:dyDescent="0.25">
      <c r="A54">
        <v>29</v>
      </c>
      <c r="B54">
        <v>3.9396555859716502E-4</v>
      </c>
      <c r="C54">
        <f t="shared" si="30"/>
        <v>3.703276250813351E-4</v>
      </c>
      <c r="D54" s="60">
        <v>64</v>
      </c>
      <c r="E54" s="5">
        <v>1625680.3649191908</v>
      </c>
      <c r="F54">
        <v>48770.417589363293</v>
      </c>
      <c r="I54" s="51">
        <v>50</v>
      </c>
      <c r="J54" s="41"/>
      <c r="K54" s="41" t="str">
        <f t="shared" si="26"/>
        <v/>
      </c>
      <c r="L54" s="42">
        <f t="shared" si="27"/>
        <v>25</v>
      </c>
      <c r="M54" s="41">
        <f t="shared" si="28"/>
        <v>2000000</v>
      </c>
      <c r="N54" s="43">
        <f t="shared" si="1"/>
        <v>879.13300000000004</v>
      </c>
      <c r="O54" s="44">
        <f t="shared" si="2"/>
        <v>908.87</v>
      </c>
      <c r="P54" s="41">
        <f t="shared" si="3"/>
        <v>1758266</v>
      </c>
      <c r="Q54" s="41">
        <f t="shared" si="4"/>
        <v>1817740</v>
      </c>
      <c r="R54" s="44"/>
      <c r="S54" s="44">
        <f>IF(I54&lt;&gt;"",_xlfn.XLOOKUP($D$4+I54,$A$26:$A$145,$B$26:$B$145,0) * 1000,"")</f>
        <v>704.75666313849808</v>
      </c>
      <c r="T54" s="52">
        <f t="shared" si="29"/>
        <v>0</v>
      </c>
      <c r="U54" s="53">
        <f t="shared" si="15"/>
        <v>9.2473268597375384E-7</v>
      </c>
      <c r="V54" s="53">
        <f t="shared" si="16"/>
        <v>6.5171152206196334E-7</v>
      </c>
      <c r="W54" s="53">
        <f t="shared" si="17"/>
        <v>0</v>
      </c>
      <c r="X54" s="46">
        <f t="shared" si="5"/>
        <v>2.730211639117905E-7</v>
      </c>
      <c r="Y54" s="54"/>
      <c r="Z54" s="41">
        <f t="shared" si="18"/>
        <v>1.6742026354402741</v>
      </c>
      <c r="AA54" s="41">
        <f t="shared" si="19"/>
        <v>1.8494653719475077E-2</v>
      </c>
      <c r="AB54" s="41">
        <f t="shared" si="6"/>
        <v>0.49628149048901804</v>
      </c>
      <c r="AC54" s="41">
        <f t="shared" si="7"/>
        <v>5.4604232782358101E-3</v>
      </c>
      <c r="AD54" s="54"/>
      <c r="AE54" s="41">
        <f t="shared" si="8"/>
        <v>0</v>
      </c>
      <c r="AF54" s="41"/>
      <c r="AG54" s="41">
        <f t="shared" si="9"/>
        <v>-6.8255290977947627E-6</v>
      </c>
      <c r="AH54" s="41">
        <f t="shared" si="20"/>
        <v>-1.3034230441239267</v>
      </c>
      <c r="AI54" s="41">
        <f t="shared" si="21"/>
        <v>0</v>
      </c>
      <c r="AJ54" s="41">
        <f t="shared" si="10"/>
        <v>-1.3034298696530244</v>
      </c>
      <c r="AK54" s="41">
        <f t="shared" si="11"/>
        <v>1.1779211449512561</v>
      </c>
      <c r="AL54" s="41">
        <f t="shared" si="22"/>
        <v>6.7707891566389969E-2</v>
      </c>
      <c r="AM54" s="41">
        <f t="shared" si="12"/>
        <v>-5.7800833135378357E-2</v>
      </c>
      <c r="AN54" s="41">
        <f t="shared" si="13"/>
        <v>1.3034230441239266E-2</v>
      </c>
      <c r="AO54" s="41">
        <f t="shared" si="14"/>
        <v>-4.4766602694139089E-2</v>
      </c>
      <c r="AP54" s="45"/>
      <c r="AQ54" s="45"/>
      <c r="AR54" s="48"/>
      <c r="AS54" s="48"/>
      <c r="AT54" s="51">
        <f t="shared" si="23"/>
        <v>50</v>
      </c>
      <c r="AU54" s="49">
        <f t="shared" si="24"/>
        <v>9.2473268597375384E-7</v>
      </c>
      <c r="AV54" s="49">
        <f t="shared" si="25"/>
        <v>6.5171152206196334E-7</v>
      </c>
      <c r="AW54" s="50">
        <f xml:space="preserve"> IF(ISERROR(ROUND((1000*NPV($AT$1,$AV55:$AV$124)-$AW$1*($AU55+NPV($AT$1,$AU56:$AU$124)))/AU55,3)), 0, ROUND((1000*NPV($AT$1,$AV55:$AV$124)-$AW$1*($AU55+NPV($AT$1,$AU56:$AU$124)))/AU55,3))</f>
        <v>908.87</v>
      </c>
      <c r="AX54" s="50">
        <f>IF(ISERROR(ROUND(MAX(0,1000*NPV($AT$2,$AV55:$AV$124)-$AW$2*($AU55+NPV($AT$2,$AU56:$AU$124)))/AU55,3)), 0, ROUND(MAX(0,1000*NPV($AT$2,$AV55:$AV$124)-$AW$2*($AU55+NPV($AT$2,$AU56:$AU$124)))/AU55,3))</f>
        <v>879.13300000000004</v>
      </c>
    </row>
    <row r="55" spans="1:50" ht="15" x14ac:dyDescent="0.25">
      <c r="A55">
        <v>30</v>
      </c>
      <c r="B55">
        <v>4.07472642116602E-4</v>
      </c>
      <c r="C55">
        <f t="shared" si="30"/>
        <v>3.8302428358960588E-4</v>
      </c>
      <c r="D55" s="60">
        <v>65</v>
      </c>
      <c r="E55" s="5">
        <v>1674447.2565342933</v>
      </c>
      <c r="F55">
        <v>50233.42413218494</v>
      </c>
      <c r="I55" s="51">
        <v>51</v>
      </c>
      <c r="J55" s="41"/>
      <c r="K55" s="41" t="str">
        <f t="shared" si="26"/>
        <v/>
      </c>
      <c r="L55" s="42">
        <f t="shared" si="27"/>
        <v>25</v>
      </c>
      <c r="M55" s="41">
        <f t="shared" si="28"/>
        <v>2000000</v>
      </c>
      <c r="N55" s="43">
        <f t="shared" si="1"/>
        <v>883.66099999999994</v>
      </c>
      <c r="O55" s="44">
        <f t="shared" si="2"/>
        <v>912.36400000000003</v>
      </c>
      <c r="P55" s="41">
        <f t="shared" si="3"/>
        <v>1767322</v>
      </c>
      <c r="Q55" s="41">
        <f t="shared" si="4"/>
        <v>1824728</v>
      </c>
      <c r="R55" s="44"/>
      <c r="S55" s="44">
        <f>IF(I55&lt;&gt;"",_xlfn.XLOOKUP($D$4+I55,$A$26:$A$145,$B$26:$B$145,0) * 1000,"")</f>
        <v>736.11388337230301</v>
      </c>
      <c r="T55" s="52">
        <f t="shared" si="29"/>
        <v>0</v>
      </c>
      <c r="U55" s="53">
        <f t="shared" si="15"/>
        <v>2.730211639117905E-7</v>
      </c>
      <c r="V55" s="53">
        <f t="shared" si="16"/>
        <v>2.0097466920993415E-7</v>
      </c>
      <c r="W55" s="53">
        <f t="shared" si="17"/>
        <v>0</v>
      </c>
      <c r="X55" s="46">
        <f t="shared" si="5"/>
        <v>7.2046494701856345E-8</v>
      </c>
      <c r="Y55" s="54"/>
      <c r="Z55" s="41">
        <f t="shared" si="18"/>
        <v>0.49628149048901804</v>
      </c>
      <c r="AA55" s="41">
        <f t="shared" si="19"/>
        <v>5.4604232782358101E-3</v>
      </c>
      <c r="AB55" s="41">
        <f t="shared" si="6"/>
        <v>0.13146525618432892</v>
      </c>
      <c r="AC55" s="41">
        <f t="shared" si="7"/>
        <v>1.440929894037127E-3</v>
      </c>
      <c r="AD55" s="54"/>
      <c r="AE55" s="41">
        <f t="shared" si="8"/>
        <v>0</v>
      </c>
      <c r="AF55" s="41"/>
      <c r="AG55" s="41">
        <f t="shared" si="9"/>
        <v>-1.8011623675464086E-6</v>
      </c>
      <c r="AH55" s="41">
        <f t="shared" si="20"/>
        <v>-0.4019493384198683</v>
      </c>
      <c r="AI55" s="41">
        <f t="shared" si="21"/>
        <v>0</v>
      </c>
      <c r="AJ55" s="41">
        <f t="shared" si="10"/>
        <v>-0.40195113958223583</v>
      </c>
      <c r="AK55" s="41">
        <f t="shared" si="11"/>
        <v>0.36481623430468912</v>
      </c>
      <c r="AL55" s="41">
        <f t="shared" si="22"/>
        <v>2.0069676550690155E-2</v>
      </c>
      <c r="AM55" s="41">
        <f t="shared" si="12"/>
        <v>-1.7065228726856549E-2</v>
      </c>
      <c r="AN55" s="41">
        <f t="shared" si="13"/>
        <v>4.0194933841986831E-3</v>
      </c>
      <c r="AO55" s="41">
        <f t="shared" si="14"/>
        <v>-1.3045735342657867E-2</v>
      </c>
      <c r="AP55" s="45"/>
      <c r="AQ55" s="45"/>
      <c r="AR55" s="48"/>
      <c r="AS55" s="48"/>
      <c r="AT55" s="51">
        <f t="shared" si="23"/>
        <v>51</v>
      </c>
      <c r="AU55" s="49">
        <f t="shared" si="24"/>
        <v>2.730211639117905E-7</v>
      </c>
      <c r="AV55" s="49">
        <f t="shared" si="25"/>
        <v>2.0097466920993415E-7</v>
      </c>
      <c r="AW55" s="50">
        <f xml:space="preserve"> IF(ISERROR(ROUND((1000*NPV($AT$1,$AV56:$AV$124)-$AW$1*($AU56+NPV($AT$1,$AU57:$AU$124)))/AU56,3)), 0, ROUND((1000*NPV($AT$1,$AV56:$AV$124)-$AW$1*($AU56+NPV($AT$1,$AU57:$AU$124)))/AU56,3))</f>
        <v>912.36400000000003</v>
      </c>
      <c r="AX55" s="50">
        <f>IF(ISERROR(ROUND(MAX(0,1000*NPV($AT$2,$AV56:$AV$124)-$AW$2*($AU56+NPV($AT$2,$AU57:$AU$124)))/AU56,3)), 0, ROUND(MAX(0,1000*NPV($AT$2,$AV56:$AV$124)-$AW$2*($AU56+NPV($AT$2,$AU57:$AU$124)))/AU56,3))</f>
        <v>883.66099999999994</v>
      </c>
    </row>
    <row r="56" spans="1:50" ht="15" x14ac:dyDescent="0.25">
      <c r="A56">
        <v>31</v>
      </c>
      <c r="B56">
        <v>4.27609281482555E-4</v>
      </c>
      <c r="C56">
        <f t="shared" si="30"/>
        <v>4.0195272459360166E-4</v>
      </c>
      <c r="D56" s="60"/>
      <c r="E56" s="5"/>
      <c r="I56" s="51">
        <v>52</v>
      </c>
      <c r="J56" s="41"/>
      <c r="K56" s="41" t="str">
        <f t="shared" si="26"/>
        <v/>
      </c>
      <c r="L56" s="42">
        <f t="shared" si="27"/>
        <v>25</v>
      </c>
      <c r="M56" s="41">
        <f t="shared" si="28"/>
        <v>2000000</v>
      </c>
      <c r="N56" s="43">
        <f t="shared" si="1"/>
        <v>888.21600000000001</v>
      </c>
      <c r="O56" s="44">
        <f t="shared" si="2"/>
        <v>915.87800000000004</v>
      </c>
      <c r="P56" s="41">
        <f t="shared" si="3"/>
        <v>1776432</v>
      </c>
      <c r="Q56" s="41">
        <f t="shared" si="4"/>
        <v>1831756</v>
      </c>
      <c r="R56" s="44"/>
      <c r="S56" s="44">
        <f>IF(I56&lt;&gt;"",_xlfn.XLOOKUP($D$4+I56,$A$26:$A$145,$B$26:$B$145,0) * 1000,"")</f>
        <v>768.28966919405798</v>
      </c>
      <c r="T56" s="52">
        <f t="shared" si="29"/>
        <v>0</v>
      </c>
      <c r="U56" s="53">
        <f t="shared" si="15"/>
        <v>7.2046494701856345E-8</v>
      </c>
      <c r="V56" s="53">
        <f t="shared" si="16"/>
        <v>5.5352577581080663E-8</v>
      </c>
      <c r="W56" s="53">
        <f t="shared" si="17"/>
        <v>0</v>
      </c>
      <c r="X56" s="46">
        <f t="shared" si="5"/>
        <v>1.6693917120775682E-8</v>
      </c>
      <c r="Y56" s="54"/>
      <c r="Z56" s="41">
        <f t="shared" si="18"/>
        <v>0.13146525618432892</v>
      </c>
      <c r="AA56" s="41">
        <f t="shared" si="19"/>
        <v>1.440929894037127E-3</v>
      </c>
      <c r="AB56" s="41">
        <f t="shared" si="6"/>
        <v>3.0579182849483581E-2</v>
      </c>
      <c r="AC56" s="41">
        <f t="shared" si="7"/>
        <v>3.3387834241551366E-4</v>
      </c>
      <c r="AD56" s="54"/>
      <c r="AE56" s="41">
        <f t="shared" si="8"/>
        <v>0</v>
      </c>
      <c r="AF56" s="41"/>
      <c r="AG56" s="41">
        <f t="shared" si="9"/>
        <v>-4.1734792801939204E-7</v>
      </c>
      <c r="AH56" s="41">
        <f t="shared" si="20"/>
        <v>-0.11070515516216133</v>
      </c>
      <c r="AI56" s="41">
        <f t="shared" si="21"/>
        <v>0</v>
      </c>
      <c r="AJ56" s="41">
        <f t="shared" si="10"/>
        <v>-0.11070557251008935</v>
      </c>
      <c r="AK56" s="41">
        <f t="shared" si="11"/>
        <v>0.10088607333484534</v>
      </c>
      <c r="AL56" s="41">
        <f t="shared" si="22"/>
        <v>5.3162474431346423E-3</v>
      </c>
      <c r="AM56" s="41">
        <f t="shared" si="12"/>
        <v>-4.5032517321093668E-3</v>
      </c>
      <c r="AN56" s="41">
        <f t="shared" si="13"/>
        <v>1.1070515516216134E-3</v>
      </c>
      <c r="AO56" s="41">
        <f t="shared" si="14"/>
        <v>-3.3962001804877535E-3</v>
      </c>
      <c r="AP56" s="45"/>
      <c r="AQ56" s="45"/>
      <c r="AR56" s="48"/>
      <c r="AS56" s="48"/>
      <c r="AT56" s="51">
        <f t="shared" si="23"/>
        <v>52</v>
      </c>
      <c r="AU56" s="49">
        <f t="shared" si="24"/>
        <v>7.2046494701856345E-8</v>
      </c>
      <c r="AV56" s="49">
        <f t="shared" si="25"/>
        <v>5.5352577581080663E-8</v>
      </c>
      <c r="AW56" s="50">
        <f xml:space="preserve"> IF(ISERROR(ROUND((1000*NPV($AT$1,$AV57:$AV$124)-$AW$1*($AU57+NPV($AT$1,$AU58:$AU$124)))/AU57,3)), 0, ROUND((1000*NPV($AT$1,$AV57:$AV$124)-$AW$1*($AU57+NPV($AT$1,$AU58:$AU$124)))/AU57,3))</f>
        <v>915.87800000000004</v>
      </c>
      <c r="AX56" s="50">
        <f>IF(ISERROR(ROUND(MAX(0,1000*NPV($AT$2,$AV57:$AV$124)-$AW$2*($AU57+NPV($AT$2,$AU58:$AU$124)))/AU57,3)), 0, ROUND(MAX(0,1000*NPV($AT$2,$AV57:$AV$124)-$AW$2*($AU57+NPV($AT$2,$AU58:$AU$124)))/AU57,3))</f>
        <v>888.21600000000001</v>
      </c>
    </row>
    <row r="57" spans="1:50" ht="15" x14ac:dyDescent="0.25">
      <c r="A57">
        <v>32</v>
      </c>
      <c r="B57">
        <v>4.5183278829474799E-4</v>
      </c>
      <c r="C57">
        <f t="shared" si="30"/>
        <v>4.2472282099706308E-4</v>
      </c>
      <c r="D57" s="60"/>
      <c r="E57" s="5"/>
      <c r="I57" s="51">
        <v>53</v>
      </c>
      <c r="J57" s="41"/>
      <c r="K57" s="41" t="str">
        <f t="shared" si="26"/>
        <v/>
      </c>
      <c r="L57" s="42">
        <f t="shared" si="27"/>
        <v>25</v>
      </c>
      <c r="M57" s="41">
        <f t="shared" si="28"/>
        <v>2000000</v>
      </c>
      <c r="N57" s="43">
        <f t="shared" si="1"/>
        <v>893.86400000000003</v>
      </c>
      <c r="O57" s="44">
        <f t="shared" si="2"/>
        <v>920.23299999999995</v>
      </c>
      <c r="P57" s="41">
        <f t="shared" si="3"/>
        <v>1787728</v>
      </c>
      <c r="Q57" s="41">
        <f t="shared" si="4"/>
        <v>1840466</v>
      </c>
      <c r="R57" s="44"/>
      <c r="S57" s="44">
        <f>IF(I57&lt;&gt;"",_xlfn.XLOOKUP($D$4+I57,$A$26:$A$145,$B$26:$B$145,0) * 1000,"")</f>
        <v>801.45257658282594</v>
      </c>
      <c r="T57" s="52">
        <f t="shared" si="29"/>
        <v>0</v>
      </c>
      <c r="U57" s="53">
        <f t="shared" si="15"/>
        <v>1.6693917120775682E-8</v>
      </c>
      <c r="V57" s="53">
        <f t="shared" si="16"/>
        <v>1.3379382889705822E-8</v>
      </c>
      <c r="W57" s="53">
        <f t="shared" si="17"/>
        <v>0</v>
      </c>
      <c r="X57" s="46">
        <f t="shared" si="5"/>
        <v>3.3145342310698607E-9</v>
      </c>
      <c r="Y57" s="54"/>
      <c r="Z57" s="41">
        <f t="shared" si="18"/>
        <v>3.0579182849483581E-2</v>
      </c>
      <c r="AA57" s="41">
        <f t="shared" si="19"/>
        <v>3.3387834241551366E-4</v>
      </c>
      <c r="AB57" s="41">
        <f t="shared" si="6"/>
        <v>6.1002875581202222E-3</v>
      </c>
      <c r="AC57" s="41">
        <f t="shared" si="7"/>
        <v>6.6290684621397216E-5</v>
      </c>
      <c r="AD57" s="54"/>
      <c r="AE57" s="41">
        <f t="shared" si="8"/>
        <v>0</v>
      </c>
      <c r="AF57" s="41"/>
      <c r="AG57" s="41">
        <f t="shared" si="9"/>
        <v>-8.286335577674652E-8</v>
      </c>
      <c r="AH57" s="41">
        <f t="shared" si="20"/>
        <v>-2.6758765779411643E-2</v>
      </c>
      <c r="AI57" s="41">
        <f t="shared" si="21"/>
        <v>0</v>
      </c>
      <c r="AJ57" s="41">
        <f t="shared" si="10"/>
        <v>-2.6758848642767421E-2</v>
      </c>
      <c r="AK57" s="41">
        <f t="shared" si="11"/>
        <v>2.4478895291363358E-2</v>
      </c>
      <c r="AL57" s="41">
        <f t="shared" si="22"/>
        <v>1.2365224476759639E-3</v>
      </c>
      <c r="AM57" s="41">
        <f t="shared" si="12"/>
        <v>-1.0434309037280994E-3</v>
      </c>
      <c r="AN57" s="41">
        <f t="shared" si="13"/>
        <v>2.6758765779411644E-4</v>
      </c>
      <c r="AO57" s="41">
        <f t="shared" si="14"/>
        <v>-7.7584324593398305E-4</v>
      </c>
      <c r="AP57" s="45"/>
      <c r="AQ57" s="45"/>
      <c r="AR57" s="48"/>
      <c r="AS57" s="48"/>
      <c r="AT57" s="51">
        <f t="shared" si="23"/>
        <v>53</v>
      </c>
      <c r="AU57" s="49">
        <f t="shared" si="24"/>
        <v>1.6693917120775682E-8</v>
      </c>
      <c r="AV57" s="49">
        <f t="shared" si="25"/>
        <v>1.3379382889705822E-8</v>
      </c>
      <c r="AW57" s="50">
        <f xml:space="preserve"> IF(ISERROR(ROUND((1000*NPV($AT$1,$AV58:$AV$124)-$AW$1*($AU58+NPV($AT$1,$AU59:$AU$124)))/AU58,3)), 0, ROUND((1000*NPV($AT$1,$AV58:$AV$124)-$AW$1*($AU58+NPV($AT$1,$AU59:$AU$124)))/AU58,3))</f>
        <v>920.23299999999995</v>
      </c>
      <c r="AX57" s="50">
        <f>IF(ISERROR(ROUND(MAX(0,1000*NPV($AT$2,$AV58:$AV$124)-$AW$2*($AU58+NPV($AT$2,$AU59:$AU$124)))/AU58,3)), 0, ROUND(MAX(0,1000*NPV($AT$2,$AV58:$AV$124)-$AW$2*($AU58+NPV($AT$2,$AU59:$AU$124)))/AU58,3))</f>
        <v>893.86400000000003</v>
      </c>
    </row>
    <row r="58" spans="1:50" ht="15" x14ac:dyDescent="0.25">
      <c r="A58">
        <v>33</v>
      </c>
      <c r="B58">
        <v>4.76015343494951E-4</v>
      </c>
      <c r="C58">
        <f t="shared" si="30"/>
        <v>4.474544228852539E-4</v>
      </c>
      <c r="D58" s="60"/>
      <c r="E58" s="5"/>
      <c r="I58" s="51">
        <v>54</v>
      </c>
      <c r="J58" s="41"/>
      <c r="K58" s="41" t="str">
        <f t="shared" si="26"/>
        <v/>
      </c>
      <c r="L58" s="42">
        <f t="shared" si="27"/>
        <v>25</v>
      </c>
      <c r="M58" s="41">
        <f t="shared" si="28"/>
        <v>2000000</v>
      </c>
      <c r="N58" s="43">
        <f t="shared" si="1"/>
        <v>908.096</v>
      </c>
      <c r="O58" s="44">
        <f t="shared" si="2"/>
        <v>931.10699999999997</v>
      </c>
      <c r="P58" s="41">
        <f t="shared" si="3"/>
        <v>1816192</v>
      </c>
      <c r="Q58" s="41">
        <f t="shared" si="4"/>
        <v>1862214</v>
      </c>
      <c r="R58" s="44"/>
      <c r="S58" s="44">
        <f>IF(I58&lt;&gt;"",_xlfn.XLOOKUP($D$4+I58,$A$26:$A$145,$B$26:$B$145,0) * 1000,"")</f>
        <v>835.84955993419294</v>
      </c>
      <c r="T58" s="52">
        <f t="shared" si="29"/>
        <v>0</v>
      </c>
      <c r="U58" s="53">
        <f t="shared" si="15"/>
        <v>3.3145342310698607E-9</v>
      </c>
      <c r="V58" s="53">
        <f t="shared" si="16"/>
        <v>2.7704519784265617E-9</v>
      </c>
      <c r="W58" s="53">
        <f t="shared" si="17"/>
        <v>0</v>
      </c>
      <c r="X58" s="46">
        <f t="shared" si="5"/>
        <v>5.4408225264329901E-10</v>
      </c>
      <c r="Y58" s="54"/>
      <c r="Z58" s="41">
        <f t="shared" si="18"/>
        <v>6.1002875581202222E-3</v>
      </c>
      <c r="AA58" s="41">
        <f t="shared" si="19"/>
        <v>6.6290684621397216E-5</v>
      </c>
      <c r="AB58" s="41">
        <f t="shared" si="6"/>
        <v>1.0131975880238884E-3</v>
      </c>
      <c r="AC58" s="41">
        <f t="shared" si="7"/>
        <v>1.088164505286598E-5</v>
      </c>
      <c r="AD58" s="54"/>
      <c r="AE58" s="41">
        <f t="shared" si="8"/>
        <v>0</v>
      </c>
      <c r="AF58" s="41"/>
      <c r="AG58" s="41">
        <f t="shared" si="9"/>
        <v>-1.3602056316082475E-8</v>
      </c>
      <c r="AH58" s="41">
        <f t="shared" si="20"/>
        <v>-5.5409039568531234E-3</v>
      </c>
      <c r="AI58" s="41">
        <f t="shared" si="21"/>
        <v>0</v>
      </c>
      <c r="AJ58" s="41">
        <f t="shared" si="10"/>
        <v>-5.5409175589094398E-3</v>
      </c>
      <c r="AK58" s="41">
        <f t="shared" si="11"/>
        <v>5.0870899700963335E-3</v>
      </c>
      <c r="AL58" s="41">
        <f t="shared" si="22"/>
        <v>2.4666312970966477E-4</v>
      </c>
      <c r="AM58" s="41">
        <f t="shared" si="12"/>
        <v>-2.0716445910344154E-4</v>
      </c>
      <c r="AN58" s="41">
        <f t="shared" si="13"/>
        <v>5.5409039568531236E-5</v>
      </c>
      <c r="AO58" s="41">
        <f t="shared" si="14"/>
        <v>-1.5175541953491031E-4</v>
      </c>
      <c r="AP58" s="45"/>
      <c r="AQ58" s="45"/>
      <c r="AR58" s="48"/>
      <c r="AS58" s="48"/>
      <c r="AT58" s="51">
        <f t="shared" si="23"/>
        <v>54</v>
      </c>
      <c r="AU58" s="49">
        <f t="shared" si="24"/>
        <v>3.3145342310698607E-9</v>
      </c>
      <c r="AV58" s="49">
        <f t="shared" si="25"/>
        <v>2.7704519784265617E-9</v>
      </c>
      <c r="AW58" s="50">
        <f xml:space="preserve"> IF(ISERROR(ROUND((1000*NPV($AT$1,$AV59:$AV$124)-$AW$1*($AU59+NPV($AT$1,$AU60:$AU$124)))/AU59,3)), 0, ROUND((1000*NPV($AT$1,$AV59:$AV$124)-$AW$1*($AU59+NPV($AT$1,$AU60:$AU$124)))/AU59,3))</f>
        <v>931.10699999999997</v>
      </c>
      <c r="AX58" s="50">
        <f>IF(ISERROR(ROUND(MAX(0,1000*NPV($AT$2,$AV59:$AV$124)-$AW$2*($AU59+NPV($AT$2,$AU60:$AU$124)))/AU59,3)), 0, ROUND(MAX(0,1000*NPV($AT$2,$AV59:$AV$124)-$AW$2*($AU59+NPV($AT$2,$AU60:$AU$124)))/AU59,3))</f>
        <v>908.096</v>
      </c>
    </row>
    <row r="59" spans="1:50" ht="15" x14ac:dyDescent="0.25">
      <c r="A59">
        <v>34</v>
      </c>
      <c r="B59">
        <v>5.06118033971936E-4</v>
      </c>
      <c r="C59">
        <f t="shared" si="30"/>
        <v>4.7575095193361981E-4</v>
      </c>
      <c r="D59" s="60"/>
      <c r="E59" s="5"/>
      <c r="I59" s="51">
        <v>55</v>
      </c>
      <c r="J59" s="41"/>
      <c r="K59" s="41" t="str">
        <f t="shared" si="26"/>
        <v/>
      </c>
      <c r="L59" s="42">
        <f t="shared" si="27"/>
        <v>25</v>
      </c>
      <c r="M59" s="41">
        <f t="shared" si="28"/>
        <v>2000000</v>
      </c>
      <c r="N59" s="43">
        <f t="shared" si="1"/>
        <v>0</v>
      </c>
      <c r="O59" s="44">
        <f t="shared" si="2"/>
        <v>0</v>
      </c>
      <c r="P59" s="41">
        <f t="shared" si="3"/>
        <v>0</v>
      </c>
      <c r="Q59" s="41">
        <f t="shared" si="4"/>
        <v>0</v>
      </c>
      <c r="R59" s="44"/>
      <c r="S59" s="44">
        <f>IF(I59&lt;&gt;"",_xlfn.XLOOKUP($D$4+I59,$A$26:$A$145,$B$26:$B$145,0) * 1000,"")</f>
        <v>1000</v>
      </c>
      <c r="T59" s="52">
        <f t="shared" si="29"/>
        <v>0</v>
      </c>
      <c r="U59" s="53">
        <f t="shared" si="15"/>
        <v>5.4408225264329901E-10</v>
      </c>
      <c r="V59" s="53">
        <f t="shared" si="16"/>
        <v>5.4408225264329901E-10</v>
      </c>
      <c r="W59" s="53">
        <f t="shared" si="17"/>
        <v>0</v>
      </c>
      <c r="X59" s="46">
        <f t="shared" si="5"/>
        <v>0</v>
      </c>
      <c r="Y59" s="54"/>
      <c r="Z59" s="41">
        <f t="shared" si="18"/>
        <v>1.0131975880238884E-3</v>
      </c>
      <c r="AA59" s="41">
        <f t="shared" si="19"/>
        <v>1.088164505286598E-5</v>
      </c>
      <c r="AB59" s="41">
        <f t="shared" si="6"/>
        <v>0</v>
      </c>
      <c r="AC59" s="41">
        <f t="shared" si="7"/>
        <v>0</v>
      </c>
      <c r="AD59" s="54"/>
      <c r="AE59" s="41">
        <f t="shared" si="8"/>
        <v>0</v>
      </c>
      <c r="AF59" s="41"/>
      <c r="AG59" s="41">
        <f t="shared" si="9"/>
        <v>0</v>
      </c>
      <c r="AH59" s="41">
        <f t="shared" si="20"/>
        <v>-1.0881645052865981E-3</v>
      </c>
      <c r="AI59" s="41">
        <f t="shared" si="21"/>
        <v>0</v>
      </c>
      <c r="AJ59" s="41">
        <f t="shared" si="10"/>
        <v>-1.0881645052865981E-3</v>
      </c>
      <c r="AK59" s="41">
        <f t="shared" si="11"/>
        <v>1.0131975880238884E-3</v>
      </c>
      <c r="AL59" s="41">
        <f t="shared" si="22"/>
        <v>4.096316932307018E-5</v>
      </c>
      <c r="AM59" s="41">
        <f t="shared" si="12"/>
        <v>-3.4003747939639496E-5</v>
      </c>
      <c r="AN59" s="41">
        <f t="shared" si="13"/>
        <v>1.088164505286598E-5</v>
      </c>
      <c r="AO59" s="41">
        <f t="shared" si="14"/>
        <v>-2.3122102886773516E-5</v>
      </c>
      <c r="AP59" s="45"/>
      <c r="AQ59" s="45"/>
      <c r="AR59" s="48"/>
      <c r="AS59" s="48"/>
      <c r="AT59" s="51">
        <f t="shared" si="23"/>
        <v>55</v>
      </c>
      <c r="AU59" s="49">
        <f t="shared" si="24"/>
        <v>5.4408225264329901E-10</v>
      </c>
      <c r="AV59" s="49">
        <f t="shared" si="25"/>
        <v>5.4408225264329901E-10</v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1:50" ht="15" x14ac:dyDescent="0.25">
      <c r="A60">
        <v>35</v>
      </c>
      <c r="B60">
        <v>5.3763318242505697E-4</v>
      </c>
      <c r="C60">
        <f t="shared" si="30"/>
        <v>5.0537519147955353E-4</v>
      </c>
      <c r="D60" s="60"/>
      <c r="E60" s="5"/>
      <c r="I60" s="51"/>
      <c r="J60" s="41"/>
      <c r="K60" s="41" t="str">
        <f t="shared" si="26"/>
        <v/>
      </c>
      <c r="L60" s="42" t="str">
        <f t="shared" si="27"/>
        <v/>
      </c>
      <c r="M60" s="41" t="str">
        <f t="shared" si="28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>IF(I60&lt;&gt;"",_xlfn.XLOOKUP($D$4+I60,$A$26:$A$145,$B$26:$B$145,0) * 1000,"")</f>
        <v/>
      </c>
      <c r="T60" s="52">
        <f t="shared" si="29"/>
        <v>0</v>
      </c>
      <c r="U60" s="53" t="str">
        <f t="shared" si="15"/>
        <v/>
      </c>
      <c r="V60" s="53" t="str">
        <f t="shared" si="16"/>
        <v/>
      </c>
      <c r="W60" s="53" t="str">
        <f t="shared" si="17"/>
        <v/>
      </c>
      <c r="X60" s="46" t="str">
        <f t="shared" si="5"/>
        <v/>
      </c>
      <c r="Y60" s="54"/>
      <c r="Z60" s="41" t="str">
        <f t="shared" si="18"/>
        <v/>
      </c>
      <c r="AA60" s="41" t="str">
        <f t="shared" si="19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/>
      <c r="AG60" s="41" t="str">
        <f t="shared" si="9"/>
        <v/>
      </c>
      <c r="AH60" s="41" t="str">
        <f t="shared" si="20"/>
        <v/>
      </c>
      <c r="AI60" s="41" t="str">
        <f t="shared" si="21"/>
        <v/>
      </c>
      <c r="AJ60" s="41">
        <f t="shared" si="10"/>
        <v>0</v>
      </c>
      <c r="AK60" s="41" t="str">
        <f t="shared" si="11"/>
        <v/>
      </c>
      <c r="AL60" s="41">
        <f t="shared" si="22"/>
        <v>0</v>
      </c>
      <c r="AM60" s="41">
        <f t="shared" si="12"/>
        <v>0</v>
      </c>
      <c r="AN60" s="41" t="str">
        <f t="shared" si="13"/>
        <v/>
      </c>
      <c r="AO60" s="41">
        <f t="shared" si="14"/>
        <v>0</v>
      </c>
      <c r="AP60" s="45"/>
      <c r="AQ60" s="45"/>
      <c r="AR60" s="48"/>
      <c r="AS60" s="48"/>
      <c r="AT60" s="51">
        <f t="shared" si="23"/>
        <v>56</v>
      </c>
      <c r="AU60" s="49" t="str">
        <f t="shared" si="24"/>
        <v/>
      </c>
      <c r="AV60" s="49" t="str">
        <f t="shared" si="25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5.6014428972217501E-4</v>
      </c>
      <c r="C61">
        <f t="shared" si="30"/>
        <v>5.2653563233884444E-4</v>
      </c>
      <c r="D61" s="60"/>
      <c r="E61" s="5"/>
      <c r="I61" s="51"/>
      <c r="J61" s="41"/>
      <c r="K61" s="41" t="str">
        <f t="shared" si="26"/>
        <v/>
      </c>
      <c r="L61" s="42" t="str">
        <f t="shared" si="27"/>
        <v/>
      </c>
      <c r="M61" s="41" t="str">
        <f t="shared" si="28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>IF(I61&lt;&gt;"",_xlfn.XLOOKUP($D$4+I61,$A$26:$A$145,$B$26:$B$145,0) * 1000,"")</f>
        <v/>
      </c>
      <c r="T61" s="52">
        <f t="shared" si="29"/>
        <v>0</v>
      </c>
      <c r="U61" s="53" t="str">
        <f t="shared" si="15"/>
        <v/>
      </c>
      <c r="V61" s="53" t="str">
        <f t="shared" si="16"/>
        <v/>
      </c>
      <c r="W61" s="53" t="str">
        <f t="shared" si="17"/>
        <v/>
      </c>
      <c r="X61" s="46" t="str">
        <f t="shared" si="5"/>
        <v/>
      </c>
      <c r="Y61" s="54"/>
      <c r="Z61" s="41" t="str">
        <f t="shared" si="18"/>
        <v/>
      </c>
      <c r="AA61" s="41" t="str">
        <f t="shared" si="19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20"/>
        <v/>
      </c>
      <c r="AI61" s="41" t="str">
        <f t="shared" si="21"/>
        <v/>
      </c>
      <c r="AJ61" s="41">
        <f t="shared" si="10"/>
        <v>0</v>
      </c>
      <c r="AK61" s="41" t="str">
        <f t="shared" si="11"/>
        <v/>
      </c>
      <c r="AL61" s="41">
        <f t="shared" si="22"/>
        <v>0</v>
      </c>
      <c r="AM61" s="41">
        <f t="shared" si="12"/>
        <v>0</v>
      </c>
      <c r="AN61" s="41" t="str">
        <f t="shared" si="13"/>
        <v/>
      </c>
      <c r="AO61" s="41">
        <f t="shared" si="14"/>
        <v>0</v>
      </c>
      <c r="AP61" s="45"/>
      <c r="AQ61" s="45"/>
      <c r="AR61" s="48"/>
      <c r="AS61" s="48"/>
      <c r="AT61" s="51">
        <f t="shared" si="23"/>
        <v>57</v>
      </c>
      <c r="AU61" s="49" t="str">
        <f t="shared" si="24"/>
        <v/>
      </c>
      <c r="AV61" s="49" t="str">
        <f t="shared" si="25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6.0921970709781903E-4</v>
      </c>
      <c r="C62">
        <f t="shared" si="30"/>
        <v>5.7266652467194987E-4</v>
      </c>
      <c r="D62" s="60"/>
      <c r="E62" s="5"/>
      <c r="I62" s="51"/>
      <c r="J62" s="41"/>
      <c r="K62" s="41" t="str">
        <f t="shared" si="26"/>
        <v/>
      </c>
      <c r="L62" s="42" t="str">
        <f t="shared" si="27"/>
        <v/>
      </c>
      <c r="M62" s="41" t="str">
        <f t="shared" si="28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>IF(I62&lt;&gt;"",_xlfn.XLOOKUP($D$4+I62,$A$26:$A$145,$B$26:$B$145,0) * 1000,"")</f>
        <v/>
      </c>
      <c r="T62" s="52">
        <f t="shared" si="29"/>
        <v>0</v>
      </c>
      <c r="U62" s="53" t="str">
        <f t="shared" si="15"/>
        <v/>
      </c>
      <c r="V62" s="53" t="str">
        <f t="shared" si="16"/>
        <v/>
      </c>
      <c r="W62" s="53" t="str">
        <f t="shared" si="17"/>
        <v/>
      </c>
      <c r="X62" s="46" t="str">
        <f t="shared" si="5"/>
        <v/>
      </c>
      <c r="Y62" s="54"/>
      <c r="Z62" s="41" t="str">
        <f t="shared" si="18"/>
        <v/>
      </c>
      <c r="AA62" s="41" t="str">
        <f t="shared" si="19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20"/>
        <v/>
      </c>
      <c r="AI62" s="41" t="str">
        <f t="shared" si="21"/>
        <v/>
      </c>
      <c r="AJ62" s="41">
        <f t="shared" si="10"/>
        <v>0</v>
      </c>
      <c r="AK62" s="41" t="str">
        <f t="shared" si="11"/>
        <v/>
      </c>
      <c r="AL62" s="41">
        <f t="shared" si="22"/>
        <v>0</v>
      </c>
      <c r="AM62" s="41">
        <f t="shared" si="12"/>
        <v>0</v>
      </c>
      <c r="AN62" s="41" t="str">
        <f t="shared" si="13"/>
        <v/>
      </c>
      <c r="AO62" s="41">
        <f t="shared" si="14"/>
        <v>0</v>
      </c>
      <c r="AP62" s="45"/>
      <c r="AQ62" s="45"/>
      <c r="AR62" s="48"/>
      <c r="AS62" s="48"/>
      <c r="AT62" s="51">
        <f t="shared" si="23"/>
        <v>58</v>
      </c>
      <c r="AU62" s="49" t="str">
        <f t="shared" si="24"/>
        <v/>
      </c>
      <c r="AV62" s="49" t="str">
        <f t="shared" si="25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6.6632901672614197E-4</v>
      </c>
      <c r="C63">
        <f t="shared" si="30"/>
        <v>6.2634927572257347E-4</v>
      </c>
      <c r="D63" s="60"/>
      <c r="E63" s="5"/>
      <c r="I63" s="51"/>
      <c r="J63" s="41"/>
      <c r="K63" s="41" t="str">
        <f t="shared" si="26"/>
        <v/>
      </c>
      <c r="L63" s="42" t="str">
        <f t="shared" si="27"/>
        <v/>
      </c>
      <c r="M63" s="41" t="str">
        <f t="shared" si="28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>IF(I63&lt;&gt;"",_xlfn.XLOOKUP($D$4+I63,$A$26:$A$145,$B$26:$B$145,0) * 1000,"")</f>
        <v/>
      </c>
      <c r="T63" s="52">
        <f t="shared" si="29"/>
        <v>0</v>
      </c>
      <c r="U63" s="53" t="str">
        <f t="shared" si="15"/>
        <v/>
      </c>
      <c r="V63" s="53" t="str">
        <f t="shared" si="16"/>
        <v/>
      </c>
      <c r="W63" s="53" t="str">
        <f t="shared" si="17"/>
        <v/>
      </c>
      <c r="X63" s="46" t="str">
        <f t="shared" si="5"/>
        <v/>
      </c>
      <c r="Y63" s="54"/>
      <c r="Z63" s="41" t="str">
        <f t="shared" si="18"/>
        <v/>
      </c>
      <c r="AA63" s="41" t="str">
        <f t="shared" si="19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20"/>
        <v/>
      </c>
      <c r="AI63" s="41" t="str">
        <f t="shared" si="21"/>
        <v/>
      </c>
      <c r="AJ63" s="41">
        <f t="shared" si="10"/>
        <v>0</v>
      </c>
      <c r="AK63" s="41" t="str">
        <f t="shared" si="11"/>
        <v/>
      </c>
      <c r="AL63" s="41">
        <f t="shared" si="22"/>
        <v>0</v>
      </c>
      <c r="AM63" s="41">
        <f t="shared" si="12"/>
        <v>0</v>
      </c>
      <c r="AN63" s="41" t="str">
        <f t="shared" si="13"/>
        <v/>
      </c>
      <c r="AO63" s="41">
        <f t="shared" si="14"/>
        <v>0</v>
      </c>
      <c r="AP63" s="45"/>
      <c r="AQ63" s="45"/>
      <c r="AR63" s="48"/>
      <c r="AS63" s="48"/>
      <c r="AT63" s="51">
        <f t="shared" si="23"/>
        <v>59</v>
      </c>
      <c r="AU63" s="49" t="str">
        <f t="shared" si="24"/>
        <v/>
      </c>
      <c r="AV63" s="49" t="str">
        <f t="shared" si="25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7.25001817937443E-4</v>
      </c>
      <c r="C64">
        <f t="shared" si="30"/>
        <v>6.8150170886119635E-4</v>
      </c>
      <c r="D64" s="60"/>
      <c r="E64" s="5"/>
      <c r="I64" s="51"/>
      <c r="J64" s="41"/>
      <c r="K64" s="41" t="str">
        <f t="shared" si="26"/>
        <v/>
      </c>
      <c r="L64" s="42" t="str">
        <f t="shared" si="27"/>
        <v/>
      </c>
      <c r="M64" s="41" t="str">
        <f t="shared" si="28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>IF(I64&lt;&gt;"",_xlfn.XLOOKUP($D$4+I64,$A$26:$A$145,$B$26:$B$145,0) * 1000,"")</f>
        <v/>
      </c>
      <c r="T64" s="52">
        <f t="shared" si="29"/>
        <v>0</v>
      </c>
      <c r="U64" s="53" t="str">
        <f t="shared" si="15"/>
        <v/>
      </c>
      <c r="V64" s="53" t="str">
        <f t="shared" si="16"/>
        <v/>
      </c>
      <c r="W64" s="53" t="str">
        <f t="shared" si="17"/>
        <v/>
      </c>
      <c r="X64" s="46" t="str">
        <f t="shared" si="5"/>
        <v/>
      </c>
      <c r="Y64" s="54"/>
      <c r="Z64" s="41" t="str">
        <f t="shared" si="18"/>
        <v/>
      </c>
      <c r="AA64" s="41" t="str">
        <f t="shared" si="19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20"/>
        <v/>
      </c>
      <c r="AI64" s="41" t="str">
        <f t="shared" si="21"/>
        <v/>
      </c>
      <c r="AJ64" s="41">
        <f t="shared" si="10"/>
        <v>0</v>
      </c>
      <c r="AK64" s="41" t="str">
        <f t="shared" si="11"/>
        <v/>
      </c>
      <c r="AL64" s="41">
        <f t="shared" si="22"/>
        <v>0</v>
      </c>
      <c r="AM64" s="41">
        <f t="shared" si="12"/>
        <v>0</v>
      </c>
      <c r="AN64" s="41" t="str">
        <f t="shared" si="13"/>
        <v/>
      </c>
      <c r="AO64" s="41">
        <f t="shared" si="14"/>
        <v>0</v>
      </c>
      <c r="AP64" s="45"/>
      <c r="AQ64" s="45"/>
      <c r="AR64" s="48"/>
      <c r="AS64" s="48"/>
      <c r="AT64" s="51">
        <f t="shared" si="23"/>
        <v>60</v>
      </c>
      <c r="AU64" s="49" t="str">
        <f t="shared" si="24"/>
        <v/>
      </c>
      <c r="AV64" s="49" t="str">
        <f t="shared" si="25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7.86216250933225E-4</v>
      </c>
      <c r="C65">
        <f t="shared" si="30"/>
        <v>7.3904327587723142E-4</v>
      </c>
      <c r="D65" s="60"/>
      <c r="E65" s="5"/>
      <c r="I65" s="51"/>
      <c r="J65" s="41"/>
      <c r="K65" s="41" t="str">
        <f t="shared" si="26"/>
        <v/>
      </c>
      <c r="L65" s="42" t="str">
        <f t="shared" si="27"/>
        <v/>
      </c>
      <c r="M65" s="41" t="str">
        <f t="shared" si="28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>IF(I65&lt;&gt;"",_xlfn.XLOOKUP($D$4+I65,$A$26:$A$145,$B$26:$B$145,0) * 1000,"")</f>
        <v/>
      </c>
      <c r="T65" s="52">
        <f t="shared" si="29"/>
        <v>0</v>
      </c>
      <c r="U65" s="53" t="str">
        <f t="shared" si="15"/>
        <v/>
      </c>
      <c r="V65" s="53" t="str">
        <f t="shared" si="16"/>
        <v/>
      </c>
      <c r="W65" s="53" t="str">
        <f t="shared" si="17"/>
        <v/>
      </c>
      <c r="X65" s="46" t="str">
        <f t="shared" si="5"/>
        <v/>
      </c>
      <c r="Y65" s="54"/>
      <c r="Z65" s="41" t="str">
        <f t="shared" si="18"/>
        <v/>
      </c>
      <c r="AA65" s="41" t="str">
        <f t="shared" si="19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20"/>
        <v/>
      </c>
      <c r="AI65" s="41" t="str">
        <f t="shared" si="21"/>
        <v/>
      </c>
      <c r="AJ65" s="41">
        <f t="shared" si="10"/>
        <v>0</v>
      </c>
      <c r="AK65" s="41" t="str">
        <f t="shared" si="11"/>
        <v/>
      </c>
      <c r="AL65" s="41">
        <f t="shared" si="22"/>
        <v>0</v>
      </c>
      <c r="AM65" s="41">
        <f t="shared" si="12"/>
        <v>0</v>
      </c>
      <c r="AN65" s="41" t="str">
        <f t="shared" si="13"/>
        <v/>
      </c>
      <c r="AO65" s="41">
        <f t="shared" si="14"/>
        <v>0</v>
      </c>
      <c r="AP65" s="45"/>
      <c r="AQ65" s="45"/>
      <c r="AR65" s="48"/>
      <c r="AS65" s="48"/>
      <c r="AT65" s="51">
        <f t="shared" si="23"/>
        <v>61</v>
      </c>
      <c r="AU65" s="49" t="str">
        <f t="shared" si="24"/>
        <v/>
      </c>
      <c r="AV65" s="49" t="str">
        <f t="shared" si="25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8.5756716818730105E-4</v>
      </c>
      <c r="C66">
        <f t="shared" si="30"/>
        <v>8.0611313809606292E-4</v>
      </c>
      <c r="D66" s="60"/>
      <c r="E66" s="5"/>
      <c r="I66" s="51"/>
      <c r="J66" s="41"/>
      <c r="K66" s="41" t="str">
        <f t="shared" si="26"/>
        <v/>
      </c>
      <c r="L66" s="42" t="str">
        <f t="shared" si="27"/>
        <v/>
      </c>
      <c r="M66" s="41" t="str">
        <f t="shared" si="28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>IF(I66&lt;&gt;"",_xlfn.XLOOKUP($D$4+I66,$A$26:$A$145,$B$26:$B$145,0) * 1000,"")</f>
        <v/>
      </c>
      <c r="T66" s="52">
        <f t="shared" si="29"/>
        <v>0</v>
      </c>
      <c r="U66" s="53" t="str">
        <f t="shared" si="15"/>
        <v/>
      </c>
      <c r="V66" s="53" t="str">
        <f t="shared" si="16"/>
        <v/>
      </c>
      <c r="W66" s="53" t="str">
        <f t="shared" si="17"/>
        <v/>
      </c>
      <c r="X66" s="46" t="str">
        <f t="shared" si="5"/>
        <v/>
      </c>
      <c r="Y66" s="54"/>
      <c r="Z66" s="41" t="str">
        <f t="shared" si="18"/>
        <v/>
      </c>
      <c r="AA66" s="41" t="str">
        <f t="shared" si="19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20"/>
        <v/>
      </c>
      <c r="AI66" s="41" t="str">
        <f t="shared" si="21"/>
        <v/>
      </c>
      <c r="AJ66" s="41">
        <f t="shared" si="10"/>
        <v>0</v>
      </c>
      <c r="AK66" s="41" t="str">
        <f t="shared" si="11"/>
        <v/>
      </c>
      <c r="AL66" s="41">
        <f t="shared" si="22"/>
        <v>0</v>
      </c>
      <c r="AM66" s="41">
        <f t="shared" si="12"/>
        <v>0</v>
      </c>
      <c r="AN66" s="41" t="str">
        <f t="shared" si="13"/>
        <v/>
      </c>
      <c r="AO66" s="41">
        <f t="shared" si="14"/>
        <v>0</v>
      </c>
      <c r="AP66" s="45"/>
      <c r="AQ66" s="45"/>
      <c r="AR66" s="48"/>
      <c r="AS66" s="48"/>
      <c r="AT66" s="51">
        <f t="shared" si="23"/>
        <v>62</v>
      </c>
      <c r="AU66" s="49" t="str">
        <f t="shared" si="24"/>
        <v/>
      </c>
      <c r="AV66" s="49" t="str">
        <f t="shared" si="25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9.2840564054152996E-4</v>
      </c>
      <c r="C67">
        <f t="shared" si="30"/>
        <v>8.7270130210903812E-4</v>
      </c>
      <c r="D67" s="60"/>
      <c r="E67" s="5"/>
      <c r="I67" s="51"/>
      <c r="J67" s="41"/>
      <c r="K67" s="41" t="str">
        <f t="shared" si="26"/>
        <v/>
      </c>
      <c r="L67" s="42" t="str">
        <f t="shared" si="27"/>
        <v/>
      </c>
      <c r="M67" s="41" t="str">
        <f t="shared" si="28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>IF(I67&lt;&gt;"",_xlfn.XLOOKUP($D$4+I67,$A$26:$A$145,$B$26:$B$145,0) * 1000,"")</f>
        <v/>
      </c>
      <c r="T67" s="52">
        <f t="shared" si="29"/>
        <v>0</v>
      </c>
      <c r="U67" s="53" t="str">
        <f t="shared" si="15"/>
        <v/>
      </c>
      <c r="V67" s="53" t="str">
        <f t="shared" si="16"/>
        <v/>
      </c>
      <c r="W67" s="53" t="str">
        <f t="shared" si="17"/>
        <v/>
      </c>
      <c r="X67" s="46" t="str">
        <f t="shared" si="5"/>
        <v/>
      </c>
      <c r="Y67" s="54"/>
      <c r="Z67" s="41" t="str">
        <f t="shared" si="18"/>
        <v/>
      </c>
      <c r="AA67" s="41" t="str">
        <f t="shared" si="19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20"/>
        <v/>
      </c>
      <c r="AI67" s="41" t="str">
        <f t="shared" si="21"/>
        <v/>
      </c>
      <c r="AJ67" s="41">
        <f t="shared" si="10"/>
        <v>0</v>
      </c>
      <c r="AK67" s="41" t="str">
        <f t="shared" si="11"/>
        <v/>
      </c>
      <c r="AL67" s="41">
        <f t="shared" si="22"/>
        <v>0</v>
      </c>
      <c r="AM67" s="41">
        <f t="shared" si="12"/>
        <v>0</v>
      </c>
      <c r="AN67" s="41" t="str">
        <f t="shared" si="13"/>
        <v/>
      </c>
      <c r="AO67" s="41">
        <f t="shared" si="14"/>
        <v>0</v>
      </c>
      <c r="AP67" s="45"/>
      <c r="AQ67" s="45"/>
      <c r="AR67" s="48"/>
      <c r="AS67" s="48"/>
      <c r="AT67" s="51">
        <f t="shared" si="23"/>
        <v>63</v>
      </c>
      <c r="AU67" s="49" t="str">
        <f t="shared" si="24"/>
        <v/>
      </c>
      <c r="AV67" s="49" t="str">
        <f t="shared" si="25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1.00919698840662E-3</v>
      </c>
      <c r="C68">
        <f t="shared" si="30"/>
        <v>9.486451691022227E-4</v>
      </c>
      <c r="D68" s="60"/>
      <c r="E68" s="5"/>
      <c r="I68" s="51"/>
      <c r="J68" s="41"/>
      <c r="K68" s="41" t="str">
        <f t="shared" si="26"/>
        <v/>
      </c>
      <c r="L68" s="42" t="str">
        <f t="shared" si="27"/>
        <v/>
      </c>
      <c r="M68" s="41" t="str">
        <f t="shared" si="28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>IF(I68&lt;&gt;"",_xlfn.XLOOKUP($D$4+I68,$A$26:$A$145,$B$26:$B$145,0) * 1000,"")</f>
        <v/>
      </c>
      <c r="T68" s="52">
        <f t="shared" si="29"/>
        <v>0</v>
      </c>
      <c r="U68" s="53" t="str">
        <f t="shared" si="15"/>
        <v/>
      </c>
      <c r="V68" s="53" t="str">
        <f t="shared" si="16"/>
        <v/>
      </c>
      <c r="W68" s="53" t="str">
        <f t="shared" si="17"/>
        <v/>
      </c>
      <c r="X68" s="46" t="str">
        <f t="shared" si="5"/>
        <v/>
      </c>
      <c r="Y68" s="54"/>
      <c r="Z68" s="41" t="str">
        <f t="shared" si="18"/>
        <v/>
      </c>
      <c r="AA68" s="41" t="str">
        <f t="shared" si="19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20"/>
        <v/>
      </c>
      <c r="AI68" s="41" t="str">
        <f t="shared" si="21"/>
        <v/>
      </c>
      <c r="AJ68" s="41">
        <f t="shared" si="10"/>
        <v>0</v>
      </c>
      <c r="AK68" s="41" t="str">
        <f t="shared" si="11"/>
        <v/>
      </c>
      <c r="AL68" s="41">
        <f t="shared" si="22"/>
        <v>0</v>
      </c>
      <c r="AM68" s="41">
        <f t="shared" si="12"/>
        <v>0</v>
      </c>
      <c r="AN68" s="41" t="str">
        <f t="shared" si="13"/>
        <v/>
      </c>
      <c r="AO68" s="41">
        <f t="shared" si="14"/>
        <v>0</v>
      </c>
      <c r="AP68" s="45"/>
      <c r="AQ68" s="45"/>
      <c r="AR68" s="48"/>
      <c r="AS68" s="48"/>
      <c r="AT68" s="51">
        <f t="shared" si="23"/>
        <v>64</v>
      </c>
      <c r="AU68" s="49" t="str">
        <f t="shared" si="24"/>
        <v/>
      </c>
      <c r="AV68" s="49" t="str">
        <f t="shared" si="25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1.0961829830884501E-3</v>
      </c>
      <c r="C69">
        <f t="shared" si="30"/>
        <v>1.030412004103143E-3</v>
      </c>
      <c r="D69" s="60"/>
      <c r="E69" s="5"/>
      <c r="F69" s="5"/>
      <c r="I69" s="51"/>
      <c r="J69" s="41"/>
      <c r="K69" s="41" t="str">
        <f t="shared" si="26"/>
        <v/>
      </c>
      <c r="L69" s="42" t="str">
        <f t="shared" si="27"/>
        <v/>
      </c>
      <c r="M69" s="41" t="str">
        <f t="shared" si="28"/>
        <v/>
      </c>
      <c r="N69" s="43">
        <f t="shared" ref="N69:N123" si="31">AX69</f>
        <v>0</v>
      </c>
      <c r="O69" s="44">
        <f t="shared" ref="O69:O123" si="32">AW69</f>
        <v>0</v>
      </c>
      <c r="P69" s="41" t="str">
        <f t="shared" ref="P69:P124" si="33">IF(I69&lt;&gt;"", M69*N69/1000, "")</f>
        <v/>
      </c>
      <c r="Q69" s="41" t="str">
        <f t="shared" ref="Q69:Q124" si="34">IF(I69&lt;&gt;"", M69*O69/1000, "")</f>
        <v/>
      </c>
      <c r="R69" s="44"/>
      <c r="S69" s="44" t="str">
        <f>IF(I69&lt;&gt;"",_xlfn.XLOOKUP($D$4+I69,$A$26:$A$145,$B$26:$B$145,0) * 1000,"")</f>
        <v/>
      </c>
      <c r="T69" s="52">
        <f t="shared" si="29"/>
        <v>0</v>
      </c>
      <c r="U69" s="53" t="str">
        <f t="shared" si="15"/>
        <v/>
      </c>
      <c r="V69" s="53" t="str">
        <f t="shared" si="16"/>
        <v/>
      </c>
      <c r="W69" s="53" t="str">
        <f t="shared" si="17"/>
        <v/>
      </c>
      <c r="X69" s="46" t="str">
        <f t="shared" ref="X69:X124" si="35">IF(I69&lt;&gt;"", U69-SUM(V69:W69), "")</f>
        <v/>
      </c>
      <c r="Y69" s="54"/>
      <c r="Z69" s="41" t="str">
        <f t="shared" si="18"/>
        <v/>
      </c>
      <c r="AA69" s="41" t="str">
        <f t="shared" si="19"/>
        <v/>
      </c>
      <c r="AB69" s="41" t="str">
        <f t="shared" ref="AB69:AB124" si="36">IF(I69&lt;&gt;"", Q69*X69, "" )</f>
        <v/>
      </c>
      <c r="AC69" s="41" t="str">
        <f t="shared" ref="AC69:AC124" si="37">IF(I69&lt;&gt;"", $H$14*M69*X69, "")</f>
        <v/>
      </c>
      <c r="AD69" s="54"/>
      <c r="AE69" s="41" t="str">
        <f t="shared" ref="AE69:AE124" si="38">IF(I69&lt;&gt;"", $X69*J69, "")</f>
        <v/>
      </c>
      <c r="AF69" s="41"/>
      <c r="AG69" s="41" t="str">
        <f t="shared" ref="AG69:AG124" si="39">IF(I69&lt;&gt;"", -$X69*L69, "")</f>
        <v/>
      </c>
      <c r="AH69" s="41" t="str">
        <f t="shared" si="20"/>
        <v/>
      </c>
      <c r="AI69" s="41" t="str">
        <f t="shared" si="21"/>
        <v/>
      </c>
      <c r="AJ69" s="41">
        <f t="shared" ref="AJ69:AJ124" si="40">SUM(AE69:AI69)</f>
        <v>0</v>
      </c>
      <c r="AK69" s="41" t="str">
        <f t="shared" ref="AK69:AK124" si="41">IF(I69&lt;&gt;"", Z69-AB69, "")</f>
        <v/>
      </c>
      <c r="AL69" s="41">
        <f t="shared" si="22"/>
        <v>0</v>
      </c>
      <c r="AM69" s="41">
        <f t="shared" ref="AM69:AM124" si="42">SUM(AJ69:AL69)</f>
        <v>0</v>
      </c>
      <c r="AN69" s="41" t="str">
        <f t="shared" ref="AN69:AN124" si="43">IF(I69&lt;&gt;"", AA69-AC69, "")</f>
        <v/>
      </c>
      <c r="AO69" s="41">
        <f t="shared" ref="AO69:AO78" si="44">SUM(AM69:AN69)</f>
        <v>0</v>
      </c>
      <c r="AP69" s="45"/>
      <c r="AQ69" s="45"/>
      <c r="AR69" s="48"/>
      <c r="AS69" s="48"/>
      <c r="AT69" s="51">
        <f t="shared" si="23"/>
        <v>65</v>
      </c>
      <c r="AU69" s="49" t="str">
        <f t="shared" si="24"/>
        <v/>
      </c>
      <c r="AV69" s="49" t="str">
        <f t="shared" si="25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1.1910269098248699E-3</v>
      </c>
      <c r="C70">
        <f t="shared" si="30"/>
        <v>1.1195652952353777E-3</v>
      </c>
      <c r="D70" s="60"/>
      <c r="E70" s="5"/>
      <c r="F70" s="5"/>
      <c r="I70" s="51"/>
      <c r="J70" s="41"/>
      <c r="K70" s="41" t="str">
        <f t="shared" si="26"/>
        <v/>
      </c>
      <c r="L70" s="42" t="str">
        <f t="shared" si="27"/>
        <v/>
      </c>
      <c r="M70" s="41" t="str">
        <f t="shared" si="28"/>
        <v/>
      </c>
      <c r="N70" s="43">
        <f t="shared" si="31"/>
        <v>0</v>
      </c>
      <c r="O70" s="44">
        <f t="shared" si="32"/>
        <v>0</v>
      </c>
      <c r="P70" s="41" t="str">
        <f t="shared" si="33"/>
        <v/>
      </c>
      <c r="Q70" s="41" t="str">
        <f t="shared" si="34"/>
        <v/>
      </c>
      <c r="R70" s="44"/>
      <c r="S70" s="44" t="str">
        <f>IF(I70&lt;&gt;"",_xlfn.XLOOKUP($D$4+I70,$A$26:$A$145,$B$26:$B$145,0) * 1000,"")</f>
        <v/>
      </c>
      <c r="T70" s="52">
        <f t="shared" si="29"/>
        <v>0</v>
      </c>
      <c r="U70" s="53" t="str">
        <f t="shared" ref="U70:U124" si="45">IF(I70&lt;&gt;"", X69, "")</f>
        <v/>
      </c>
      <c r="V70" s="53" t="str">
        <f t="shared" ref="V70:V124" si="46">IF(I70&lt;&gt;"", S70*U70/1000, "")</f>
        <v/>
      </c>
      <c r="W70" s="53" t="str">
        <f t="shared" ref="W70:W124" si="47">IF(I70&lt;&gt;"", MIN(T70*U70,U70-V70), "")</f>
        <v/>
      </c>
      <c r="X70" s="46" t="str">
        <f t="shared" si="35"/>
        <v/>
      </c>
      <c r="Y70" s="54"/>
      <c r="Z70" s="41" t="str">
        <f t="shared" ref="Z70:Z124" si="48">IF(I70&lt;&gt;"",AB69,"")</f>
        <v/>
      </c>
      <c r="AA70" s="41" t="str">
        <f t="shared" ref="AA70:AA124" si="49">IF(I70&lt;&gt;"", AC69, "")</f>
        <v/>
      </c>
      <c r="AB70" s="41" t="str">
        <f t="shared" si="36"/>
        <v/>
      </c>
      <c r="AC70" s="41" t="str">
        <f t="shared" si="37"/>
        <v/>
      </c>
      <c r="AD70" s="54"/>
      <c r="AE70" s="41" t="str">
        <f t="shared" si="38"/>
        <v/>
      </c>
      <c r="AF70" s="41"/>
      <c r="AG70" s="41" t="str">
        <f t="shared" si="39"/>
        <v/>
      </c>
      <c r="AH70" s="41" t="str">
        <f t="shared" ref="AH70:AH124" si="50">IF(I70&lt;&gt;"",-M70*V70,"")</f>
        <v/>
      </c>
      <c r="AI70" s="41" t="str">
        <f t="shared" ref="AI70:AI124" si="51">IF(I70 &lt;&gt; "", -P70*W70, "")</f>
        <v/>
      </c>
      <c r="AJ70" s="41">
        <f t="shared" si="40"/>
        <v>0</v>
      </c>
      <c r="AK70" s="41" t="str">
        <f t="shared" si="41"/>
        <v/>
      </c>
      <c r="AL70" s="41">
        <f t="shared" ref="AL70:AL124" si="52">$D$6*SUM(Z70:AA70,AE70:AF70)</f>
        <v>0</v>
      </c>
      <c r="AM70" s="41">
        <f t="shared" si="42"/>
        <v>0</v>
      </c>
      <c r="AN70" s="41" t="str">
        <f t="shared" si="43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3">AT69+1</f>
        <v>66</v>
      </c>
      <c r="AU70" s="49" t="str">
        <f t="shared" ref="AU70:AU124" si="54">IF(I70&lt;&gt;"", AU69-AV69, "")</f>
        <v/>
      </c>
      <c r="AV70" s="49" t="str">
        <f t="shared" ref="AV70:AV124" si="55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1.26026353216369E-3</v>
      </c>
      <c r="C71">
        <f t="shared" si="30"/>
        <v>1.1846477202338685E-3</v>
      </c>
      <c r="D71" s="60"/>
      <c r="E71" s="5"/>
      <c r="F71" s="5"/>
      <c r="I71" s="51"/>
      <c r="J71" s="41"/>
      <c r="K71" s="41" t="str">
        <f t="shared" ref="K71:K124" si="56">IF(J71&lt;&gt;"",J71*$C$17,"")</f>
        <v/>
      </c>
      <c r="L71" s="42" t="str">
        <f t="shared" ref="L71:L124" si="57">IF(I71&lt;&gt;"",$C$21,"")</f>
        <v/>
      </c>
      <c r="M71" s="41" t="str">
        <f t="shared" ref="M71:M124" si="58">IF(I71&lt;&gt;"",$E$11,"")</f>
        <v/>
      </c>
      <c r="N71" s="43">
        <f t="shared" si="31"/>
        <v>0</v>
      </c>
      <c r="O71" s="44">
        <f t="shared" si="32"/>
        <v>0</v>
      </c>
      <c r="P71" s="41" t="str">
        <f t="shared" si="33"/>
        <v/>
      </c>
      <c r="Q71" s="41" t="str">
        <f t="shared" si="34"/>
        <v/>
      </c>
      <c r="R71" s="44"/>
      <c r="S71" s="44" t="str">
        <f>IF(I71&lt;&gt;"",_xlfn.XLOOKUP($D$4+I71,$A$26:$A$145,$B$26:$B$145,0) * 1000,"")</f>
        <v/>
      </c>
      <c r="T71" s="52">
        <f t="shared" si="29"/>
        <v>0</v>
      </c>
      <c r="U71" s="53" t="str">
        <f t="shared" si="45"/>
        <v/>
      </c>
      <c r="V71" s="53" t="str">
        <f t="shared" si="46"/>
        <v/>
      </c>
      <c r="W71" s="53" t="str">
        <f t="shared" si="47"/>
        <v/>
      </c>
      <c r="X71" s="46" t="str">
        <f t="shared" si="35"/>
        <v/>
      </c>
      <c r="Y71" s="54"/>
      <c r="Z71" s="41" t="str">
        <f t="shared" si="48"/>
        <v/>
      </c>
      <c r="AA71" s="41" t="str">
        <f t="shared" si="49"/>
        <v/>
      </c>
      <c r="AB71" s="41" t="str">
        <f t="shared" si="36"/>
        <v/>
      </c>
      <c r="AC71" s="41" t="str">
        <f t="shared" si="37"/>
        <v/>
      </c>
      <c r="AD71" s="54"/>
      <c r="AE71" s="41" t="str">
        <f t="shared" si="38"/>
        <v/>
      </c>
      <c r="AF71" s="41"/>
      <c r="AG71" s="41" t="str">
        <f t="shared" si="39"/>
        <v/>
      </c>
      <c r="AH71" s="41" t="str">
        <f t="shared" si="50"/>
        <v/>
      </c>
      <c r="AI71" s="41" t="str">
        <f t="shared" si="51"/>
        <v/>
      </c>
      <c r="AJ71" s="41">
        <f t="shared" si="40"/>
        <v>0</v>
      </c>
      <c r="AK71" s="41" t="str">
        <f t="shared" si="41"/>
        <v/>
      </c>
      <c r="AL71" s="41">
        <f t="shared" si="52"/>
        <v>0</v>
      </c>
      <c r="AM71" s="41">
        <f t="shared" si="42"/>
        <v>0</v>
      </c>
      <c r="AN71" s="41" t="str">
        <f t="shared" si="43"/>
        <v/>
      </c>
      <c r="AO71" s="41">
        <f t="shared" si="44"/>
        <v>0</v>
      </c>
      <c r="AP71" s="45"/>
      <c r="AQ71" s="45"/>
      <c r="AR71" s="48"/>
      <c r="AS71" s="48"/>
      <c r="AT71" s="51">
        <f t="shared" si="53"/>
        <v>67</v>
      </c>
      <c r="AU71" s="49" t="str">
        <f t="shared" si="54"/>
        <v/>
      </c>
      <c r="AV71" s="49" t="str">
        <f t="shared" si="55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1.3756834440061801E-3</v>
      </c>
      <c r="C72">
        <f t="shared" si="30"/>
        <v>1.2931424373658091E-3</v>
      </c>
      <c r="D72" s="60"/>
      <c r="E72" s="5"/>
      <c r="F72" s="5"/>
      <c r="I72" s="51"/>
      <c r="J72" s="41"/>
      <c r="K72" s="41" t="str">
        <f t="shared" si="56"/>
        <v/>
      </c>
      <c r="L72" s="42" t="str">
        <f t="shared" si="57"/>
        <v/>
      </c>
      <c r="M72" s="41" t="str">
        <f t="shared" si="58"/>
        <v/>
      </c>
      <c r="N72" s="43">
        <f>AX72</f>
        <v>0</v>
      </c>
      <c r="O72" s="44">
        <f t="shared" si="32"/>
        <v>0</v>
      </c>
      <c r="P72" s="41" t="str">
        <f t="shared" si="33"/>
        <v/>
      </c>
      <c r="Q72" s="41" t="str">
        <f t="shared" si="34"/>
        <v/>
      </c>
      <c r="R72" s="44"/>
      <c r="S72" s="44" t="str">
        <f>IF(I72&lt;&gt;"",_xlfn.XLOOKUP($D$4+I72,$A$26:$A$145,$B$26:$B$145,0) * 1000,"")</f>
        <v/>
      </c>
      <c r="T72" s="52">
        <f t="shared" si="29"/>
        <v>0</v>
      </c>
      <c r="U72" s="53" t="str">
        <f t="shared" si="45"/>
        <v/>
      </c>
      <c r="V72" s="53" t="str">
        <f t="shared" si="46"/>
        <v/>
      </c>
      <c r="W72" s="53" t="str">
        <f t="shared" si="47"/>
        <v/>
      </c>
      <c r="X72" s="46" t="str">
        <f t="shared" si="35"/>
        <v/>
      </c>
      <c r="Y72" s="54"/>
      <c r="Z72" s="41" t="str">
        <f t="shared" si="48"/>
        <v/>
      </c>
      <c r="AA72" s="41" t="str">
        <f t="shared" si="49"/>
        <v/>
      </c>
      <c r="AB72" s="41" t="str">
        <f t="shared" si="36"/>
        <v/>
      </c>
      <c r="AC72" s="41" t="str">
        <f t="shared" si="37"/>
        <v/>
      </c>
      <c r="AD72" s="54"/>
      <c r="AE72" s="41" t="str">
        <f t="shared" si="38"/>
        <v/>
      </c>
      <c r="AF72" s="41"/>
      <c r="AG72" s="41" t="str">
        <f t="shared" si="39"/>
        <v/>
      </c>
      <c r="AH72" s="41" t="str">
        <f t="shared" si="50"/>
        <v/>
      </c>
      <c r="AI72" s="41" t="str">
        <f t="shared" si="51"/>
        <v/>
      </c>
      <c r="AJ72" s="41">
        <f t="shared" si="40"/>
        <v>0</v>
      </c>
      <c r="AK72" s="41" t="str">
        <f t="shared" si="41"/>
        <v/>
      </c>
      <c r="AL72" s="41">
        <f t="shared" si="52"/>
        <v>0</v>
      </c>
      <c r="AM72" s="41">
        <f t="shared" si="42"/>
        <v>0</v>
      </c>
      <c r="AN72" s="41" t="str">
        <f t="shared" si="43"/>
        <v/>
      </c>
      <c r="AO72" s="41">
        <f t="shared" si="44"/>
        <v>0</v>
      </c>
      <c r="AP72" s="45"/>
      <c r="AQ72" s="45"/>
      <c r="AR72" s="48"/>
      <c r="AS72" s="48"/>
      <c r="AT72" s="51">
        <f t="shared" si="53"/>
        <v>68</v>
      </c>
      <c r="AU72" s="49" t="str">
        <f t="shared" si="54"/>
        <v/>
      </c>
      <c r="AV72" s="49" t="str">
        <f t="shared" si="55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1.5083524363912501E-3</v>
      </c>
      <c r="C73">
        <f t="shared" si="30"/>
        <v>1.417851290207775E-3</v>
      </c>
      <c r="D73" s="60"/>
      <c r="E73" s="5"/>
      <c r="F73" s="5"/>
      <c r="I73" s="51"/>
      <c r="J73" s="41"/>
      <c r="K73" s="41" t="str">
        <f t="shared" si="56"/>
        <v/>
      </c>
      <c r="L73" s="42" t="str">
        <f t="shared" si="57"/>
        <v/>
      </c>
      <c r="M73" s="41" t="str">
        <f t="shared" si="58"/>
        <v/>
      </c>
      <c r="N73" s="43">
        <f t="shared" si="31"/>
        <v>0</v>
      </c>
      <c r="O73" s="44">
        <f t="shared" si="32"/>
        <v>0</v>
      </c>
      <c r="P73" s="41" t="str">
        <f t="shared" si="33"/>
        <v/>
      </c>
      <c r="Q73" s="41" t="str">
        <f t="shared" si="34"/>
        <v/>
      </c>
      <c r="R73" s="44"/>
      <c r="S73" s="44" t="str">
        <f>IF(I73&lt;&gt;"",_xlfn.XLOOKUP($D$4+I73,$A$26:$A$145,$B$26:$B$145,0) * 1000,"")</f>
        <v/>
      </c>
      <c r="T73" s="52">
        <f t="shared" si="29"/>
        <v>0</v>
      </c>
      <c r="U73" s="53" t="str">
        <f t="shared" si="45"/>
        <v/>
      </c>
      <c r="V73" s="53" t="str">
        <f t="shared" si="46"/>
        <v/>
      </c>
      <c r="W73" s="53" t="str">
        <f t="shared" si="47"/>
        <v/>
      </c>
      <c r="X73" s="46" t="str">
        <f t="shared" si="35"/>
        <v/>
      </c>
      <c r="Y73" s="54"/>
      <c r="Z73" s="41" t="str">
        <f t="shared" si="48"/>
        <v/>
      </c>
      <c r="AA73" s="41" t="str">
        <f t="shared" si="49"/>
        <v/>
      </c>
      <c r="AB73" s="41" t="str">
        <f t="shared" si="36"/>
        <v/>
      </c>
      <c r="AC73" s="41" t="str">
        <f t="shared" si="37"/>
        <v/>
      </c>
      <c r="AD73" s="54"/>
      <c r="AE73" s="41" t="str">
        <f t="shared" si="38"/>
        <v/>
      </c>
      <c r="AF73" s="41"/>
      <c r="AG73" s="41" t="str">
        <f t="shared" si="39"/>
        <v/>
      </c>
      <c r="AH73" s="41" t="str">
        <f t="shared" si="50"/>
        <v/>
      </c>
      <c r="AI73" s="41" t="str">
        <f t="shared" si="51"/>
        <v/>
      </c>
      <c r="AJ73" s="41">
        <f t="shared" si="40"/>
        <v>0</v>
      </c>
      <c r="AK73" s="41" t="str">
        <f t="shared" si="41"/>
        <v/>
      </c>
      <c r="AL73" s="41">
        <f t="shared" si="52"/>
        <v>0</v>
      </c>
      <c r="AM73" s="41">
        <f t="shared" si="42"/>
        <v>0</v>
      </c>
      <c r="AN73" s="41" t="str">
        <f t="shared" si="43"/>
        <v/>
      </c>
      <c r="AO73" s="41">
        <f t="shared" si="44"/>
        <v>0</v>
      </c>
      <c r="AP73" s="45"/>
      <c r="AQ73" s="45"/>
      <c r="AR73" s="48"/>
      <c r="AS73" s="48"/>
      <c r="AT73" s="51">
        <f t="shared" si="53"/>
        <v>69</v>
      </c>
      <c r="AU73" s="49" t="str">
        <f t="shared" si="54"/>
        <v/>
      </c>
      <c r="AV73" s="49" t="str">
        <f t="shared" si="55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1.6489621717508101E-3</v>
      </c>
      <c r="C74">
        <f t="shared" si="30"/>
        <v>1.5500244414457613E-3</v>
      </c>
      <c r="D74" s="60"/>
      <c r="E74" s="5"/>
      <c r="F74" s="5"/>
      <c r="I74" s="51"/>
      <c r="J74" s="41"/>
      <c r="K74" s="41" t="str">
        <f t="shared" si="56"/>
        <v/>
      </c>
      <c r="L74" s="42" t="str">
        <f t="shared" si="57"/>
        <v/>
      </c>
      <c r="M74" s="41" t="str">
        <f t="shared" si="58"/>
        <v/>
      </c>
      <c r="N74" s="43">
        <f t="shared" si="31"/>
        <v>0</v>
      </c>
      <c r="O74" s="44">
        <f t="shared" si="32"/>
        <v>0</v>
      </c>
      <c r="P74" s="41" t="str">
        <f t="shared" si="33"/>
        <v/>
      </c>
      <c r="Q74" s="41" t="str">
        <f t="shared" si="34"/>
        <v/>
      </c>
      <c r="R74" s="44"/>
      <c r="S74" s="44" t="str">
        <f>IF(I74&lt;&gt;"",_xlfn.XLOOKUP($D$4+I74,$A$26:$A$145,$B$26:$B$145,0) * 1000,"")</f>
        <v/>
      </c>
      <c r="T74" s="52">
        <f t="shared" si="29"/>
        <v>0</v>
      </c>
      <c r="U74" s="53" t="str">
        <f t="shared" si="45"/>
        <v/>
      </c>
      <c r="V74" s="53" t="str">
        <f t="shared" si="46"/>
        <v/>
      </c>
      <c r="W74" s="53" t="str">
        <f t="shared" si="47"/>
        <v/>
      </c>
      <c r="X74" s="46" t="str">
        <f t="shared" si="35"/>
        <v/>
      </c>
      <c r="Y74" s="54"/>
      <c r="Z74" s="41" t="str">
        <f t="shared" si="48"/>
        <v/>
      </c>
      <c r="AA74" s="41" t="str">
        <f t="shared" si="49"/>
        <v/>
      </c>
      <c r="AB74" s="41" t="str">
        <f t="shared" si="36"/>
        <v/>
      </c>
      <c r="AC74" s="41" t="str">
        <f t="shared" si="37"/>
        <v/>
      </c>
      <c r="AD74" s="54"/>
      <c r="AE74" s="41" t="str">
        <f t="shared" si="38"/>
        <v/>
      </c>
      <c r="AF74" s="41"/>
      <c r="AG74" s="41" t="str">
        <f t="shared" si="39"/>
        <v/>
      </c>
      <c r="AH74" s="41" t="str">
        <f t="shared" si="50"/>
        <v/>
      </c>
      <c r="AI74" s="41" t="str">
        <f t="shared" si="51"/>
        <v/>
      </c>
      <c r="AJ74" s="41">
        <f t="shared" si="40"/>
        <v>0</v>
      </c>
      <c r="AK74" s="41" t="str">
        <f t="shared" si="41"/>
        <v/>
      </c>
      <c r="AL74" s="41">
        <f t="shared" si="52"/>
        <v>0</v>
      </c>
      <c r="AM74" s="41">
        <f t="shared" si="42"/>
        <v>0</v>
      </c>
      <c r="AN74" s="41" t="str">
        <f t="shared" si="43"/>
        <v/>
      </c>
      <c r="AO74" s="41">
        <f t="shared" si="44"/>
        <v>0</v>
      </c>
      <c r="AP74" s="45"/>
      <c r="AQ74" s="45"/>
      <c r="AR74" s="48"/>
      <c r="AS74" s="48"/>
      <c r="AT74" s="51">
        <f t="shared" si="53"/>
        <v>70</v>
      </c>
      <c r="AU74" s="49" t="str">
        <f t="shared" si="54"/>
        <v/>
      </c>
      <c r="AV74" s="49" t="str">
        <f t="shared" si="55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1.8030531359841701E-3</v>
      </c>
      <c r="C75">
        <f t="shared" si="30"/>
        <v>1.6948699478251197E-3</v>
      </c>
      <c r="D75" s="60"/>
      <c r="E75" s="5"/>
      <c r="F75" s="5"/>
      <c r="I75" s="51"/>
      <c r="J75" s="41"/>
      <c r="K75" s="41" t="str">
        <f t="shared" si="56"/>
        <v/>
      </c>
      <c r="L75" s="42" t="str">
        <f t="shared" si="57"/>
        <v/>
      </c>
      <c r="M75" s="41" t="str">
        <f t="shared" si="58"/>
        <v/>
      </c>
      <c r="N75" s="43">
        <f t="shared" si="31"/>
        <v>0</v>
      </c>
      <c r="O75" s="44">
        <f t="shared" si="32"/>
        <v>0</v>
      </c>
      <c r="P75" s="41" t="str">
        <f t="shared" si="33"/>
        <v/>
      </c>
      <c r="Q75" s="41" t="str">
        <f t="shared" si="34"/>
        <v/>
      </c>
      <c r="R75" s="44"/>
      <c r="S75" s="44" t="str">
        <f>IF(I75&lt;&gt;"",_xlfn.XLOOKUP($D$4+I75,$A$26:$A$145,$B$26:$B$145,0) * 1000,"")</f>
        <v/>
      </c>
      <c r="T75" s="52">
        <f t="shared" si="29"/>
        <v>0</v>
      </c>
      <c r="U75" s="53" t="str">
        <f t="shared" si="45"/>
        <v/>
      </c>
      <c r="V75" s="53" t="str">
        <f t="shared" si="46"/>
        <v/>
      </c>
      <c r="W75" s="53" t="str">
        <f t="shared" si="47"/>
        <v/>
      </c>
      <c r="X75" s="46" t="str">
        <f t="shared" si="35"/>
        <v/>
      </c>
      <c r="Y75" s="54"/>
      <c r="Z75" s="41" t="str">
        <f t="shared" si="48"/>
        <v/>
      </c>
      <c r="AA75" s="41" t="str">
        <f t="shared" si="49"/>
        <v/>
      </c>
      <c r="AB75" s="41" t="str">
        <f t="shared" si="36"/>
        <v/>
      </c>
      <c r="AC75" s="41" t="str">
        <f t="shared" si="37"/>
        <v/>
      </c>
      <c r="AD75" s="54"/>
      <c r="AE75" s="41" t="str">
        <f t="shared" si="38"/>
        <v/>
      </c>
      <c r="AF75" s="41"/>
      <c r="AG75" s="41" t="str">
        <f t="shared" si="39"/>
        <v/>
      </c>
      <c r="AH75" s="41" t="str">
        <f t="shared" si="50"/>
        <v/>
      </c>
      <c r="AI75" s="41" t="str">
        <f t="shared" si="51"/>
        <v/>
      </c>
      <c r="AJ75" s="41">
        <f t="shared" si="40"/>
        <v>0</v>
      </c>
      <c r="AK75" s="41" t="str">
        <f t="shared" si="41"/>
        <v/>
      </c>
      <c r="AL75" s="41">
        <f t="shared" si="52"/>
        <v>0</v>
      </c>
      <c r="AM75" s="41">
        <f t="shared" si="42"/>
        <v>0</v>
      </c>
      <c r="AN75" s="41" t="str">
        <f t="shared" si="43"/>
        <v/>
      </c>
      <c r="AO75" s="41">
        <f t="shared" si="44"/>
        <v>0</v>
      </c>
      <c r="AP75" s="45"/>
      <c r="AQ75" s="45"/>
      <c r="AR75" s="48"/>
      <c r="AS75" s="48"/>
      <c r="AT75" s="51">
        <f t="shared" si="53"/>
        <v>71</v>
      </c>
      <c r="AU75" s="49" t="str">
        <f t="shared" si="54"/>
        <v/>
      </c>
      <c r="AV75" s="49" t="str">
        <f t="shared" si="55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1.9682405952570199E-3</v>
      </c>
      <c r="C76">
        <f t="shared" si="30"/>
        <v>1.8501461595415987E-3</v>
      </c>
      <c r="D76" s="60"/>
      <c r="E76" s="5"/>
      <c r="F76" s="5"/>
      <c r="I76" s="51"/>
      <c r="J76" s="41"/>
      <c r="K76" s="41" t="str">
        <f t="shared" si="56"/>
        <v/>
      </c>
      <c r="L76" s="42" t="str">
        <f t="shared" si="57"/>
        <v/>
      </c>
      <c r="M76" s="41" t="str">
        <f t="shared" si="58"/>
        <v/>
      </c>
      <c r="N76" s="43">
        <f t="shared" si="31"/>
        <v>0</v>
      </c>
      <c r="O76" s="44">
        <f t="shared" si="32"/>
        <v>0</v>
      </c>
      <c r="P76" s="41" t="str">
        <f t="shared" si="33"/>
        <v/>
      </c>
      <c r="Q76" s="41" t="str">
        <f t="shared" si="34"/>
        <v/>
      </c>
      <c r="R76" s="44"/>
      <c r="S76" s="44" t="str">
        <f>IF(I76&lt;&gt;"",_xlfn.XLOOKUP($D$4+I76,$A$26:$A$145,$B$26:$B$145,0) * 1000,"")</f>
        <v/>
      </c>
      <c r="T76" s="52">
        <f t="shared" si="29"/>
        <v>0</v>
      </c>
      <c r="U76" s="53" t="str">
        <f t="shared" si="45"/>
        <v/>
      </c>
      <c r="V76" s="53" t="str">
        <f t="shared" si="46"/>
        <v/>
      </c>
      <c r="W76" s="53" t="str">
        <f t="shared" si="47"/>
        <v/>
      </c>
      <c r="X76" s="46" t="str">
        <f t="shared" si="35"/>
        <v/>
      </c>
      <c r="Y76" s="54"/>
      <c r="Z76" s="41" t="str">
        <f t="shared" si="48"/>
        <v/>
      </c>
      <c r="AA76" s="41" t="str">
        <f t="shared" si="49"/>
        <v/>
      </c>
      <c r="AB76" s="41" t="str">
        <f t="shared" si="36"/>
        <v/>
      </c>
      <c r="AC76" s="41" t="str">
        <f t="shared" si="37"/>
        <v/>
      </c>
      <c r="AD76" s="54"/>
      <c r="AE76" s="41" t="str">
        <f t="shared" si="38"/>
        <v/>
      </c>
      <c r="AF76" s="41"/>
      <c r="AG76" s="41" t="str">
        <f t="shared" si="39"/>
        <v/>
      </c>
      <c r="AH76" s="41" t="str">
        <f t="shared" si="50"/>
        <v/>
      </c>
      <c r="AI76" s="41" t="str">
        <f t="shared" si="51"/>
        <v/>
      </c>
      <c r="AJ76" s="41">
        <f t="shared" si="40"/>
        <v>0</v>
      </c>
      <c r="AK76" s="41" t="str">
        <f t="shared" si="41"/>
        <v/>
      </c>
      <c r="AL76" s="41">
        <f t="shared" si="52"/>
        <v>0</v>
      </c>
      <c r="AM76" s="41">
        <f t="shared" si="42"/>
        <v>0</v>
      </c>
      <c r="AN76" s="41" t="str">
        <f t="shared" si="43"/>
        <v/>
      </c>
      <c r="AO76" s="41">
        <f t="shared" si="44"/>
        <v>0</v>
      </c>
      <c r="AP76" s="45"/>
      <c r="AQ76" s="45"/>
      <c r="AR76" s="48"/>
      <c r="AS76" s="48"/>
      <c r="AT76" s="51">
        <f t="shared" si="53"/>
        <v>72</v>
      </c>
      <c r="AU76" s="49" t="str">
        <f t="shared" si="54"/>
        <v/>
      </c>
      <c r="AV76" s="49" t="str">
        <f t="shared" si="55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2.1584281214596102E-3</v>
      </c>
      <c r="C77">
        <f t="shared" si="30"/>
        <v>2.0289224341720332E-3</v>
      </c>
      <c r="D77" s="60"/>
      <c r="E77" s="5"/>
      <c r="F77" s="5"/>
      <c r="I77" s="51"/>
      <c r="J77" s="41"/>
      <c r="K77" s="41" t="str">
        <f t="shared" si="56"/>
        <v/>
      </c>
      <c r="L77" s="42" t="str">
        <f t="shared" si="57"/>
        <v/>
      </c>
      <c r="M77" s="41" t="str">
        <f t="shared" si="58"/>
        <v/>
      </c>
      <c r="N77" s="43">
        <f t="shared" si="31"/>
        <v>0</v>
      </c>
      <c r="O77" s="44">
        <f t="shared" si="32"/>
        <v>0</v>
      </c>
      <c r="P77" s="41" t="str">
        <f t="shared" si="33"/>
        <v/>
      </c>
      <c r="Q77" s="41" t="str">
        <f t="shared" si="34"/>
        <v/>
      </c>
      <c r="R77" s="44"/>
      <c r="S77" s="44" t="str">
        <f>IF(I77&lt;&gt;"",_xlfn.XLOOKUP($D$4+I77,$A$26:$A$145,$B$26:$B$145,0) * 1000,"")</f>
        <v/>
      </c>
      <c r="T77" s="52">
        <f t="shared" si="29"/>
        <v>0</v>
      </c>
      <c r="U77" s="53" t="str">
        <f t="shared" si="45"/>
        <v/>
      </c>
      <c r="V77" s="53" t="str">
        <f t="shared" si="46"/>
        <v/>
      </c>
      <c r="W77" s="53" t="str">
        <f t="shared" si="47"/>
        <v/>
      </c>
      <c r="X77" s="46" t="str">
        <f t="shared" si="35"/>
        <v/>
      </c>
      <c r="Y77" s="54"/>
      <c r="Z77" s="41" t="str">
        <f t="shared" si="48"/>
        <v/>
      </c>
      <c r="AA77" s="41" t="str">
        <f t="shared" si="49"/>
        <v/>
      </c>
      <c r="AB77" s="41" t="str">
        <f t="shared" si="36"/>
        <v/>
      </c>
      <c r="AC77" s="41" t="str">
        <f t="shared" si="37"/>
        <v/>
      </c>
      <c r="AD77" s="54"/>
      <c r="AE77" s="41" t="str">
        <f t="shared" si="38"/>
        <v/>
      </c>
      <c r="AF77" s="41"/>
      <c r="AG77" s="41" t="str">
        <f t="shared" si="39"/>
        <v/>
      </c>
      <c r="AH77" s="41" t="str">
        <f t="shared" si="50"/>
        <v/>
      </c>
      <c r="AI77" s="41" t="str">
        <f t="shared" si="51"/>
        <v/>
      </c>
      <c r="AJ77" s="41">
        <f t="shared" si="40"/>
        <v>0</v>
      </c>
      <c r="AK77" s="41" t="str">
        <f t="shared" si="41"/>
        <v/>
      </c>
      <c r="AL77" s="41">
        <f t="shared" si="52"/>
        <v>0</v>
      </c>
      <c r="AM77" s="41">
        <f t="shared" si="42"/>
        <v>0</v>
      </c>
      <c r="AN77" s="41" t="str">
        <f t="shared" si="43"/>
        <v/>
      </c>
      <c r="AO77" s="41">
        <f t="shared" si="44"/>
        <v>0</v>
      </c>
      <c r="AP77" s="45"/>
      <c r="AQ77" s="45"/>
      <c r="AR77" s="48"/>
      <c r="AS77" s="48"/>
      <c r="AT77" s="51">
        <f t="shared" si="53"/>
        <v>73</v>
      </c>
      <c r="AU77" s="49" t="str">
        <f t="shared" si="54"/>
        <v/>
      </c>
      <c r="AV77" s="49" t="str">
        <f t="shared" si="55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2.3755537608656199E-3</v>
      </c>
      <c r="C78">
        <f t="shared" si="30"/>
        <v>2.2330205352136825E-3</v>
      </c>
      <c r="D78" s="60"/>
      <c r="E78" s="5"/>
      <c r="F78" s="5"/>
      <c r="I78" s="51"/>
      <c r="J78" s="41"/>
      <c r="K78" s="41" t="str">
        <f t="shared" si="56"/>
        <v/>
      </c>
      <c r="L78" s="42" t="str">
        <f t="shared" si="57"/>
        <v/>
      </c>
      <c r="M78" s="41" t="str">
        <f t="shared" si="58"/>
        <v/>
      </c>
      <c r="N78" s="43">
        <f>AX78</f>
        <v>0</v>
      </c>
      <c r="O78" s="44">
        <f t="shared" si="32"/>
        <v>0</v>
      </c>
      <c r="P78" s="41" t="str">
        <f t="shared" si="33"/>
        <v/>
      </c>
      <c r="Q78" s="41" t="str">
        <f t="shared" si="34"/>
        <v/>
      </c>
      <c r="R78" s="44"/>
      <c r="S78" s="44" t="str">
        <f>IF(I78&lt;&gt;"",_xlfn.XLOOKUP($D$4+I78,$A$26:$A$145,$B$26:$B$145,0) * 1000,"")</f>
        <v/>
      </c>
      <c r="T78" s="52">
        <f t="shared" si="29"/>
        <v>0</v>
      </c>
      <c r="U78" s="53" t="str">
        <f t="shared" si="45"/>
        <v/>
      </c>
      <c r="V78" s="53" t="str">
        <f t="shared" si="46"/>
        <v/>
      </c>
      <c r="W78" s="53" t="str">
        <f t="shared" si="47"/>
        <v/>
      </c>
      <c r="X78" s="46" t="str">
        <f t="shared" si="35"/>
        <v/>
      </c>
      <c r="Y78" s="54"/>
      <c r="Z78" s="41" t="str">
        <f t="shared" si="48"/>
        <v/>
      </c>
      <c r="AA78" s="41" t="str">
        <f t="shared" si="49"/>
        <v/>
      </c>
      <c r="AB78" s="41" t="str">
        <f t="shared" si="36"/>
        <v/>
      </c>
      <c r="AC78" s="41" t="str">
        <f t="shared" si="37"/>
        <v/>
      </c>
      <c r="AD78" s="54"/>
      <c r="AE78" s="41" t="str">
        <f t="shared" si="38"/>
        <v/>
      </c>
      <c r="AF78" s="41"/>
      <c r="AG78" s="41" t="str">
        <f t="shared" si="39"/>
        <v/>
      </c>
      <c r="AH78" s="41" t="str">
        <f t="shared" si="50"/>
        <v/>
      </c>
      <c r="AI78" s="41" t="str">
        <f t="shared" si="51"/>
        <v/>
      </c>
      <c r="AJ78" s="41">
        <f t="shared" si="40"/>
        <v>0</v>
      </c>
      <c r="AK78" s="41" t="str">
        <f t="shared" si="41"/>
        <v/>
      </c>
      <c r="AL78" s="41">
        <f t="shared" si="52"/>
        <v>0</v>
      </c>
      <c r="AM78" s="41">
        <f t="shared" si="42"/>
        <v>0</v>
      </c>
      <c r="AN78" s="41" t="str">
        <f t="shared" si="43"/>
        <v/>
      </c>
      <c r="AO78" s="41">
        <f t="shared" si="44"/>
        <v>0</v>
      </c>
      <c r="AP78" s="45"/>
      <c r="AQ78" s="45"/>
      <c r="AR78" s="48"/>
      <c r="AS78" s="48"/>
      <c r="AT78" s="51">
        <f t="shared" si="53"/>
        <v>74</v>
      </c>
      <c r="AU78" s="49" t="str">
        <f t="shared" si="54"/>
        <v/>
      </c>
      <c r="AV78" s="49" t="str">
        <f t="shared" si="55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2.6150297236990899E-3</v>
      </c>
      <c r="C79">
        <f t="shared" si="30"/>
        <v>2.4581279402771444E-3</v>
      </c>
      <c r="D79" s="60"/>
      <c r="E79" s="5"/>
      <c r="F79" s="5"/>
      <c r="I79" s="51"/>
      <c r="J79" s="41"/>
      <c r="K79" s="41" t="str">
        <f t="shared" si="56"/>
        <v/>
      </c>
      <c r="L79" s="42" t="str">
        <f t="shared" si="57"/>
        <v/>
      </c>
      <c r="M79" s="41" t="str">
        <f t="shared" si="58"/>
        <v/>
      </c>
      <c r="N79" s="43">
        <f t="shared" si="31"/>
        <v>0</v>
      </c>
      <c r="O79" s="44">
        <f t="shared" si="32"/>
        <v>0</v>
      </c>
      <c r="P79" s="41" t="str">
        <f t="shared" si="33"/>
        <v/>
      </c>
      <c r="Q79" s="41" t="str">
        <f t="shared" si="34"/>
        <v/>
      </c>
      <c r="R79" s="44"/>
      <c r="S79" s="44" t="str">
        <f>IF(I79&lt;&gt;"",_xlfn.XLOOKUP($D$4+I79,$A$26:$A$145,$B$26:$B$145,0) * 1000,"")</f>
        <v/>
      </c>
      <c r="T79" s="52">
        <f t="shared" si="29"/>
        <v>0</v>
      </c>
      <c r="U79" s="53" t="str">
        <f t="shared" si="45"/>
        <v/>
      </c>
      <c r="V79" s="53" t="str">
        <f t="shared" si="46"/>
        <v/>
      </c>
      <c r="W79" s="53" t="str">
        <f t="shared" si="47"/>
        <v/>
      </c>
      <c r="X79" s="46" t="str">
        <f t="shared" si="35"/>
        <v/>
      </c>
      <c r="Y79" s="54"/>
      <c r="Z79" s="41" t="str">
        <f t="shared" si="48"/>
        <v/>
      </c>
      <c r="AA79" s="41" t="str">
        <f t="shared" si="49"/>
        <v/>
      </c>
      <c r="AB79" s="41" t="str">
        <f t="shared" si="36"/>
        <v/>
      </c>
      <c r="AC79" s="41" t="str">
        <f t="shared" si="37"/>
        <v/>
      </c>
      <c r="AD79" s="54"/>
      <c r="AE79" s="41" t="str">
        <f t="shared" si="38"/>
        <v/>
      </c>
      <c r="AF79" s="41"/>
      <c r="AG79" s="41" t="str">
        <f t="shared" si="39"/>
        <v/>
      </c>
      <c r="AH79" s="41" t="str">
        <f t="shared" si="50"/>
        <v/>
      </c>
      <c r="AI79" s="41" t="str">
        <f t="shared" si="51"/>
        <v/>
      </c>
      <c r="AJ79" s="41">
        <f t="shared" si="40"/>
        <v>0</v>
      </c>
      <c r="AK79" s="41" t="str">
        <f t="shared" si="41"/>
        <v/>
      </c>
      <c r="AL79" s="41">
        <f t="shared" si="52"/>
        <v>0</v>
      </c>
      <c r="AM79" s="41">
        <f t="shared" si="42"/>
        <v>0</v>
      </c>
      <c r="AN79" s="41" t="str">
        <f t="shared" si="43"/>
        <v/>
      </c>
      <c r="AO79" s="41">
        <f>SUM(AM79:AN79)</f>
        <v>0</v>
      </c>
      <c r="AP79" s="45"/>
      <c r="AQ79" s="45"/>
      <c r="AR79" s="48"/>
      <c r="AS79" s="48"/>
      <c r="AT79" s="51">
        <f t="shared" si="53"/>
        <v>75</v>
      </c>
      <c r="AU79" s="49" t="str">
        <f t="shared" si="54"/>
        <v/>
      </c>
      <c r="AV79" s="49" t="str">
        <f t="shared" si="55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2.8877967769773698E-3</v>
      </c>
      <c r="C80">
        <f t="shared" si="30"/>
        <v>2.7145289703587273E-3</v>
      </c>
      <c r="D80" s="60"/>
      <c r="E80" s="5"/>
      <c r="F80" s="5"/>
      <c r="I80" s="51"/>
      <c r="J80" s="41"/>
      <c r="K80" s="41" t="str">
        <f t="shared" si="56"/>
        <v/>
      </c>
      <c r="L80" s="42" t="str">
        <f t="shared" si="57"/>
        <v/>
      </c>
      <c r="M80" s="41" t="str">
        <f t="shared" si="58"/>
        <v/>
      </c>
      <c r="N80" s="43">
        <f t="shared" si="31"/>
        <v>0</v>
      </c>
      <c r="O80" s="44">
        <f t="shared" si="32"/>
        <v>0</v>
      </c>
      <c r="P80" s="41" t="str">
        <f t="shared" si="33"/>
        <v/>
      </c>
      <c r="Q80" s="41" t="str">
        <f t="shared" si="34"/>
        <v/>
      </c>
      <c r="R80" s="45"/>
      <c r="S80" s="44" t="str">
        <f>IF(I80&lt;&gt;"",_xlfn.XLOOKUP($D$4+I80,$A$26:$A$145,$B$26:$B$145,0) * 1000,"")</f>
        <v/>
      </c>
      <c r="T80" s="52">
        <f t="shared" si="29"/>
        <v>0</v>
      </c>
      <c r="U80" s="53" t="str">
        <f t="shared" si="45"/>
        <v/>
      </c>
      <c r="V80" s="53" t="str">
        <f t="shared" si="46"/>
        <v/>
      </c>
      <c r="W80" s="53" t="str">
        <f t="shared" si="47"/>
        <v/>
      </c>
      <c r="X80" s="46" t="str">
        <f t="shared" si="35"/>
        <v/>
      </c>
      <c r="Y80" s="45"/>
      <c r="Z80" s="41" t="str">
        <f t="shared" si="48"/>
        <v/>
      </c>
      <c r="AA80" s="41" t="str">
        <f t="shared" si="49"/>
        <v/>
      </c>
      <c r="AB80" s="41" t="str">
        <f t="shared" si="36"/>
        <v/>
      </c>
      <c r="AC80" s="41" t="str">
        <f t="shared" si="37"/>
        <v/>
      </c>
      <c r="AD80" s="45"/>
      <c r="AE80" s="41" t="str">
        <f t="shared" si="38"/>
        <v/>
      </c>
      <c r="AF80" s="41"/>
      <c r="AG80" s="41" t="str">
        <f t="shared" si="39"/>
        <v/>
      </c>
      <c r="AH80" s="41" t="str">
        <f t="shared" si="50"/>
        <v/>
      </c>
      <c r="AI80" s="41" t="str">
        <f t="shared" si="51"/>
        <v/>
      </c>
      <c r="AJ80" s="41">
        <f t="shared" si="40"/>
        <v>0</v>
      </c>
      <c r="AK80" s="41" t="str">
        <f t="shared" si="41"/>
        <v/>
      </c>
      <c r="AL80" s="41">
        <f t="shared" si="52"/>
        <v>0</v>
      </c>
      <c r="AM80" s="41">
        <f t="shared" si="42"/>
        <v>0</v>
      </c>
      <c r="AN80" s="41" t="str">
        <f t="shared" si="43"/>
        <v/>
      </c>
      <c r="AO80" s="41">
        <f t="shared" ref="AO80:AO124" si="59">SUM(AM80:AN80)</f>
        <v>0</v>
      </c>
      <c r="AP80" s="45"/>
      <c r="AQ80" s="48"/>
      <c r="AR80" s="48"/>
      <c r="AS80" s="48"/>
      <c r="AT80" s="51">
        <f t="shared" si="53"/>
        <v>76</v>
      </c>
      <c r="AU80" s="49" t="str">
        <f t="shared" si="54"/>
        <v/>
      </c>
      <c r="AV80" s="49" t="str">
        <f t="shared" si="55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3.0466020210716499E-3</v>
      </c>
      <c r="C81">
        <f t="shared" si="30"/>
        <v>2.8638058998073507E-3</v>
      </c>
      <c r="D81" s="60"/>
      <c r="E81" s="5"/>
      <c r="F81" s="5"/>
      <c r="I81" s="51"/>
      <c r="J81" s="41"/>
      <c r="K81" s="41" t="str">
        <f t="shared" si="56"/>
        <v/>
      </c>
      <c r="L81" s="42" t="str">
        <f t="shared" si="57"/>
        <v/>
      </c>
      <c r="M81" s="41" t="str">
        <f t="shared" si="58"/>
        <v/>
      </c>
      <c r="N81" s="43">
        <f t="shared" si="31"/>
        <v>0</v>
      </c>
      <c r="O81" s="44">
        <f t="shared" si="32"/>
        <v>0</v>
      </c>
      <c r="P81" s="41" t="str">
        <f t="shared" si="33"/>
        <v/>
      </c>
      <c r="Q81" s="41" t="str">
        <f t="shared" si="34"/>
        <v/>
      </c>
      <c r="R81" s="45"/>
      <c r="S81" s="44" t="str">
        <f>IF(I81&lt;&gt;"",_xlfn.XLOOKUP($D$4+I81,$A$26:$A$145,$B$26:$B$145,0) * 1000,"")</f>
        <v/>
      </c>
      <c r="T81" s="52">
        <f t="shared" ref="T81:T124" si="60">$C$13</f>
        <v>0</v>
      </c>
      <c r="U81" s="53" t="str">
        <f t="shared" si="45"/>
        <v/>
      </c>
      <c r="V81" s="53" t="str">
        <f t="shared" si="46"/>
        <v/>
      </c>
      <c r="W81" s="53" t="str">
        <f t="shared" si="47"/>
        <v/>
      </c>
      <c r="X81" s="46" t="str">
        <f t="shared" si="35"/>
        <v/>
      </c>
      <c r="Y81" s="45"/>
      <c r="Z81" s="41" t="str">
        <f t="shared" si="48"/>
        <v/>
      </c>
      <c r="AA81" s="41" t="str">
        <f t="shared" si="49"/>
        <v/>
      </c>
      <c r="AB81" s="41" t="str">
        <f t="shared" si="36"/>
        <v/>
      </c>
      <c r="AC81" s="41" t="str">
        <f t="shared" si="37"/>
        <v/>
      </c>
      <c r="AD81" s="48"/>
      <c r="AE81" s="41" t="str">
        <f t="shared" si="38"/>
        <v/>
      </c>
      <c r="AF81" s="41"/>
      <c r="AG81" s="41" t="str">
        <f t="shared" si="39"/>
        <v/>
      </c>
      <c r="AH81" s="41" t="str">
        <f t="shared" si="50"/>
        <v/>
      </c>
      <c r="AI81" s="41" t="str">
        <f t="shared" si="51"/>
        <v/>
      </c>
      <c r="AJ81" s="41">
        <f t="shared" si="40"/>
        <v>0</v>
      </c>
      <c r="AK81" s="41" t="str">
        <f t="shared" si="41"/>
        <v/>
      </c>
      <c r="AL81" s="41">
        <f t="shared" si="52"/>
        <v>0</v>
      </c>
      <c r="AM81" s="41">
        <f t="shared" si="42"/>
        <v>0</v>
      </c>
      <c r="AN81" s="41" t="str">
        <f t="shared" si="43"/>
        <v/>
      </c>
      <c r="AO81" s="41">
        <f t="shared" si="59"/>
        <v>0</v>
      </c>
      <c r="AP81" s="45"/>
      <c r="AQ81" s="48"/>
      <c r="AR81" s="48"/>
      <c r="AS81" s="48"/>
      <c r="AT81" s="51">
        <f t="shared" si="53"/>
        <v>77</v>
      </c>
      <c r="AU81" s="49" t="str">
        <f t="shared" si="54"/>
        <v/>
      </c>
      <c r="AV81" s="49" t="str">
        <f t="shared" si="55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3.3538940999473499E-3</v>
      </c>
      <c r="C82">
        <f t="shared" si="30"/>
        <v>3.152660453950509E-3</v>
      </c>
      <c r="D82" s="60"/>
      <c r="E82" s="5"/>
      <c r="F82" s="5"/>
      <c r="I82" s="51"/>
      <c r="J82" s="41"/>
      <c r="K82" s="41" t="str">
        <f t="shared" si="56"/>
        <v/>
      </c>
      <c r="L82" s="42" t="str">
        <f t="shared" si="57"/>
        <v/>
      </c>
      <c r="M82" s="41" t="str">
        <f t="shared" si="58"/>
        <v/>
      </c>
      <c r="N82" s="43">
        <f t="shared" si="31"/>
        <v>0</v>
      </c>
      <c r="O82" s="44">
        <f t="shared" si="32"/>
        <v>0</v>
      </c>
      <c r="P82" s="41" t="str">
        <f t="shared" si="33"/>
        <v/>
      </c>
      <c r="Q82" s="41" t="str">
        <f t="shared" si="34"/>
        <v/>
      </c>
      <c r="R82" s="45"/>
      <c r="S82" s="44" t="str">
        <f>IF(I82&lt;&gt;"",_xlfn.XLOOKUP($D$4+I82,$A$26:$A$145,$B$26:$B$145,0) * 1000,"")</f>
        <v/>
      </c>
      <c r="T82" s="52">
        <f t="shared" si="60"/>
        <v>0</v>
      </c>
      <c r="U82" s="53" t="str">
        <f t="shared" si="45"/>
        <v/>
      </c>
      <c r="V82" s="53" t="str">
        <f t="shared" si="46"/>
        <v/>
      </c>
      <c r="W82" s="53" t="str">
        <f t="shared" si="47"/>
        <v/>
      </c>
      <c r="X82" s="46" t="str">
        <f t="shared" si="35"/>
        <v/>
      </c>
      <c r="Y82" s="45"/>
      <c r="Z82" s="41" t="str">
        <f t="shared" si="48"/>
        <v/>
      </c>
      <c r="AA82" s="41" t="str">
        <f t="shared" si="49"/>
        <v/>
      </c>
      <c r="AB82" s="41" t="str">
        <f t="shared" si="36"/>
        <v/>
      </c>
      <c r="AC82" s="41" t="str">
        <f t="shared" si="37"/>
        <v/>
      </c>
      <c r="AD82" s="48"/>
      <c r="AE82" s="41" t="str">
        <f t="shared" si="38"/>
        <v/>
      </c>
      <c r="AF82" s="41"/>
      <c r="AG82" s="41" t="str">
        <f t="shared" si="39"/>
        <v/>
      </c>
      <c r="AH82" s="41" t="str">
        <f t="shared" si="50"/>
        <v/>
      </c>
      <c r="AI82" s="41" t="str">
        <f t="shared" si="51"/>
        <v/>
      </c>
      <c r="AJ82" s="41">
        <f t="shared" si="40"/>
        <v>0</v>
      </c>
      <c r="AK82" s="41" t="str">
        <f t="shared" si="41"/>
        <v/>
      </c>
      <c r="AL82" s="41">
        <f t="shared" si="52"/>
        <v>0</v>
      </c>
      <c r="AM82" s="41">
        <f t="shared" si="42"/>
        <v>0</v>
      </c>
      <c r="AN82" s="41" t="str">
        <f t="shared" si="43"/>
        <v/>
      </c>
      <c r="AO82" s="41">
        <f t="shared" si="59"/>
        <v>0</v>
      </c>
      <c r="AP82" s="45"/>
      <c r="AQ82" s="48"/>
      <c r="AR82" s="48"/>
      <c r="AS82" s="48"/>
      <c r="AT82" s="51">
        <f t="shared" si="53"/>
        <v>78</v>
      </c>
      <c r="AU82" s="49" t="str">
        <f t="shared" si="54"/>
        <v/>
      </c>
      <c r="AV82" s="49" t="str">
        <f t="shared" si="55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3.6827136734958201E-3</v>
      </c>
      <c r="C83">
        <f t="shared" si="30"/>
        <v>3.4617508530860705E-3</v>
      </c>
      <c r="D83" s="60"/>
      <c r="E83" s="5"/>
      <c r="F83" s="5"/>
      <c r="I83" s="51"/>
      <c r="J83" s="41"/>
      <c r="K83" s="41" t="str">
        <f t="shared" si="56"/>
        <v/>
      </c>
      <c r="L83" s="42" t="str">
        <f t="shared" si="57"/>
        <v/>
      </c>
      <c r="M83" s="41" t="str">
        <f t="shared" si="58"/>
        <v/>
      </c>
      <c r="N83" s="43">
        <f t="shared" si="31"/>
        <v>0</v>
      </c>
      <c r="O83" s="44">
        <f t="shared" si="32"/>
        <v>0</v>
      </c>
      <c r="P83" s="41" t="str">
        <f t="shared" si="33"/>
        <v/>
      </c>
      <c r="Q83" s="41" t="str">
        <f t="shared" si="34"/>
        <v/>
      </c>
      <c r="R83" s="45"/>
      <c r="S83" s="44" t="str">
        <f>IF(I83&lt;&gt;"",_xlfn.XLOOKUP($D$4+I83,$A$26:$A$145,$B$26:$B$145,0) * 1000,"")</f>
        <v/>
      </c>
      <c r="T83" s="52">
        <f t="shared" si="60"/>
        <v>0</v>
      </c>
      <c r="U83" s="53" t="str">
        <f t="shared" si="45"/>
        <v/>
      </c>
      <c r="V83" s="53" t="str">
        <f t="shared" si="46"/>
        <v/>
      </c>
      <c r="W83" s="53" t="str">
        <f t="shared" si="47"/>
        <v/>
      </c>
      <c r="X83" s="46" t="str">
        <f t="shared" si="35"/>
        <v/>
      </c>
      <c r="Y83" s="45"/>
      <c r="Z83" s="41" t="str">
        <f t="shared" si="48"/>
        <v/>
      </c>
      <c r="AA83" s="41" t="str">
        <f t="shared" si="49"/>
        <v/>
      </c>
      <c r="AB83" s="41" t="str">
        <f t="shared" si="36"/>
        <v/>
      </c>
      <c r="AC83" s="41" t="str">
        <f t="shared" si="37"/>
        <v/>
      </c>
      <c r="AD83" s="48"/>
      <c r="AE83" s="41" t="str">
        <f t="shared" si="38"/>
        <v/>
      </c>
      <c r="AF83" s="41"/>
      <c r="AG83" s="41" t="str">
        <f t="shared" si="39"/>
        <v/>
      </c>
      <c r="AH83" s="41" t="str">
        <f t="shared" si="50"/>
        <v/>
      </c>
      <c r="AI83" s="41" t="str">
        <f t="shared" si="51"/>
        <v/>
      </c>
      <c r="AJ83" s="41">
        <f t="shared" si="40"/>
        <v>0</v>
      </c>
      <c r="AK83" s="41" t="str">
        <f t="shared" si="41"/>
        <v/>
      </c>
      <c r="AL83" s="41">
        <f t="shared" si="52"/>
        <v>0</v>
      </c>
      <c r="AM83" s="41">
        <f t="shared" si="42"/>
        <v>0</v>
      </c>
      <c r="AN83" s="41" t="str">
        <f t="shared" si="43"/>
        <v/>
      </c>
      <c r="AO83" s="41">
        <f t="shared" si="59"/>
        <v>0</v>
      </c>
      <c r="AP83" s="45"/>
      <c r="AQ83" s="48"/>
      <c r="AR83" s="48"/>
      <c r="AS83" s="48"/>
      <c r="AT83" s="51">
        <f t="shared" si="53"/>
        <v>79</v>
      </c>
      <c r="AU83" s="49" t="str">
        <f t="shared" si="54"/>
        <v/>
      </c>
      <c r="AV83" s="49" t="str">
        <f t="shared" si="55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4.0445609239698798E-3</v>
      </c>
      <c r="C84">
        <f t="shared" si="30"/>
        <v>3.8018872685316868E-3</v>
      </c>
      <c r="D84" s="60"/>
      <c r="E84" s="5"/>
      <c r="F84" s="5"/>
      <c r="I84" s="51"/>
      <c r="J84" s="41"/>
      <c r="K84" s="41" t="str">
        <f t="shared" si="56"/>
        <v/>
      </c>
      <c r="L84" s="42" t="str">
        <f t="shared" si="57"/>
        <v/>
      </c>
      <c r="M84" s="41" t="str">
        <f t="shared" si="58"/>
        <v/>
      </c>
      <c r="N84" s="43">
        <f t="shared" si="31"/>
        <v>0</v>
      </c>
      <c r="O84" s="44">
        <f t="shared" si="32"/>
        <v>0</v>
      </c>
      <c r="P84" s="41" t="str">
        <f t="shared" si="33"/>
        <v/>
      </c>
      <c r="Q84" s="41" t="str">
        <f t="shared" si="34"/>
        <v/>
      </c>
      <c r="R84" s="45"/>
      <c r="S84" s="44" t="str">
        <f>IF(I84&lt;&gt;"",_xlfn.XLOOKUP($D$4+I84,$A$26:$A$145,$B$26:$B$145,0) * 1000,"")</f>
        <v/>
      </c>
      <c r="T84" s="52">
        <f t="shared" si="60"/>
        <v>0</v>
      </c>
      <c r="U84" s="53" t="str">
        <f t="shared" si="45"/>
        <v/>
      </c>
      <c r="V84" s="53" t="str">
        <f t="shared" si="46"/>
        <v/>
      </c>
      <c r="W84" s="53" t="str">
        <f t="shared" si="47"/>
        <v/>
      </c>
      <c r="X84" s="46" t="str">
        <f t="shared" si="35"/>
        <v/>
      </c>
      <c r="Y84" s="45"/>
      <c r="Z84" s="41" t="str">
        <f t="shared" si="48"/>
        <v/>
      </c>
      <c r="AA84" s="41" t="str">
        <f t="shared" si="49"/>
        <v/>
      </c>
      <c r="AB84" s="41" t="str">
        <f t="shared" si="36"/>
        <v/>
      </c>
      <c r="AC84" s="41" t="str">
        <f t="shared" si="37"/>
        <v/>
      </c>
      <c r="AD84" s="48"/>
      <c r="AE84" s="41" t="str">
        <f t="shared" si="38"/>
        <v/>
      </c>
      <c r="AF84" s="41"/>
      <c r="AG84" s="41" t="str">
        <f t="shared" si="39"/>
        <v/>
      </c>
      <c r="AH84" s="41" t="str">
        <f t="shared" si="50"/>
        <v/>
      </c>
      <c r="AI84" s="41" t="str">
        <f t="shared" si="51"/>
        <v/>
      </c>
      <c r="AJ84" s="41">
        <f t="shared" si="40"/>
        <v>0</v>
      </c>
      <c r="AK84" s="41" t="str">
        <f t="shared" si="41"/>
        <v/>
      </c>
      <c r="AL84" s="41">
        <f t="shared" si="52"/>
        <v>0</v>
      </c>
      <c r="AM84" s="41">
        <f t="shared" si="42"/>
        <v>0</v>
      </c>
      <c r="AN84" s="41" t="str">
        <f t="shared" si="43"/>
        <v/>
      </c>
      <c r="AO84" s="41">
        <f t="shared" si="59"/>
        <v>0</v>
      </c>
      <c r="AP84" s="45"/>
      <c r="AQ84" s="48"/>
      <c r="AR84" s="48"/>
      <c r="AS84" s="48"/>
      <c r="AT84" s="51">
        <f t="shared" si="53"/>
        <v>80</v>
      </c>
      <c r="AU84" s="49" t="str">
        <f t="shared" si="54"/>
        <v/>
      </c>
      <c r="AV84" s="49" t="str">
        <f t="shared" si="55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4.4781544617119601E-3</v>
      </c>
      <c r="C85">
        <f t="shared" si="30"/>
        <v>4.2094651940092426E-3</v>
      </c>
      <c r="D85" s="60"/>
      <c r="E85" s="5"/>
      <c r="F85" s="5"/>
      <c r="I85" s="51"/>
      <c r="J85" s="41"/>
      <c r="K85" s="41" t="str">
        <f t="shared" si="56"/>
        <v/>
      </c>
      <c r="L85" s="42" t="str">
        <f t="shared" si="57"/>
        <v/>
      </c>
      <c r="M85" s="41" t="str">
        <f t="shared" si="58"/>
        <v/>
      </c>
      <c r="N85" s="43">
        <f t="shared" si="31"/>
        <v>0</v>
      </c>
      <c r="O85" s="44">
        <f t="shared" si="32"/>
        <v>0</v>
      </c>
      <c r="P85" s="41" t="str">
        <f t="shared" si="33"/>
        <v/>
      </c>
      <c r="Q85" s="41" t="str">
        <f t="shared" si="34"/>
        <v/>
      </c>
      <c r="R85" s="45"/>
      <c r="S85" s="44" t="str">
        <f>IF(I85&lt;&gt;"",_xlfn.XLOOKUP($D$4+I85,$A$26:$A$145,$B$26:$B$145,0) * 1000,"")</f>
        <v/>
      </c>
      <c r="T85" s="52">
        <f t="shared" si="60"/>
        <v>0</v>
      </c>
      <c r="U85" s="53" t="str">
        <f t="shared" si="45"/>
        <v/>
      </c>
      <c r="V85" s="53" t="str">
        <f t="shared" si="46"/>
        <v/>
      </c>
      <c r="W85" s="53" t="str">
        <f t="shared" si="47"/>
        <v/>
      </c>
      <c r="X85" s="46" t="str">
        <f t="shared" si="35"/>
        <v/>
      </c>
      <c r="Y85" s="45"/>
      <c r="Z85" s="41" t="str">
        <f t="shared" si="48"/>
        <v/>
      </c>
      <c r="AA85" s="41" t="str">
        <f t="shared" si="49"/>
        <v/>
      </c>
      <c r="AB85" s="41" t="str">
        <f t="shared" si="36"/>
        <v/>
      </c>
      <c r="AC85" s="41" t="str">
        <f t="shared" si="37"/>
        <v/>
      </c>
      <c r="AD85" s="48"/>
      <c r="AE85" s="41" t="str">
        <f t="shared" si="38"/>
        <v/>
      </c>
      <c r="AF85" s="41"/>
      <c r="AG85" s="41" t="str">
        <f t="shared" si="39"/>
        <v/>
      </c>
      <c r="AH85" s="41" t="str">
        <f t="shared" si="50"/>
        <v/>
      </c>
      <c r="AI85" s="41" t="str">
        <f t="shared" si="51"/>
        <v/>
      </c>
      <c r="AJ85" s="41">
        <f t="shared" si="40"/>
        <v>0</v>
      </c>
      <c r="AK85" s="41" t="str">
        <f t="shared" si="41"/>
        <v/>
      </c>
      <c r="AL85" s="41">
        <f t="shared" si="52"/>
        <v>0</v>
      </c>
      <c r="AM85" s="41">
        <f t="shared" si="42"/>
        <v>0</v>
      </c>
      <c r="AN85" s="41" t="str">
        <f t="shared" si="43"/>
        <v/>
      </c>
      <c r="AO85" s="41">
        <f t="shared" si="59"/>
        <v>0</v>
      </c>
      <c r="AP85" s="45"/>
      <c r="AQ85" s="48"/>
      <c r="AR85" s="48"/>
      <c r="AS85" s="48"/>
      <c r="AT85" s="51">
        <f t="shared" si="53"/>
        <v>81</v>
      </c>
      <c r="AU85" s="49" t="str">
        <f t="shared" si="54"/>
        <v/>
      </c>
      <c r="AV85" s="49" t="str">
        <f t="shared" si="55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4.9405737105098196E-3</v>
      </c>
      <c r="C86">
        <f t="shared" si="30"/>
        <v>4.6441392878792303E-3</v>
      </c>
      <c r="D86" s="60"/>
      <c r="E86" s="5"/>
      <c r="F86" s="5"/>
      <c r="I86" s="51"/>
      <c r="J86" s="41"/>
      <c r="K86" s="41" t="str">
        <f t="shared" si="56"/>
        <v/>
      </c>
      <c r="L86" s="42" t="str">
        <f t="shared" si="57"/>
        <v/>
      </c>
      <c r="M86" s="41" t="str">
        <f t="shared" si="58"/>
        <v/>
      </c>
      <c r="N86" s="43">
        <f t="shared" si="31"/>
        <v>0</v>
      </c>
      <c r="O86" s="44">
        <f t="shared" si="32"/>
        <v>0</v>
      </c>
      <c r="P86" s="41" t="str">
        <f t="shared" si="33"/>
        <v/>
      </c>
      <c r="Q86" s="41" t="str">
        <f t="shared" si="34"/>
        <v/>
      </c>
      <c r="R86" s="45"/>
      <c r="S86" s="44" t="str">
        <f>IF(I86&lt;&gt;"",_xlfn.XLOOKUP($D$4+I86,$A$26:$A$145,$B$26:$B$145,0) * 1000,"")</f>
        <v/>
      </c>
      <c r="T86" s="52">
        <f t="shared" si="60"/>
        <v>0</v>
      </c>
      <c r="U86" s="53" t="str">
        <f t="shared" si="45"/>
        <v/>
      </c>
      <c r="V86" s="53" t="str">
        <f t="shared" si="46"/>
        <v/>
      </c>
      <c r="W86" s="53" t="str">
        <f t="shared" si="47"/>
        <v/>
      </c>
      <c r="X86" s="46" t="str">
        <f t="shared" si="35"/>
        <v/>
      </c>
      <c r="Y86" s="45"/>
      <c r="Z86" s="41" t="str">
        <f t="shared" si="48"/>
        <v/>
      </c>
      <c r="AA86" s="41" t="str">
        <f t="shared" si="49"/>
        <v/>
      </c>
      <c r="AB86" s="41" t="str">
        <f t="shared" si="36"/>
        <v/>
      </c>
      <c r="AC86" s="41" t="str">
        <f t="shared" si="37"/>
        <v/>
      </c>
      <c r="AD86" s="45"/>
      <c r="AE86" s="41" t="str">
        <f t="shared" si="38"/>
        <v/>
      </c>
      <c r="AF86" s="41"/>
      <c r="AG86" s="41" t="str">
        <f t="shared" si="39"/>
        <v/>
      </c>
      <c r="AH86" s="41" t="str">
        <f t="shared" si="50"/>
        <v/>
      </c>
      <c r="AI86" s="41" t="str">
        <f t="shared" si="51"/>
        <v/>
      </c>
      <c r="AJ86" s="41">
        <f t="shared" si="40"/>
        <v>0</v>
      </c>
      <c r="AK86" s="41" t="str">
        <f t="shared" si="41"/>
        <v/>
      </c>
      <c r="AL86" s="41">
        <f t="shared" si="52"/>
        <v>0</v>
      </c>
      <c r="AM86" s="41">
        <f t="shared" si="42"/>
        <v>0</v>
      </c>
      <c r="AN86" s="41" t="str">
        <f t="shared" si="43"/>
        <v/>
      </c>
      <c r="AO86" s="41">
        <f t="shared" si="59"/>
        <v>0</v>
      </c>
      <c r="AP86" s="45"/>
      <c r="AQ86" s="48"/>
      <c r="AR86" s="48"/>
      <c r="AS86" s="48"/>
      <c r="AT86" s="51">
        <f t="shared" si="53"/>
        <v>82</v>
      </c>
      <c r="AU86" s="49" t="str">
        <f t="shared" si="54"/>
        <v/>
      </c>
      <c r="AV86" s="49" t="str">
        <f t="shared" si="55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5.4007380255945998E-3</v>
      </c>
      <c r="C87">
        <f t="shared" si="30"/>
        <v>5.0766937440589232E-3</v>
      </c>
      <c r="D87" s="60"/>
      <c r="E87" s="5"/>
      <c r="F87" s="5"/>
      <c r="I87" s="51"/>
      <c r="J87" s="41"/>
      <c r="K87" s="41" t="str">
        <f t="shared" si="56"/>
        <v/>
      </c>
      <c r="L87" s="42" t="str">
        <f t="shared" si="57"/>
        <v/>
      </c>
      <c r="M87" s="41" t="str">
        <f t="shared" si="58"/>
        <v/>
      </c>
      <c r="N87" s="43">
        <f t="shared" si="31"/>
        <v>0</v>
      </c>
      <c r="O87" s="44">
        <f t="shared" si="32"/>
        <v>0</v>
      </c>
      <c r="P87" s="41" t="str">
        <f t="shared" si="33"/>
        <v/>
      </c>
      <c r="Q87" s="41" t="str">
        <f t="shared" si="34"/>
        <v/>
      </c>
      <c r="R87" s="45"/>
      <c r="S87" s="44" t="str">
        <f>IF(I87&lt;&gt;"",_xlfn.XLOOKUP($D$4+I87,$A$26:$A$145,$B$26:$B$145,0) * 1000,"")</f>
        <v/>
      </c>
      <c r="T87" s="52">
        <f t="shared" si="60"/>
        <v>0</v>
      </c>
      <c r="U87" s="53" t="str">
        <f t="shared" si="45"/>
        <v/>
      </c>
      <c r="V87" s="53" t="str">
        <f t="shared" si="46"/>
        <v/>
      </c>
      <c r="W87" s="53" t="str">
        <f t="shared" si="47"/>
        <v/>
      </c>
      <c r="X87" s="46" t="str">
        <f t="shared" si="35"/>
        <v/>
      </c>
      <c r="Y87" s="45"/>
      <c r="Z87" s="41" t="str">
        <f t="shared" si="48"/>
        <v/>
      </c>
      <c r="AA87" s="41" t="str">
        <f t="shared" si="49"/>
        <v/>
      </c>
      <c r="AB87" s="41" t="str">
        <f t="shared" si="36"/>
        <v/>
      </c>
      <c r="AC87" s="41" t="str">
        <f t="shared" si="37"/>
        <v/>
      </c>
      <c r="AD87" s="45"/>
      <c r="AE87" s="41" t="str">
        <f t="shared" si="38"/>
        <v/>
      </c>
      <c r="AF87" s="41"/>
      <c r="AG87" s="41" t="str">
        <f t="shared" si="39"/>
        <v/>
      </c>
      <c r="AH87" s="41" t="str">
        <f t="shared" si="50"/>
        <v/>
      </c>
      <c r="AI87" s="41" t="str">
        <f t="shared" si="51"/>
        <v/>
      </c>
      <c r="AJ87" s="41">
        <f t="shared" si="40"/>
        <v>0</v>
      </c>
      <c r="AK87" s="41" t="str">
        <f t="shared" si="41"/>
        <v/>
      </c>
      <c r="AL87" s="41">
        <f t="shared" si="52"/>
        <v>0</v>
      </c>
      <c r="AM87" s="41">
        <f t="shared" si="42"/>
        <v>0</v>
      </c>
      <c r="AN87" s="41" t="str">
        <f t="shared" si="43"/>
        <v/>
      </c>
      <c r="AO87" s="41">
        <f t="shared" si="59"/>
        <v>0</v>
      </c>
      <c r="AP87" s="45"/>
      <c r="AQ87" s="48"/>
      <c r="AR87" s="48"/>
      <c r="AS87" s="48"/>
      <c r="AT87" s="51">
        <f t="shared" si="53"/>
        <v>83</v>
      </c>
      <c r="AU87" s="49" t="str">
        <f t="shared" si="54"/>
        <v/>
      </c>
      <c r="AV87" s="49" t="str">
        <f t="shared" si="55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5.9076238189416097E-3</v>
      </c>
      <c r="C88">
        <f t="shared" si="30"/>
        <v>5.5531663898051127E-3</v>
      </c>
      <c r="D88" s="60"/>
      <c r="E88" s="5"/>
      <c r="F88" s="5"/>
      <c r="I88" s="51"/>
      <c r="J88" s="41"/>
      <c r="K88" s="41" t="str">
        <f t="shared" si="56"/>
        <v/>
      </c>
      <c r="L88" s="42" t="str">
        <f t="shared" si="57"/>
        <v/>
      </c>
      <c r="M88" s="41" t="str">
        <f t="shared" si="58"/>
        <v/>
      </c>
      <c r="N88" s="43">
        <f t="shared" si="31"/>
        <v>0</v>
      </c>
      <c r="O88" s="44">
        <f t="shared" si="32"/>
        <v>0</v>
      </c>
      <c r="P88" s="41" t="str">
        <f t="shared" si="33"/>
        <v/>
      </c>
      <c r="Q88" s="41" t="str">
        <f t="shared" si="34"/>
        <v/>
      </c>
      <c r="R88" s="45"/>
      <c r="S88" s="44" t="str">
        <f>IF(I88&lt;&gt;"",_xlfn.XLOOKUP($D$4+I88,$A$26:$A$145,$B$26:$B$145,0) * 1000,"")</f>
        <v/>
      </c>
      <c r="T88" s="52">
        <f t="shared" si="60"/>
        <v>0</v>
      </c>
      <c r="U88" s="53" t="str">
        <f t="shared" si="45"/>
        <v/>
      </c>
      <c r="V88" s="53" t="str">
        <f t="shared" si="46"/>
        <v/>
      </c>
      <c r="W88" s="53" t="str">
        <f t="shared" si="47"/>
        <v/>
      </c>
      <c r="X88" s="46" t="str">
        <f t="shared" si="35"/>
        <v/>
      </c>
      <c r="Y88" s="45"/>
      <c r="Z88" s="41" t="str">
        <f t="shared" si="48"/>
        <v/>
      </c>
      <c r="AA88" s="41" t="str">
        <f t="shared" si="49"/>
        <v/>
      </c>
      <c r="AB88" s="41" t="str">
        <f t="shared" si="36"/>
        <v/>
      </c>
      <c r="AC88" s="41" t="str">
        <f t="shared" si="37"/>
        <v/>
      </c>
      <c r="AD88" s="45"/>
      <c r="AE88" s="41" t="str">
        <f t="shared" si="38"/>
        <v/>
      </c>
      <c r="AF88" s="41"/>
      <c r="AG88" s="41" t="str">
        <f t="shared" si="39"/>
        <v/>
      </c>
      <c r="AH88" s="41" t="str">
        <f t="shared" si="50"/>
        <v/>
      </c>
      <c r="AI88" s="41" t="str">
        <f t="shared" si="51"/>
        <v/>
      </c>
      <c r="AJ88" s="41">
        <f t="shared" si="40"/>
        <v>0</v>
      </c>
      <c r="AK88" s="41" t="str">
        <f t="shared" si="41"/>
        <v/>
      </c>
      <c r="AL88" s="41">
        <f t="shared" si="52"/>
        <v>0</v>
      </c>
      <c r="AM88" s="41">
        <f t="shared" si="42"/>
        <v>0</v>
      </c>
      <c r="AN88" s="41" t="str">
        <f t="shared" si="43"/>
        <v/>
      </c>
      <c r="AO88" s="41">
        <f t="shared" si="59"/>
        <v>0</v>
      </c>
      <c r="AP88" s="45"/>
      <c r="AQ88" s="48"/>
      <c r="AR88" s="48"/>
      <c r="AS88" s="48"/>
      <c r="AT88" s="51">
        <f t="shared" si="53"/>
        <v>84</v>
      </c>
      <c r="AU88" s="49" t="str">
        <f t="shared" si="54"/>
        <v/>
      </c>
      <c r="AV88" s="49" t="str">
        <f t="shared" si="55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6.4471032562566401E-3</v>
      </c>
      <c r="C89">
        <f t="shared" si="30"/>
        <v>6.0602770608812412E-3</v>
      </c>
      <c r="D89" s="60"/>
      <c r="E89" s="5"/>
      <c r="F89" s="5"/>
      <c r="I89" s="51"/>
      <c r="J89" s="41"/>
      <c r="K89" s="41" t="str">
        <f t="shared" si="56"/>
        <v/>
      </c>
      <c r="L89" s="42" t="str">
        <f t="shared" si="57"/>
        <v/>
      </c>
      <c r="M89" s="41" t="str">
        <f t="shared" si="58"/>
        <v/>
      </c>
      <c r="N89" s="43">
        <f t="shared" si="31"/>
        <v>0</v>
      </c>
      <c r="O89" s="44">
        <f t="shared" si="32"/>
        <v>0</v>
      </c>
      <c r="P89" s="41" t="str">
        <f t="shared" si="33"/>
        <v/>
      </c>
      <c r="Q89" s="41" t="str">
        <f t="shared" si="34"/>
        <v/>
      </c>
      <c r="R89" s="45"/>
      <c r="S89" s="44" t="str">
        <f>IF(I89&lt;&gt;"",_xlfn.XLOOKUP($D$4+I89,$A$26:$A$145,$B$26:$B$145,0) * 1000,"")</f>
        <v/>
      </c>
      <c r="T89" s="52">
        <f t="shared" si="60"/>
        <v>0</v>
      </c>
      <c r="U89" s="53" t="str">
        <f t="shared" si="45"/>
        <v/>
      </c>
      <c r="V89" s="53" t="str">
        <f t="shared" si="46"/>
        <v/>
      </c>
      <c r="W89" s="53" t="str">
        <f t="shared" si="47"/>
        <v/>
      </c>
      <c r="X89" s="46" t="str">
        <f t="shared" si="35"/>
        <v/>
      </c>
      <c r="Y89" s="45"/>
      <c r="Z89" s="41" t="str">
        <f t="shared" si="48"/>
        <v/>
      </c>
      <c r="AA89" s="41" t="str">
        <f t="shared" si="49"/>
        <v/>
      </c>
      <c r="AB89" s="41" t="str">
        <f t="shared" si="36"/>
        <v/>
      </c>
      <c r="AC89" s="41" t="str">
        <f t="shared" si="37"/>
        <v/>
      </c>
      <c r="AD89" s="45"/>
      <c r="AE89" s="41" t="str">
        <f t="shared" si="38"/>
        <v/>
      </c>
      <c r="AF89" s="41"/>
      <c r="AG89" s="41" t="str">
        <f t="shared" si="39"/>
        <v/>
      </c>
      <c r="AH89" s="41" t="str">
        <f t="shared" si="50"/>
        <v/>
      </c>
      <c r="AI89" s="41" t="str">
        <f t="shared" si="51"/>
        <v/>
      </c>
      <c r="AJ89" s="41">
        <f t="shared" si="40"/>
        <v>0</v>
      </c>
      <c r="AK89" s="41" t="str">
        <f t="shared" si="41"/>
        <v/>
      </c>
      <c r="AL89" s="41">
        <f t="shared" si="52"/>
        <v>0</v>
      </c>
      <c r="AM89" s="41">
        <f t="shared" si="42"/>
        <v>0</v>
      </c>
      <c r="AN89" s="41" t="str">
        <f t="shared" si="43"/>
        <v/>
      </c>
      <c r="AO89" s="41">
        <f t="shared" si="59"/>
        <v>0</v>
      </c>
      <c r="AP89" s="45"/>
      <c r="AQ89" s="48"/>
      <c r="AR89" s="48"/>
      <c r="AS89" s="48"/>
      <c r="AT89" s="51">
        <f t="shared" si="53"/>
        <v>85</v>
      </c>
      <c r="AU89" s="49" t="str">
        <f t="shared" si="54"/>
        <v/>
      </c>
      <c r="AV89" s="49" t="str">
        <f t="shared" si="55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7.3363253219011996E-3</v>
      </c>
      <c r="C90">
        <f t="shared" si="30"/>
        <v>6.8961458025871272E-3</v>
      </c>
      <c r="D90" s="60"/>
      <c r="E90" s="5"/>
      <c r="F90" s="5"/>
      <c r="I90" s="51"/>
      <c r="J90" s="41"/>
      <c r="K90" s="41" t="str">
        <f t="shared" si="56"/>
        <v/>
      </c>
      <c r="L90" s="42" t="str">
        <f t="shared" si="57"/>
        <v/>
      </c>
      <c r="M90" s="41" t="str">
        <f t="shared" si="58"/>
        <v/>
      </c>
      <c r="N90" s="43">
        <f t="shared" si="31"/>
        <v>0</v>
      </c>
      <c r="O90" s="44">
        <f t="shared" si="32"/>
        <v>0</v>
      </c>
      <c r="P90" s="41" t="str">
        <f t="shared" si="33"/>
        <v/>
      </c>
      <c r="Q90" s="41" t="str">
        <f t="shared" si="34"/>
        <v/>
      </c>
      <c r="R90" s="45"/>
      <c r="S90" s="44" t="str">
        <f>IF(I90&lt;&gt;"",_xlfn.XLOOKUP($D$4+I90,$A$26:$A$145,$B$26:$B$145,0) * 1000,"")</f>
        <v/>
      </c>
      <c r="T90" s="52">
        <f t="shared" si="60"/>
        <v>0</v>
      </c>
      <c r="U90" s="53" t="str">
        <f t="shared" si="45"/>
        <v/>
      </c>
      <c r="V90" s="53" t="str">
        <f t="shared" si="46"/>
        <v/>
      </c>
      <c r="W90" s="53" t="str">
        <f t="shared" si="47"/>
        <v/>
      </c>
      <c r="X90" s="46" t="str">
        <f t="shared" si="35"/>
        <v/>
      </c>
      <c r="Y90" s="45"/>
      <c r="Z90" s="41" t="str">
        <f t="shared" si="48"/>
        <v/>
      </c>
      <c r="AA90" s="41" t="str">
        <f t="shared" si="49"/>
        <v/>
      </c>
      <c r="AB90" s="41" t="str">
        <f t="shared" si="36"/>
        <v/>
      </c>
      <c r="AC90" s="41" t="str">
        <f t="shared" si="37"/>
        <v/>
      </c>
      <c r="AD90" s="45"/>
      <c r="AE90" s="41" t="str">
        <f t="shared" si="38"/>
        <v/>
      </c>
      <c r="AF90" s="41"/>
      <c r="AG90" s="41" t="str">
        <f t="shared" si="39"/>
        <v/>
      </c>
      <c r="AH90" s="41" t="str">
        <f t="shared" si="50"/>
        <v/>
      </c>
      <c r="AI90" s="41" t="str">
        <f t="shared" si="51"/>
        <v/>
      </c>
      <c r="AJ90" s="41">
        <f t="shared" si="40"/>
        <v>0</v>
      </c>
      <c r="AK90" s="41" t="str">
        <f t="shared" si="41"/>
        <v/>
      </c>
      <c r="AL90" s="41">
        <f t="shared" si="52"/>
        <v>0</v>
      </c>
      <c r="AM90" s="41">
        <f t="shared" si="42"/>
        <v>0</v>
      </c>
      <c r="AN90" s="41" t="str">
        <f t="shared" si="43"/>
        <v/>
      </c>
      <c r="AO90" s="41">
        <f t="shared" si="59"/>
        <v>0</v>
      </c>
      <c r="AP90" s="45"/>
      <c r="AQ90" s="48"/>
      <c r="AR90" s="48"/>
      <c r="AS90" s="48"/>
      <c r="AT90" s="51">
        <f t="shared" si="53"/>
        <v>86</v>
      </c>
      <c r="AU90" s="49" t="str">
        <f t="shared" si="54"/>
        <v/>
      </c>
      <c r="AV90" s="49" t="str">
        <f t="shared" si="55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9.3068111007286198E-3</v>
      </c>
      <c r="C91">
        <f t="shared" ref="C91:C144" si="61">B91*(1-$F$16)</f>
        <v>8.7484024346849015E-3</v>
      </c>
      <c r="D91" s="60"/>
      <c r="E91" s="5"/>
      <c r="F91" s="5"/>
      <c r="I91" s="51"/>
      <c r="J91" s="41"/>
      <c r="K91" s="41" t="str">
        <f t="shared" si="56"/>
        <v/>
      </c>
      <c r="L91" s="42" t="str">
        <f t="shared" si="57"/>
        <v/>
      </c>
      <c r="M91" s="41" t="str">
        <f t="shared" si="58"/>
        <v/>
      </c>
      <c r="N91" s="43">
        <f t="shared" si="31"/>
        <v>0</v>
      </c>
      <c r="O91" s="44">
        <f t="shared" si="32"/>
        <v>0</v>
      </c>
      <c r="P91" s="41" t="str">
        <f t="shared" si="33"/>
        <v/>
      </c>
      <c r="Q91" s="41" t="str">
        <f t="shared" si="34"/>
        <v/>
      </c>
      <c r="R91" s="45"/>
      <c r="S91" s="44" t="str">
        <f>IF(I91&lt;&gt;"",_xlfn.XLOOKUP($D$4+I91,$A$26:$A$145,$B$26:$B$145,0) * 1000,"")</f>
        <v/>
      </c>
      <c r="T91" s="52">
        <f t="shared" si="60"/>
        <v>0</v>
      </c>
      <c r="U91" s="53" t="str">
        <f t="shared" si="45"/>
        <v/>
      </c>
      <c r="V91" s="53" t="str">
        <f t="shared" si="46"/>
        <v/>
      </c>
      <c r="W91" s="53" t="str">
        <f t="shared" si="47"/>
        <v/>
      </c>
      <c r="X91" s="46" t="str">
        <f t="shared" si="35"/>
        <v/>
      </c>
      <c r="Y91" s="45"/>
      <c r="Z91" s="41" t="str">
        <f t="shared" si="48"/>
        <v/>
      </c>
      <c r="AA91" s="41" t="str">
        <f t="shared" si="49"/>
        <v/>
      </c>
      <c r="AB91" s="41" t="str">
        <f t="shared" si="36"/>
        <v/>
      </c>
      <c r="AC91" s="41" t="str">
        <f t="shared" si="37"/>
        <v/>
      </c>
      <c r="AD91" s="45"/>
      <c r="AE91" s="41" t="str">
        <f t="shared" si="38"/>
        <v/>
      </c>
      <c r="AF91" s="41"/>
      <c r="AG91" s="41" t="str">
        <f t="shared" si="39"/>
        <v/>
      </c>
      <c r="AH91" s="41" t="str">
        <f t="shared" si="50"/>
        <v/>
      </c>
      <c r="AI91" s="41" t="str">
        <f t="shared" si="51"/>
        <v/>
      </c>
      <c r="AJ91" s="41">
        <f t="shared" si="40"/>
        <v>0</v>
      </c>
      <c r="AK91" s="41" t="str">
        <f t="shared" si="41"/>
        <v/>
      </c>
      <c r="AL91" s="41">
        <f t="shared" si="52"/>
        <v>0</v>
      </c>
      <c r="AM91" s="41">
        <f t="shared" si="42"/>
        <v>0</v>
      </c>
      <c r="AN91" s="41" t="str">
        <f t="shared" si="43"/>
        <v/>
      </c>
      <c r="AO91" s="41">
        <f t="shared" si="59"/>
        <v>0</v>
      </c>
      <c r="AP91" s="45"/>
      <c r="AQ91" s="48"/>
      <c r="AR91" s="48"/>
      <c r="AS91" s="48"/>
      <c r="AT91" s="51">
        <f t="shared" si="53"/>
        <v>87</v>
      </c>
      <c r="AU91" s="49" t="str">
        <f t="shared" si="54"/>
        <v/>
      </c>
      <c r="AV91" s="49" t="str">
        <f t="shared" si="55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1.0196837227823099E-2</v>
      </c>
      <c r="C92">
        <f t="shared" si="61"/>
        <v>9.5850269941537124E-3</v>
      </c>
      <c r="D92" s="60"/>
      <c r="E92" s="5"/>
      <c r="F92" s="5"/>
      <c r="I92" s="51"/>
      <c r="J92" s="41"/>
      <c r="K92" s="41" t="str">
        <f t="shared" si="56"/>
        <v/>
      </c>
      <c r="L92" s="42" t="str">
        <f t="shared" si="57"/>
        <v/>
      </c>
      <c r="M92" s="41" t="str">
        <f t="shared" si="58"/>
        <v/>
      </c>
      <c r="N92" s="43">
        <f t="shared" si="31"/>
        <v>0</v>
      </c>
      <c r="O92" s="44">
        <f t="shared" si="32"/>
        <v>0</v>
      </c>
      <c r="P92" s="41" t="str">
        <f t="shared" si="33"/>
        <v/>
      </c>
      <c r="Q92" s="41" t="str">
        <f t="shared" si="34"/>
        <v/>
      </c>
      <c r="R92" s="45"/>
      <c r="S92" s="44" t="str">
        <f>IF(I92&lt;&gt;"",_xlfn.XLOOKUP($D$4+I92,$A$26:$A$145,$B$26:$B$145,0) * 1000,"")</f>
        <v/>
      </c>
      <c r="T92" s="52">
        <f t="shared" si="60"/>
        <v>0</v>
      </c>
      <c r="U92" s="53" t="str">
        <f t="shared" si="45"/>
        <v/>
      </c>
      <c r="V92" s="53" t="str">
        <f t="shared" si="46"/>
        <v/>
      </c>
      <c r="W92" s="53" t="str">
        <f t="shared" si="47"/>
        <v/>
      </c>
      <c r="X92" s="46" t="str">
        <f t="shared" si="35"/>
        <v/>
      </c>
      <c r="Y92" s="45"/>
      <c r="Z92" s="41" t="str">
        <f t="shared" si="48"/>
        <v/>
      </c>
      <c r="AA92" s="41" t="str">
        <f t="shared" si="49"/>
        <v/>
      </c>
      <c r="AB92" s="41" t="str">
        <f t="shared" si="36"/>
        <v/>
      </c>
      <c r="AC92" s="41" t="str">
        <f t="shared" si="37"/>
        <v/>
      </c>
      <c r="AD92" s="45"/>
      <c r="AE92" s="41" t="str">
        <f t="shared" si="38"/>
        <v/>
      </c>
      <c r="AF92" s="41"/>
      <c r="AG92" s="41" t="str">
        <f t="shared" si="39"/>
        <v/>
      </c>
      <c r="AH92" s="41" t="str">
        <f t="shared" si="50"/>
        <v/>
      </c>
      <c r="AI92" s="41" t="str">
        <f t="shared" si="51"/>
        <v/>
      </c>
      <c r="AJ92" s="41">
        <f t="shared" si="40"/>
        <v>0</v>
      </c>
      <c r="AK92" s="41" t="str">
        <f t="shared" si="41"/>
        <v/>
      </c>
      <c r="AL92" s="41">
        <f t="shared" si="52"/>
        <v>0</v>
      </c>
      <c r="AM92" s="41">
        <f t="shared" si="42"/>
        <v>0</v>
      </c>
      <c r="AN92" s="41" t="str">
        <f t="shared" si="43"/>
        <v/>
      </c>
      <c r="AO92" s="41">
        <f t="shared" si="59"/>
        <v>0</v>
      </c>
      <c r="AP92" s="45"/>
      <c r="AQ92" s="48"/>
      <c r="AR92" s="48"/>
      <c r="AS92" s="48"/>
      <c r="AT92" s="51">
        <f t="shared" si="53"/>
        <v>88</v>
      </c>
      <c r="AU92" s="49" t="str">
        <f t="shared" si="54"/>
        <v/>
      </c>
      <c r="AV92" s="49" t="str">
        <f t="shared" si="55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1.1143882174944201E-2</v>
      </c>
      <c r="C93">
        <f t="shared" si="61"/>
        <v>1.0475249244447548E-2</v>
      </c>
      <c r="D93" s="60"/>
      <c r="E93" s="5"/>
      <c r="F93" s="5"/>
      <c r="I93" s="51"/>
      <c r="J93" s="41"/>
      <c r="K93" s="41" t="str">
        <f t="shared" si="56"/>
        <v/>
      </c>
      <c r="L93" s="42" t="str">
        <f t="shared" si="57"/>
        <v/>
      </c>
      <c r="M93" s="41" t="str">
        <f t="shared" si="58"/>
        <v/>
      </c>
      <c r="N93" s="43">
        <f t="shared" si="31"/>
        <v>0</v>
      </c>
      <c r="O93" s="44">
        <f t="shared" si="32"/>
        <v>0</v>
      </c>
      <c r="P93" s="41" t="str">
        <f t="shared" si="33"/>
        <v/>
      </c>
      <c r="Q93" s="41" t="str">
        <f t="shared" si="34"/>
        <v/>
      </c>
      <c r="R93" s="45"/>
      <c r="S93" s="44" t="str">
        <f>IF(I93&lt;&gt;"",_xlfn.XLOOKUP($D$4+I93,$A$26:$A$145,$B$26:$B$145,0) * 1000,"")</f>
        <v/>
      </c>
      <c r="T93" s="52">
        <f t="shared" si="60"/>
        <v>0</v>
      </c>
      <c r="U93" s="53" t="str">
        <f t="shared" si="45"/>
        <v/>
      </c>
      <c r="V93" s="53" t="str">
        <f t="shared" si="46"/>
        <v/>
      </c>
      <c r="W93" s="53" t="str">
        <f t="shared" si="47"/>
        <v/>
      </c>
      <c r="X93" s="46" t="str">
        <f t="shared" si="35"/>
        <v/>
      </c>
      <c r="Y93" s="45"/>
      <c r="Z93" s="41" t="str">
        <f t="shared" si="48"/>
        <v/>
      </c>
      <c r="AA93" s="41" t="str">
        <f t="shared" si="49"/>
        <v/>
      </c>
      <c r="AB93" s="41" t="str">
        <f t="shared" si="36"/>
        <v/>
      </c>
      <c r="AC93" s="41" t="str">
        <f t="shared" si="37"/>
        <v/>
      </c>
      <c r="AD93" s="45"/>
      <c r="AE93" s="41" t="str">
        <f t="shared" si="38"/>
        <v/>
      </c>
      <c r="AF93" s="41"/>
      <c r="AG93" s="41" t="str">
        <f t="shared" si="39"/>
        <v/>
      </c>
      <c r="AH93" s="41" t="str">
        <f t="shared" si="50"/>
        <v/>
      </c>
      <c r="AI93" s="41" t="str">
        <f t="shared" si="51"/>
        <v/>
      </c>
      <c r="AJ93" s="41">
        <f t="shared" si="40"/>
        <v>0</v>
      </c>
      <c r="AK93" s="41" t="str">
        <f t="shared" si="41"/>
        <v/>
      </c>
      <c r="AL93" s="41">
        <f t="shared" si="52"/>
        <v>0</v>
      </c>
      <c r="AM93" s="41">
        <f t="shared" si="42"/>
        <v>0</v>
      </c>
      <c r="AN93" s="41" t="str">
        <f t="shared" si="43"/>
        <v/>
      </c>
      <c r="AO93" s="41">
        <f t="shared" si="59"/>
        <v>0</v>
      </c>
      <c r="AP93" s="45"/>
      <c r="AQ93" s="48"/>
      <c r="AR93" s="48"/>
      <c r="AS93" s="48"/>
      <c r="AT93" s="51">
        <f t="shared" si="53"/>
        <v>89</v>
      </c>
      <c r="AU93" s="49" t="str">
        <f t="shared" si="54"/>
        <v/>
      </c>
      <c r="AV93" s="49" t="str">
        <f t="shared" si="55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1.22102344013446E-2</v>
      </c>
      <c r="C94">
        <f t="shared" si="61"/>
        <v>1.1477620337263924E-2</v>
      </c>
      <c r="D94" s="60"/>
      <c r="E94" s="5"/>
      <c r="F94" s="5"/>
      <c r="I94" s="40"/>
      <c r="J94" s="41"/>
      <c r="K94" s="41" t="str">
        <f t="shared" si="56"/>
        <v/>
      </c>
      <c r="L94" s="42" t="str">
        <f t="shared" si="57"/>
        <v/>
      </c>
      <c r="M94" s="41" t="str">
        <f t="shared" si="58"/>
        <v/>
      </c>
      <c r="N94" s="43">
        <f t="shared" si="31"/>
        <v>0</v>
      </c>
      <c r="O94" s="44">
        <f>AW94</f>
        <v>0</v>
      </c>
      <c r="P94" s="41" t="str">
        <f t="shared" si="33"/>
        <v/>
      </c>
      <c r="Q94" s="41" t="str">
        <f t="shared" si="34"/>
        <v/>
      </c>
      <c r="R94" s="48"/>
      <c r="S94" s="44" t="str">
        <f>IF(I94&lt;&gt;"",_xlfn.XLOOKUP($D$4+I94,$A$26:$A$145,$B$26:$B$145,0) * 1000,"")</f>
        <v/>
      </c>
      <c r="T94" s="52">
        <f t="shared" si="60"/>
        <v>0</v>
      </c>
      <c r="U94" s="53" t="str">
        <f t="shared" si="45"/>
        <v/>
      </c>
      <c r="V94" s="53" t="str">
        <f t="shared" si="46"/>
        <v/>
      </c>
      <c r="W94" s="53" t="str">
        <f t="shared" si="47"/>
        <v/>
      </c>
      <c r="X94" s="46" t="str">
        <f t="shared" si="35"/>
        <v/>
      </c>
      <c r="Y94" s="48"/>
      <c r="Z94" s="41" t="str">
        <f t="shared" si="48"/>
        <v/>
      </c>
      <c r="AA94" s="41" t="str">
        <f t="shared" si="49"/>
        <v/>
      </c>
      <c r="AB94" s="41" t="str">
        <f t="shared" si="36"/>
        <v/>
      </c>
      <c r="AC94" s="41" t="str">
        <f t="shared" si="37"/>
        <v/>
      </c>
      <c r="AD94" s="48"/>
      <c r="AE94" s="41" t="str">
        <f t="shared" si="38"/>
        <v/>
      </c>
      <c r="AF94" s="41"/>
      <c r="AG94" s="41" t="str">
        <f t="shared" si="39"/>
        <v/>
      </c>
      <c r="AH94" s="41" t="str">
        <f t="shared" si="50"/>
        <v/>
      </c>
      <c r="AI94" s="41" t="str">
        <f t="shared" si="51"/>
        <v/>
      </c>
      <c r="AJ94" s="41">
        <f t="shared" si="40"/>
        <v>0</v>
      </c>
      <c r="AK94" s="41" t="str">
        <f t="shared" si="41"/>
        <v/>
      </c>
      <c r="AL94" s="41">
        <f t="shared" si="52"/>
        <v>0</v>
      </c>
      <c r="AM94" s="41">
        <f t="shared" si="42"/>
        <v>0</v>
      </c>
      <c r="AN94" s="41" t="str">
        <f t="shared" si="43"/>
        <v/>
      </c>
      <c r="AO94" s="41">
        <f t="shared" si="59"/>
        <v>0</v>
      </c>
      <c r="AP94" s="48"/>
      <c r="AQ94" s="48"/>
      <c r="AR94" s="48"/>
      <c r="AS94" s="48"/>
      <c r="AT94" s="51">
        <f t="shared" si="53"/>
        <v>90</v>
      </c>
      <c r="AU94" s="49" t="str">
        <f t="shared" si="54"/>
        <v/>
      </c>
      <c r="AV94" s="49" t="str">
        <f t="shared" si="55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1.3412894745542501E-2</v>
      </c>
      <c r="C95">
        <f t="shared" si="61"/>
        <v>1.2608121060809951E-2</v>
      </c>
      <c r="D95" s="60"/>
      <c r="E95" s="5"/>
      <c r="F95" s="5"/>
      <c r="I95" s="40"/>
      <c r="J95" s="41"/>
      <c r="K95" s="41" t="str">
        <f t="shared" si="56"/>
        <v/>
      </c>
      <c r="L95" s="42" t="str">
        <f t="shared" si="57"/>
        <v/>
      </c>
      <c r="M95" s="41" t="str">
        <f t="shared" si="58"/>
        <v/>
      </c>
      <c r="N95" s="43">
        <f t="shared" si="31"/>
        <v>0</v>
      </c>
      <c r="O95" s="44">
        <f t="shared" si="32"/>
        <v>0</v>
      </c>
      <c r="P95" s="41" t="str">
        <f t="shared" si="33"/>
        <v/>
      </c>
      <c r="Q95" s="41" t="str">
        <f t="shared" si="34"/>
        <v/>
      </c>
      <c r="R95" s="48"/>
      <c r="S95" s="44" t="str">
        <f>IF(I95&lt;&gt;"",_xlfn.XLOOKUP($D$4+I95,$A$26:$A$145,$B$26:$B$145,0) * 1000,"")</f>
        <v/>
      </c>
      <c r="T95" s="52">
        <f t="shared" si="60"/>
        <v>0</v>
      </c>
      <c r="U95" s="53" t="str">
        <f t="shared" si="45"/>
        <v/>
      </c>
      <c r="V95" s="53" t="str">
        <f t="shared" si="46"/>
        <v/>
      </c>
      <c r="W95" s="53" t="str">
        <f t="shared" si="47"/>
        <v/>
      </c>
      <c r="X95" s="46" t="str">
        <f t="shared" si="35"/>
        <v/>
      </c>
      <c r="Y95" s="48"/>
      <c r="Z95" s="41" t="str">
        <f t="shared" si="48"/>
        <v/>
      </c>
      <c r="AA95" s="41" t="str">
        <f t="shared" si="49"/>
        <v/>
      </c>
      <c r="AB95" s="41" t="str">
        <f t="shared" si="36"/>
        <v/>
      </c>
      <c r="AC95" s="41" t="str">
        <f t="shared" si="37"/>
        <v/>
      </c>
      <c r="AD95" s="48"/>
      <c r="AE95" s="41" t="str">
        <f t="shared" si="38"/>
        <v/>
      </c>
      <c r="AF95" s="41"/>
      <c r="AG95" s="41" t="str">
        <f t="shared" si="39"/>
        <v/>
      </c>
      <c r="AH95" s="41" t="str">
        <f t="shared" si="50"/>
        <v/>
      </c>
      <c r="AI95" s="41" t="str">
        <f t="shared" si="51"/>
        <v/>
      </c>
      <c r="AJ95" s="41">
        <f t="shared" si="40"/>
        <v>0</v>
      </c>
      <c r="AK95" s="41" t="str">
        <f t="shared" si="41"/>
        <v/>
      </c>
      <c r="AL95" s="41">
        <f t="shared" si="52"/>
        <v>0</v>
      </c>
      <c r="AM95" s="41">
        <f t="shared" si="42"/>
        <v>0</v>
      </c>
      <c r="AN95" s="41" t="str">
        <f t="shared" si="43"/>
        <v/>
      </c>
      <c r="AO95" s="41">
        <f t="shared" si="59"/>
        <v>0</v>
      </c>
      <c r="AP95" s="48"/>
      <c r="AQ95" s="48"/>
      <c r="AR95" s="48"/>
      <c r="AS95" s="48"/>
      <c r="AT95" s="51">
        <f t="shared" si="53"/>
        <v>91</v>
      </c>
      <c r="AU95" s="49" t="str">
        <f t="shared" si="54"/>
        <v/>
      </c>
      <c r="AV95" s="49" t="str">
        <f t="shared" si="55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1.4790989154491299E-2</v>
      </c>
      <c r="C96">
        <f t="shared" si="61"/>
        <v>1.3903529805221821E-2</v>
      </c>
      <c r="D96" s="60"/>
      <c r="E96" s="5"/>
      <c r="F96" s="5"/>
      <c r="I96" s="40"/>
      <c r="J96" s="41"/>
      <c r="K96" s="41" t="str">
        <f t="shared" si="56"/>
        <v/>
      </c>
      <c r="L96" s="42" t="str">
        <f t="shared" si="57"/>
        <v/>
      </c>
      <c r="M96" s="41" t="str">
        <f t="shared" si="58"/>
        <v/>
      </c>
      <c r="N96" s="43">
        <f t="shared" si="31"/>
        <v>0</v>
      </c>
      <c r="O96" s="44">
        <f t="shared" si="32"/>
        <v>0</v>
      </c>
      <c r="P96" s="41" t="str">
        <f t="shared" si="33"/>
        <v/>
      </c>
      <c r="Q96" s="41" t="str">
        <f t="shared" si="34"/>
        <v/>
      </c>
      <c r="R96" s="48"/>
      <c r="S96" s="44" t="str">
        <f>IF(I96&lt;&gt;"",_xlfn.XLOOKUP($D$4+I96,$A$26:$A$145,$B$26:$B$145,0) * 1000,"")</f>
        <v/>
      </c>
      <c r="T96" s="52">
        <f t="shared" si="60"/>
        <v>0</v>
      </c>
      <c r="U96" s="53" t="str">
        <f t="shared" si="45"/>
        <v/>
      </c>
      <c r="V96" s="53" t="str">
        <f t="shared" si="46"/>
        <v/>
      </c>
      <c r="W96" s="53" t="str">
        <f t="shared" si="47"/>
        <v/>
      </c>
      <c r="X96" s="46" t="str">
        <f t="shared" si="35"/>
        <v/>
      </c>
      <c r="Y96" s="48"/>
      <c r="Z96" s="41" t="str">
        <f t="shared" si="48"/>
        <v/>
      </c>
      <c r="AA96" s="41" t="str">
        <f t="shared" si="49"/>
        <v/>
      </c>
      <c r="AB96" s="41" t="str">
        <f t="shared" si="36"/>
        <v/>
      </c>
      <c r="AC96" s="41" t="str">
        <f t="shared" si="37"/>
        <v/>
      </c>
      <c r="AD96" s="48"/>
      <c r="AE96" s="41" t="str">
        <f t="shared" si="38"/>
        <v/>
      </c>
      <c r="AF96" s="41"/>
      <c r="AG96" s="41" t="str">
        <f t="shared" si="39"/>
        <v/>
      </c>
      <c r="AH96" s="41" t="str">
        <f t="shared" si="50"/>
        <v/>
      </c>
      <c r="AI96" s="41" t="str">
        <f t="shared" si="51"/>
        <v/>
      </c>
      <c r="AJ96" s="41">
        <f>SUM(AE96:AI96)</f>
        <v>0</v>
      </c>
      <c r="AK96" s="41" t="str">
        <f t="shared" si="41"/>
        <v/>
      </c>
      <c r="AL96" s="41">
        <f t="shared" si="52"/>
        <v>0</v>
      </c>
      <c r="AM96" s="41">
        <f t="shared" si="42"/>
        <v>0</v>
      </c>
      <c r="AN96" s="41" t="str">
        <f t="shared" si="43"/>
        <v/>
      </c>
      <c r="AO96" s="41">
        <f t="shared" si="59"/>
        <v>0</v>
      </c>
      <c r="AP96" s="48"/>
      <c r="AQ96" s="48"/>
      <c r="AR96" s="48"/>
      <c r="AS96" s="48"/>
      <c r="AT96" s="51">
        <f t="shared" si="53"/>
        <v>92</v>
      </c>
      <c r="AU96" s="49" t="str">
        <f t="shared" si="54"/>
        <v/>
      </c>
      <c r="AV96" s="49" t="str">
        <f t="shared" si="55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1.63810272022115E-2</v>
      </c>
      <c r="C97">
        <f t="shared" si="61"/>
        <v>1.5398165570078809E-2</v>
      </c>
      <c r="D97" s="60"/>
      <c r="E97" s="5"/>
      <c r="F97" s="5"/>
      <c r="I97" s="40"/>
      <c r="J97" s="41"/>
      <c r="K97" s="41" t="str">
        <f t="shared" si="56"/>
        <v/>
      </c>
      <c r="L97" s="42" t="str">
        <f t="shared" si="57"/>
        <v/>
      </c>
      <c r="M97" s="41" t="str">
        <f t="shared" si="58"/>
        <v/>
      </c>
      <c r="N97" s="43">
        <f t="shared" si="31"/>
        <v>0</v>
      </c>
      <c r="O97" s="44">
        <f t="shared" si="32"/>
        <v>0</v>
      </c>
      <c r="P97" s="41" t="str">
        <f t="shared" si="33"/>
        <v/>
      </c>
      <c r="Q97" s="41" t="str">
        <f t="shared" si="34"/>
        <v/>
      </c>
      <c r="R97" s="48"/>
      <c r="S97" s="44" t="str">
        <f>IF(I97&lt;&gt;"",_xlfn.XLOOKUP($D$4+I97,$A$26:$A$145,$B$26:$B$145,0) * 1000,"")</f>
        <v/>
      </c>
      <c r="T97" s="52">
        <f t="shared" si="60"/>
        <v>0</v>
      </c>
      <c r="U97" s="53" t="str">
        <f t="shared" si="45"/>
        <v/>
      </c>
      <c r="V97" s="53" t="str">
        <f t="shared" si="46"/>
        <v/>
      </c>
      <c r="W97" s="53" t="str">
        <f t="shared" si="47"/>
        <v/>
      </c>
      <c r="X97" s="46" t="str">
        <f t="shared" si="35"/>
        <v/>
      </c>
      <c r="Y97" s="48"/>
      <c r="Z97" s="41" t="str">
        <f t="shared" si="48"/>
        <v/>
      </c>
      <c r="AA97" s="41" t="str">
        <f t="shared" si="49"/>
        <v/>
      </c>
      <c r="AB97" s="41" t="str">
        <f t="shared" si="36"/>
        <v/>
      </c>
      <c r="AC97" s="41" t="str">
        <f t="shared" si="37"/>
        <v/>
      </c>
      <c r="AD97" s="48"/>
      <c r="AE97" s="41" t="str">
        <f t="shared" si="38"/>
        <v/>
      </c>
      <c r="AF97" s="41"/>
      <c r="AG97" s="41" t="str">
        <f t="shared" si="39"/>
        <v/>
      </c>
      <c r="AH97" s="41" t="str">
        <f t="shared" si="50"/>
        <v/>
      </c>
      <c r="AI97" s="41" t="str">
        <f t="shared" si="51"/>
        <v/>
      </c>
      <c r="AJ97" s="41">
        <f t="shared" si="40"/>
        <v>0</v>
      </c>
      <c r="AK97" s="41" t="str">
        <f t="shared" si="41"/>
        <v/>
      </c>
      <c r="AL97" s="41">
        <f t="shared" si="52"/>
        <v>0</v>
      </c>
      <c r="AM97" s="41">
        <f t="shared" si="42"/>
        <v>0</v>
      </c>
      <c r="AN97" s="41" t="str">
        <f t="shared" si="43"/>
        <v/>
      </c>
      <c r="AO97" s="41">
        <f t="shared" si="59"/>
        <v>0</v>
      </c>
      <c r="AP97" s="48"/>
      <c r="AQ97" s="48"/>
      <c r="AR97" s="48"/>
      <c r="AS97" s="48"/>
      <c r="AT97" s="51">
        <f t="shared" si="53"/>
        <v>93</v>
      </c>
      <c r="AU97" s="49" t="str">
        <f t="shared" si="54"/>
        <v/>
      </c>
      <c r="AV97" s="49" t="str">
        <f t="shared" si="55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1.8216473337138699E-2</v>
      </c>
      <c r="C98">
        <f t="shared" si="61"/>
        <v>1.7123484936910377E-2</v>
      </c>
      <c r="D98" s="60"/>
      <c r="E98" s="5"/>
      <c r="F98" s="5"/>
      <c r="I98" s="40"/>
      <c r="J98" s="41"/>
      <c r="K98" s="41" t="str">
        <f t="shared" si="56"/>
        <v/>
      </c>
      <c r="L98" s="42" t="str">
        <f t="shared" si="57"/>
        <v/>
      </c>
      <c r="M98" s="41" t="str">
        <f t="shared" si="58"/>
        <v/>
      </c>
      <c r="N98" s="43">
        <f t="shared" si="31"/>
        <v>0</v>
      </c>
      <c r="O98" s="44">
        <f t="shared" si="32"/>
        <v>0</v>
      </c>
      <c r="P98" s="41" t="str">
        <f t="shared" si="33"/>
        <v/>
      </c>
      <c r="Q98" s="41" t="str">
        <f t="shared" si="34"/>
        <v/>
      </c>
      <c r="R98" s="48"/>
      <c r="S98" s="44" t="str">
        <f>IF(I98&lt;&gt;"",_xlfn.XLOOKUP($D$4+I98,$A$26:$A$145,$B$26:$B$145,0) * 1000,"")</f>
        <v/>
      </c>
      <c r="T98" s="52">
        <f t="shared" si="60"/>
        <v>0</v>
      </c>
      <c r="U98" s="53" t="str">
        <f t="shared" si="45"/>
        <v/>
      </c>
      <c r="V98" s="53" t="str">
        <f t="shared" si="46"/>
        <v/>
      </c>
      <c r="W98" s="53" t="str">
        <f t="shared" si="47"/>
        <v/>
      </c>
      <c r="X98" s="46" t="str">
        <f t="shared" si="35"/>
        <v/>
      </c>
      <c r="Y98" s="48"/>
      <c r="Z98" s="41" t="str">
        <f t="shared" si="48"/>
        <v/>
      </c>
      <c r="AA98" s="41" t="str">
        <f t="shared" si="49"/>
        <v/>
      </c>
      <c r="AB98" s="41" t="str">
        <f t="shared" si="36"/>
        <v/>
      </c>
      <c r="AC98" s="41" t="str">
        <f t="shared" si="37"/>
        <v/>
      </c>
      <c r="AD98" s="48"/>
      <c r="AE98" s="41" t="str">
        <f t="shared" si="38"/>
        <v/>
      </c>
      <c r="AF98" s="41"/>
      <c r="AG98" s="41" t="str">
        <f t="shared" si="39"/>
        <v/>
      </c>
      <c r="AH98" s="41" t="str">
        <f t="shared" si="50"/>
        <v/>
      </c>
      <c r="AI98" s="41" t="str">
        <f t="shared" si="51"/>
        <v/>
      </c>
      <c r="AJ98" s="41">
        <f t="shared" si="40"/>
        <v>0</v>
      </c>
      <c r="AK98" s="41" t="str">
        <f t="shared" si="41"/>
        <v/>
      </c>
      <c r="AL98" s="41">
        <f t="shared" si="52"/>
        <v>0</v>
      </c>
      <c r="AM98" s="41">
        <f t="shared" si="42"/>
        <v>0</v>
      </c>
      <c r="AN98" s="41" t="str">
        <f t="shared" si="43"/>
        <v/>
      </c>
      <c r="AO98" s="41">
        <f t="shared" si="59"/>
        <v>0</v>
      </c>
      <c r="AP98" s="48"/>
      <c r="AQ98" s="48"/>
      <c r="AR98" s="48"/>
      <c r="AS98" s="48"/>
      <c r="AT98" s="51">
        <f t="shared" si="53"/>
        <v>94</v>
      </c>
      <c r="AU98" s="49" t="str">
        <f t="shared" si="54"/>
        <v/>
      </c>
      <c r="AV98" s="49" t="str">
        <f t="shared" si="55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2.0404164627192401E-2</v>
      </c>
      <c r="C99">
        <f t="shared" si="61"/>
        <v>1.9179914749560857E-2</v>
      </c>
      <c r="D99" s="60"/>
      <c r="E99" s="5"/>
      <c r="F99" s="5"/>
      <c r="I99" s="40"/>
      <c r="J99" s="41"/>
      <c r="K99" s="41" t="str">
        <f t="shared" si="56"/>
        <v/>
      </c>
      <c r="L99" s="42" t="str">
        <f t="shared" si="57"/>
        <v/>
      </c>
      <c r="M99" s="41" t="str">
        <f t="shared" si="58"/>
        <v/>
      </c>
      <c r="N99" s="43">
        <f t="shared" si="31"/>
        <v>0</v>
      </c>
      <c r="O99" s="44">
        <f t="shared" si="32"/>
        <v>0</v>
      </c>
      <c r="P99" s="41" t="str">
        <f t="shared" si="33"/>
        <v/>
      </c>
      <c r="Q99" s="41" t="str">
        <f t="shared" si="34"/>
        <v/>
      </c>
      <c r="R99" s="48"/>
      <c r="S99" s="44" t="str">
        <f>IF(I99&lt;&gt;"",_xlfn.XLOOKUP($D$4+I99,$A$26:$A$145,$B$26:$B$145,0) * 1000,"")</f>
        <v/>
      </c>
      <c r="T99" s="52">
        <f t="shared" si="60"/>
        <v>0</v>
      </c>
      <c r="U99" s="53" t="str">
        <f t="shared" si="45"/>
        <v/>
      </c>
      <c r="V99" s="53" t="str">
        <f t="shared" si="46"/>
        <v/>
      </c>
      <c r="W99" s="53" t="str">
        <f t="shared" si="47"/>
        <v/>
      </c>
      <c r="X99" s="46" t="str">
        <f t="shared" si="35"/>
        <v/>
      </c>
      <c r="Y99" s="48"/>
      <c r="Z99" s="41" t="str">
        <f t="shared" si="48"/>
        <v/>
      </c>
      <c r="AA99" s="41" t="str">
        <f t="shared" si="49"/>
        <v/>
      </c>
      <c r="AB99" s="41" t="str">
        <f t="shared" si="36"/>
        <v/>
      </c>
      <c r="AC99" s="41" t="str">
        <f t="shared" si="37"/>
        <v/>
      </c>
      <c r="AD99" s="48"/>
      <c r="AE99" s="41" t="str">
        <f t="shared" si="38"/>
        <v/>
      </c>
      <c r="AF99" s="41"/>
      <c r="AG99" s="41" t="str">
        <f t="shared" si="39"/>
        <v/>
      </c>
      <c r="AH99" s="41" t="str">
        <f t="shared" si="50"/>
        <v/>
      </c>
      <c r="AI99" s="41" t="str">
        <f t="shared" si="51"/>
        <v/>
      </c>
      <c r="AJ99" s="41">
        <f t="shared" si="40"/>
        <v>0</v>
      </c>
      <c r="AK99" s="41" t="str">
        <f t="shared" si="41"/>
        <v/>
      </c>
      <c r="AL99" s="41">
        <f t="shared" si="52"/>
        <v>0</v>
      </c>
      <c r="AM99" s="41">
        <f t="shared" si="42"/>
        <v>0</v>
      </c>
      <c r="AN99" s="41" t="str">
        <f t="shared" si="43"/>
        <v/>
      </c>
      <c r="AO99" s="41">
        <f t="shared" si="59"/>
        <v>0</v>
      </c>
      <c r="AP99" s="48"/>
      <c r="AQ99" s="48"/>
      <c r="AR99" s="48"/>
      <c r="AS99" s="48"/>
      <c r="AT99" s="51">
        <f t="shared" si="53"/>
        <v>95</v>
      </c>
      <c r="AU99" s="49" t="str">
        <f t="shared" si="54"/>
        <v/>
      </c>
      <c r="AV99" s="49" t="str">
        <f t="shared" si="55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2.2929392279035701E-2</v>
      </c>
      <c r="C100">
        <f t="shared" si="61"/>
        <v>2.1553628742293558E-2</v>
      </c>
      <c r="D100" s="60"/>
      <c r="E100" s="5"/>
      <c r="F100" s="5"/>
      <c r="I100" s="40"/>
      <c r="J100" s="41"/>
      <c r="K100" s="41" t="str">
        <f t="shared" si="56"/>
        <v/>
      </c>
      <c r="L100" s="42" t="str">
        <f t="shared" si="57"/>
        <v/>
      </c>
      <c r="M100" s="41" t="str">
        <f t="shared" si="58"/>
        <v/>
      </c>
      <c r="N100" s="43">
        <f t="shared" si="31"/>
        <v>0</v>
      </c>
      <c r="O100" s="44">
        <f t="shared" si="32"/>
        <v>0</v>
      </c>
      <c r="P100" s="41" t="str">
        <f t="shared" si="33"/>
        <v/>
      </c>
      <c r="Q100" s="41" t="str">
        <f t="shared" si="34"/>
        <v/>
      </c>
      <c r="R100" s="48"/>
      <c r="S100" s="44" t="str">
        <f>IF(I100&lt;&gt;"",_xlfn.XLOOKUP($D$4+I100,$A$26:$A$145,$B$26:$B$145,0) * 1000,"")</f>
        <v/>
      </c>
      <c r="T100" s="52">
        <f t="shared" si="60"/>
        <v>0</v>
      </c>
      <c r="U100" s="53" t="str">
        <f t="shared" si="45"/>
        <v/>
      </c>
      <c r="V100" s="53" t="str">
        <f t="shared" si="46"/>
        <v/>
      </c>
      <c r="W100" s="53" t="str">
        <f t="shared" si="47"/>
        <v/>
      </c>
      <c r="X100" s="46" t="str">
        <f t="shared" si="35"/>
        <v/>
      </c>
      <c r="Y100" s="48"/>
      <c r="Z100" s="41" t="str">
        <f t="shared" si="48"/>
        <v/>
      </c>
      <c r="AA100" s="41" t="str">
        <f t="shared" si="49"/>
        <v/>
      </c>
      <c r="AB100" s="41" t="str">
        <f t="shared" si="36"/>
        <v/>
      </c>
      <c r="AC100" s="41" t="str">
        <f t="shared" si="37"/>
        <v/>
      </c>
      <c r="AD100" s="48"/>
      <c r="AE100" s="41" t="str">
        <f t="shared" si="38"/>
        <v/>
      </c>
      <c r="AF100" s="41"/>
      <c r="AG100" s="41" t="str">
        <f t="shared" si="39"/>
        <v/>
      </c>
      <c r="AH100" s="41" t="str">
        <f t="shared" si="50"/>
        <v/>
      </c>
      <c r="AI100" s="41" t="str">
        <f t="shared" si="51"/>
        <v/>
      </c>
      <c r="AJ100" s="41">
        <f t="shared" si="40"/>
        <v>0</v>
      </c>
      <c r="AK100" s="41" t="str">
        <f t="shared" si="41"/>
        <v/>
      </c>
      <c r="AL100" s="41">
        <f t="shared" si="52"/>
        <v>0</v>
      </c>
      <c r="AM100" s="41">
        <f t="shared" si="42"/>
        <v>0</v>
      </c>
      <c r="AN100" s="41" t="str">
        <f t="shared" si="43"/>
        <v/>
      </c>
      <c r="AO100" s="41">
        <f t="shared" si="59"/>
        <v>0</v>
      </c>
      <c r="AP100" s="48"/>
      <c r="AQ100" s="48"/>
      <c r="AR100" s="48"/>
      <c r="AS100" s="48"/>
      <c r="AT100" s="51">
        <f t="shared" si="53"/>
        <v>96</v>
      </c>
      <c r="AU100" s="49" t="str">
        <f t="shared" si="54"/>
        <v/>
      </c>
      <c r="AV100" s="49" t="str">
        <f t="shared" si="55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2.9626299014128801E-2</v>
      </c>
      <c r="C101">
        <f t="shared" si="61"/>
        <v>2.7848721073281072E-2</v>
      </c>
      <c r="D101" s="60"/>
      <c r="E101" s="5"/>
      <c r="F101" s="5"/>
      <c r="I101" s="40"/>
      <c r="J101" s="41"/>
      <c r="K101" s="41" t="str">
        <f t="shared" si="56"/>
        <v/>
      </c>
      <c r="L101" s="42" t="str">
        <f t="shared" si="57"/>
        <v/>
      </c>
      <c r="M101" s="41" t="str">
        <f t="shared" si="58"/>
        <v/>
      </c>
      <c r="N101" s="43">
        <f t="shared" si="31"/>
        <v>0</v>
      </c>
      <c r="O101" s="44">
        <f t="shared" si="32"/>
        <v>0</v>
      </c>
      <c r="P101" s="41" t="str">
        <f t="shared" si="33"/>
        <v/>
      </c>
      <c r="Q101" s="41" t="str">
        <f t="shared" si="34"/>
        <v/>
      </c>
      <c r="R101" s="48"/>
      <c r="S101" s="44" t="str">
        <f>IF(I101&lt;&gt;"",_xlfn.XLOOKUP($D$4+I101,$A$26:$A$145,$B$26:$B$145,0) * 1000,"")</f>
        <v/>
      </c>
      <c r="T101" s="52">
        <f t="shared" si="60"/>
        <v>0</v>
      </c>
      <c r="U101" s="53" t="str">
        <f t="shared" si="45"/>
        <v/>
      </c>
      <c r="V101" s="53" t="str">
        <f t="shared" si="46"/>
        <v/>
      </c>
      <c r="W101" s="53" t="str">
        <f t="shared" si="47"/>
        <v/>
      </c>
      <c r="X101" s="46" t="str">
        <f t="shared" si="35"/>
        <v/>
      </c>
      <c r="Y101" s="48"/>
      <c r="Z101" s="41" t="str">
        <f t="shared" si="48"/>
        <v/>
      </c>
      <c r="AA101" s="41" t="str">
        <f t="shared" si="49"/>
        <v/>
      </c>
      <c r="AB101" s="41" t="str">
        <f t="shared" si="36"/>
        <v/>
      </c>
      <c r="AC101" s="41" t="str">
        <f t="shared" si="37"/>
        <v/>
      </c>
      <c r="AD101" s="48"/>
      <c r="AE101" s="41" t="str">
        <f t="shared" si="38"/>
        <v/>
      </c>
      <c r="AF101" s="41"/>
      <c r="AG101" s="41" t="str">
        <f t="shared" si="39"/>
        <v/>
      </c>
      <c r="AH101" s="41" t="str">
        <f t="shared" si="50"/>
        <v/>
      </c>
      <c r="AI101" s="41" t="str">
        <f t="shared" si="51"/>
        <v/>
      </c>
      <c r="AJ101" s="41">
        <f t="shared" si="40"/>
        <v>0</v>
      </c>
      <c r="AK101" s="41" t="str">
        <f t="shared" si="41"/>
        <v/>
      </c>
      <c r="AL101" s="41">
        <f t="shared" si="52"/>
        <v>0</v>
      </c>
      <c r="AM101" s="41">
        <f t="shared" si="42"/>
        <v>0</v>
      </c>
      <c r="AN101" s="41" t="str">
        <f t="shared" si="43"/>
        <v/>
      </c>
      <c r="AO101" s="41">
        <f t="shared" si="59"/>
        <v>0</v>
      </c>
      <c r="AP101" s="48"/>
      <c r="AQ101" s="48"/>
      <c r="AR101" s="48"/>
      <c r="AS101" s="48"/>
      <c r="AT101" s="51">
        <f t="shared" si="53"/>
        <v>97</v>
      </c>
      <c r="AU101" s="49" t="str">
        <f t="shared" si="54"/>
        <v/>
      </c>
      <c r="AV101" s="49" t="str">
        <f t="shared" si="55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3.3469124984595498E-2</v>
      </c>
      <c r="C102">
        <f t="shared" si="61"/>
        <v>3.1460977485519764E-2</v>
      </c>
      <c r="D102" s="60"/>
      <c r="E102" s="5"/>
      <c r="F102" s="5"/>
      <c r="I102" s="40"/>
      <c r="J102" s="41"/>
      <c r="K102" s="41" t="str">
        <f t="shared" si="56"/>
        <v/>
      </c>
      <c r="L102" s="42" t="str">
        <f t="shared" si="57"/>
        <v/>
      </c>
      <c r="M102" s="41" t="str">
        <f t="shared" si="58"/>
        <v/>
      </c>
      <c r="N102" s="43">
        <f t="shared" si="31"/>
        <v>0</v>
      </c>
      <c r="O102" s="44">
        <f t="shared" si="32"/>
        <v>0</v>
      </c>
      <c r="P102" s="41" t="str">
        <f t="shared" si="33"/>
        <v/>
      </c>
      <c r="Q102" s="41" t="str">
        <f t="shared" si="34"/>
        <v/>
      </c>
      <c r="R102" s="48"/>
      <c r="S102" s="44" t="str">
        <f>IF(I102&lt;&gt;"",_xlfn.XLOOKUP($D$4+I102,$A$26:$A$145,$B$26:$B$145,0) * 1000,"")</f>
        <v/>
      </c>
      <c r="T102" s="52">
        <f t="shared" si="60"/>
        <v>0</v>
      </c>
      <c r="U102" s="53" t="str">
        <f t="shared" si="45"/>
        <v/>
      </c>
      <c r="V102" s="53" t="str">
        <f t="shared" si="46"/>
        <v/>
      </c>
      <c r="W102" s="53" t="str">
        <f t="shared" si="47"/>
        <v/>
      </c>
      <c r="X102" s="46" t="str">
        <f t="shared" si="35"/>
        <v/>
      </c>
      <c r="Y102" s="48"/>
      <c r="Z102" s="41" t="str">
        <f t="shared" si="48"/>
        <v/>
      </c>
      <c r="AA102" s="41" t="str">
        <f t="shared" si="49"/>
        <v/>
      </c>
      <c r="AB102" s="41" t="str">
        <f t="shared" si="36"/>
        <v/>
      </c>
      <c r="AC102" s="41" t="str">
        <f t="shared" si="37"/>
        <v/>
      </c>
      <c r="AD102" s="48"/>
      <c r="AE102" s="41" t="str">
        <f t="shared" si="38"/>
        <v/>
      </c>
      <c r="AF102" s="41"/>
      <c r="AG102" s="41" t="str">
        <f t="shared" si="39"/>
        <v/>
      </c>
      <c r="AH102" s="41" t="str">
        <f t="shared" si="50"/>
        <v/>
      </c>
      <c r="AI102" s="41" t="str">
        <f t="shared" si="51"/>
        <v/>
      </c>
      <c r="AJ102" s="41">
        <f t="shared" si="40"/>
        <v>0</v>
      </c>
      <c r="AK102" s="41" t="str">
        <f t="shared" si="41"/>
        <v/>
      </c>
      <c r="AL102" s="41">
        <f t="shared" si="52"/>
        <v>0</v>
      </c>
      <c r="AM102" s="41">
        <f t="shared" si="42"/>
        <v>0</v>
      </c>
      <c r="AN102" s="41" t="str">
        <f t="shared" si="43"/>
        <v/>
      </c>
      <c r="AO102" s="41">
        <f t="shared" si="59"/>
        <v>0</v>
      </c>
      <c r="AP102" s="48"/>
      <c r="AQ102" s="48"/>
      <c r="AR102" s="48"/>
      <c r="AS102" s="48"/>
      <c r="AT102" s="51">
        <f t="shared" si="53"/>
        <v>98</v>
      </c>
      <c r="AU102" s="49" t="str">
        <f t="shared" si="54"/>
        <v/>
      </c>
      <c r="AV102" s="49" t="str">
        <f t="shared" si="55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3.7769932885946697E-2</v>
      </c>
      <c r="C103">
        <f t="shared" si="61"/>
        <v>3.5503736912789893E-2</v>
      </c>
      <c r="D103" s="60"/>
      <c r="E103" s="5"/>
      <c r="F103" s="5"/>
      <c r="I103" s="40"/>
      <c r="J103" s="41"/>
      <c r="K103" s="41" t="str">
        <f t="shared" si="56"/>
        <v/>
      </c>
      <c r="L103" s="42" t="str">
        <f t="shared" si="57"/>
        <v/>
      </c>
      <c r="M103" s="41" t="str">
        <f t="shared" si="58"/>
        <v/>
      </c>
      <c r="N103" s="43">
        <f t="shared" si="31"/>
        <v>0</v>
      </c>
      <c r="O103" s="44">
        <f t="shared" si="32"/>
        <v>0</v>
      </c>
      <c r="P103" s="41" t="str">
        <f t="shared" si="33"/>
        <v/>
      </c>
      <c r="Q103" s="41" t="str">
        <f t="shared" si="34"/>
        <v/>
      </c>
      <c r="R103" s="48"/>
      <c r="S103" s="44" t="str">
        <f>IF(I103&lt;&gt;"",_xlfn.XLOOKUP($D$4+I103,$A$26:$A$145,$B$26:$B$145,0) * 1000,"")</f>
        <v/>
      </c>
      <c r="T103" s="52">
        <f t="shared" si="60"/>
        <v>0</v>
      </c>
      <c r="U103" s="53" t="str">
        <f t="shared" si="45"/>
        <v/>
      </c>
      <c r="V103" s="53" t="str">
        <f t="shared" si="46"/>
        <v/>
      </c>
      <c r="W103" s="53" t="str">
        <f t="shared" si="47"/>
        <v/>
      </c>
      <c r="X103" s="46" t="str">
        <f t="shared" si="35"/>
        <v/>
      </c>
      <c r="Y103" s="48"/>
      <c r="Z103" s="41" t="str">
        <f t="shared" si="48"/>
        <v/>
      </c>
      <c r="AA103" s="41" t="str">
        <f t="shared" si="49"/>
        <v/>
      </c>
      <c r="AB103" s="41" t="str">
        <f t="shared" si="36"/>
        <v/>
      </c>
      <c r="AC103" s="41" t="str">
        <f t="shared" si="37"/>
        <v/>
      </c>
      <c r="AD103" s="48"/>
      <c r="AE103" s="41" t="str">
        <f t="shared" si="38"/>
        <v/>
      </c>
      <c r="AF103" s="41"/>
      <c r="AG103" s="41" t="str">
        <f t="shared" si="39"/>
        <v/>
      </c>
      <c r="AH103" s="41" t="str">
        <f t="shared" si="50"/>
        <v/>
      </c>
      <c r="AI103" s="41" t="str">
        <f t="shared" si="51"/>
        <v/>
      </c>
      <c r="AJ103" s="41">
        <f t="shared" si="40"/>
        <v>0</v>
      </c>
      <c r="AK103" s="41" t="str">
        <f t="shared" si="41"/>
        <v/>
      </c>
      <c r="AL103" s="41">
        <f t="shared" si="52"/>
        <v>0</v>
      </c>
      <c r="AM103" s="41">
        <f t="shared" si="42"/>
        <v>0</v>
      </c>
      <c r="AN103" s="41" t="str">
        <f t="shared" si="43"/>
        <v/>
      </c>
      <c r="AO103" s="41">
        <f t="shared" si="59"/>
        <v>0</v>
      </c>
      <c r="AP103" s="48"/>
      <c r="AQ103" s="48"/>
      <c r="AR103" s="48"/>
      <c r="AS103" s="48"/>
      <c r="AT103" s="51">
        <f t="shared" si="53"/>
        <v>99</v>
      </c>
      <c r="AU103" s="49" t="str">
        <f t="shared" si="54"/>
        <v/>
      </c>
      <c r="AV103" s="49" t="str">
        <f t="shared" si="55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4.2560780604462299E-2</v>
      </c>
      <c r="C104">
        <f t="shared" si="61"/>
        <v>4.0007133768194557E-2</v>
      </c>
      <c r="D104" s="60"/>
      <c r="E104" s="5"/>
      <c r="F104" s="5"/>
      <c r="I104" s="40"/>
      <c r="J104" s="41"/>
      <c r="K104" s="41" t="str">
        <f t="shared" si="56"/>
        <v/>
      </c>
      <c r="L104" s="42" t="str">
        <f t="shared" si="57"/>
        <v/>
      </c>
      <c r="M104" s="41" t="str">
        <f t="shared" si="58"/>
        <v/>
      </c>
      <c r="N104" s="43">
        <f t="shared" si="31"/>
        <v>0</v>
      </c>
      <c r="O104" s="44">
        <f t="shared" si="32"/>
        <v>0</v>
      </c>
      <c r="P104" s="41" t="str">
        <f t="shared" si="33"/>
        <v/>
      </c>
      <c r="Q104" s="41" t="str">
        <f t="shared" si="34"/>
        <v/>
      </c>
      <c r="R104" s="48"/>
      <c r="S104" s="44" t="str">
        <f>IF(I104&lt;&gt;"",_xlfn.XLOOKUP($D$4+I104,$A$26:$A$145,$B$26:$B$145,0) * 1000,"")</f>
        <v/>
      </c>
      <c r="T104" s="52">
        <f t="shared" si="60"/>
        <v>0</v>
      </c>
      <c r="U104" s="53" t="str">
        <f t="shared" si="45"/>
        <v/>
      </c>
      <c r="V104" s="53" t="str">
        <f t="shared" si="46"/>
        <v/>
      </c>
      <c r="W104" s="53" t="str">
        <f t="shared" si="47"/>
        <v/>
      </c>
      <c r="X104" s="46" t="str">
        <f t="shared" si="35"/>
        <v/>
      </c>
      <c r="Y104" s="48"/>
      <c r="Z104" s="41" t="str">
        <f t="shared" si="48"/>
        <v/>
      </c>
      <c r="AA104" s="41" t="str">
        <f t="shared" si="49"/>
        <v/>
      </c>
      <c r="AB104" s="41" t="str">
        <f t="shared" si="36"/>
        <v/>
      </c>
      <c r="AC104" s="41" t="str">
        <f t="shared" si="37"/>
        <v/>
      </c>
      <c r="AD104" s="48"/>
      <c r="AE104" s="41" t="str">
        <f t="shared" si="38"/>
        <v/>
      </c>
      <c r="AF104" s="41"/>
      <c r="AG104" s="41" t="str">
        <f t="shared" si="39"/>
        <v/>
      </c>
      <c r="AH104" s="41" t="str">
        <f t="shared" si="50"/>
        <v/>
      </c>
      <c r="AI104" s="41" t="str">
        <f t="shared" si="51"/>
        <v/>
      </c>
      <c r="AJ104" s="41">
        <f t="shared" si="40"/>
        <v>0</v>
      </c>
      <c r="AK104" s="41" t="str">
        <f t="shared" si="41"/>
        <v/>
      </c>
      <c r="AL104" s="41">
        <f t="shared" si="52"/>
        <v>0</v>
      </c>
      <c r="AM104" s="41">
        <f t="shared" si="42"/>
        <v>0</v>
      </c>
      <c r="AN104" s="41" t="str">
        <f t="shared" si="43"/>
        <v/>
      </c>
      <c r="AO104" s="41">
        <f t="shared" si="59"/>
        <v>0</v>
      </c>
      <c r="AP104" s="48"/>
      <c r="AQ104" s="48"/>
      <c r="AR104" s="48"/>
      <c r="AS104" s="48"/>
      <c r="AT104" s="51">
        <f t="shared" si="53"/>
        <v>100</v>
      </c>
      <c r="AU104" s="49" t="str">
        <f t="shared" si="54"/>
        <v/>
      </c>
      <c r="AV104" s="49" t="str">
        <f t="shared" si="55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4.7795789741909699E-2</v>
      </c>
      <c r="C105">
        <f t="shared" si="61"/>
        <v>4.4928042357395115E-2</v>
      </c>
      <c r="D105" s="60"/>
      <c r="E105" s="5"/>
      <c r="F105" s="5"/>
      <c r="I105" s="40"/>
      <c r="J105" s="41"/>
      <c r="K105" s="41" t="str">
        <f t="shared" si="56"/>
        <v/>
      </c>
      <c r="L105" s="42" t="str">
        <f t="shared" si="57"/>
        <v/>
      </c>
      <c r="M105" s="41" t="str">
        <f t="shared" si="58"/>
        <v/>
      </c>
      <c r="N105" s="43">
        <f t="shared" si="31"/>
        <v>0</v>
      </c>
      <c r="O105" s="44">
        <f t="shared" si="32"/>
        <v>0</v>
      </c>
      <c r="P105" s="41" t="str">
        <f t="shared" si="33"/>
        <v/>
      </c>
      <c r="Q105" s="41" t="str">
        <f t="shared" si="34"/>
        <v/>
      </c>
      <c r="R105" s="48"/>
      <c r="S105" s="44" t="str">
        <f>IF(I105&lt;&gt;"",_xlfn.XLOOKUP($D$4+I105,$A$26:$A$145,$B$26:$B$145,0) * 1000,"")</f>
        <v/>
      </c>
      <c r="T105" s="52">
        <f t="shared" si="60"/>
        <v>0</v>
      </c>
      <c r="U105" s="53" t="str">
        <f t="shared" si="45"/>
        <v/>
      </c>
      <c r="V105" s="53" t="str">
        <f t="shared" si="46"/>
        <v/>
      </c>
      <c r="W105" s="53" t="str">
        <f t="shared" si="47"/>
        <v/>
      </c>
      <c r="X105" s="46" t="str">
        <f t="shared" si="35"/>
        <v/>
      </c>
      <c r="Y105" s="48"/>
      <c r="Z105" s="41" t="str">
        <f t="shared" si="48"/>
        <v/>
      </c>
      <c r="AA105" s="41" t="str">
        <f t="shared" si="49"/>
        <v/>
      </c>
      <c r="AB105" s="41" t="str">
        <f t="shared" si="36"/>
        <v/>
      </c>
      <c r="AC105" s="41" t="str">
        <f t="shared" si="37"/>
        <v/>
      </c>
      <c r="AD105" s="48"/>
      <c r="AE105" s="41" t="str">
        <f t="shared" si="38"/>
        <v/>
      </c>
      <c r="AF105" s="41"/>
      <c r="AG105" s="41" t="str">
        <f t="shared" si="39"/>
        <v/>
      </c>
      <c r="AH105" s="41" t="str">
        <f t="shared" si="50"/>
        <v/>
      </c>
      <c r="AI105" s="41" t="str">
        <f t="shared" si="51"/>
        <v/>
      </c>
      <c r="AJ105" s="41">
        <f t="shared" si="40"/>
        <v>0</v>
      </c>
      <c r="AK105" s="41" t="str">
        <f t="shared" si="41"/>
        <v/>
      </c>
      <c r="AL105" s="41">
        <f t="shared" si="52"/>
        <v>0</v>
      </c>
      <c r="AM105" s="41">
        <f t="shared" si="42"/>
        <v>0</v>
      </c>
      <c r="AN105" s="41" t="str">
        <f t="shared" si="43"/>
        <v/>
      </c>
      <c r="AO105" s="41">
        <f t="shared" si="59"/>
        <v>0</v>
      </c>
      <c r="AP105" s="48"/>
      <c r="AQ105" s="48"/>
      <c r="AR105" s="48"/>
      <c r="AS105" s="48"/>
      <c r="AT105" s="51">
        <f t="shared" si="53"/>
        <v>101</v>
      </c>
      <c r="AU105" s="49" t="str">
        <f t="shared" si="54"/>
        <v/>
      </c>
      <c r="AV105" s="49" t="str">
        <f t="shared" si="55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5.3557429341000502E-2</v>
      </c>
      <c r="C106">
        <f t="shared" si="61"/>
        <v>5.0343983580540472E-2</v>
      </c>
      <c r="D106" s="60"/>
      <c r="E106" s="5"/>
      <c r="F106" s="5"/>
      <c r="I106" s="40"/>
      <c r="J106" s="41"/>
      <c r="K106" s="41" t="str">
        <f t="shared" si="56"/>
        <v/>
      </c>
      <c r="L106" s="42" t="str">
        <f t="shared" si="57"/>
        <v/>
      </c>
      <c r="M106" s="41" t="str">
        <f t="shared" si="58"/>
        <v/>
      </c>
      <c r="N106" s="43">
        <f t="shared" si="31"/>
        <v>0</v>
      </c>
      <c r="O106" s="44">
        <f t="shared" si="32"/>
        <v>0</v>
      </c>
      <c r="P106" s="41" t="str">
        <f t="shared" si="33"/>
        <v/>
      </c>
      <c r="Q106" s="41" t="str">
        <f t="shared" si="34"/>
        <v/>
      </c>
      <c r="R106" s="48"/>
      <c r="S106" s="44" t="str">
        <f>IF(I106&lt;&gt;"",_xlfn.XLOOKUP($D$4+I106,$A$26:$A$145,$B$26:$B$145,0) * 1000,"")</f>
        <v/>
      </c>
      <c r="T106" s="52">
        <f t="shared" si="60"/>
        <v>0</v>
      </c>
      <c r="U106" s="53" t="str">
        <f t="shared" si="45"/>
        <v/>
      </c>
      <c r="V106" s="53" t="str">
        <f t="shared" si="46"/>
        <v/>
      </c>
      <c r="W106" s="53" t="str">
        <f t="shared" si="47"/>
        <v/>
      </c>
      <c r="X106" s="46" t="str">
        <f t="shared" si="35"/>
        <v/>
      </c>
      <c r="Y106" s="48"/>
      <c r="Z106" s="41" t="str">
        <f t="shared" si="48"/>
        <v/>
      </c>
      <c r="AA106" s="41" t="str">
        <f t="shared" si="49"/>
        <v/>
      </c>
      <c r="AB106" s="41" t="str">
        <f t="shared" si="36"/>
        <v/>
      </c>
      <c r="AC106" s="41" t="str">
        <f t="shared" si="37"/>
        <v/>
      </c>
      <c r="AD106" s="48"/>
      <c r="AE106" s="41" t="str">
        <f t="shared" si="38"/>
        <v/>
      </c>
      <c r="AF106" s="41"/>
      <c r="AG106" s="41" t="str">
        <f t="shared" si="39"/>
        <v/>
      </c>
      <c r="AH106" s="41" t="str">
        <f t="shared" si="50"/>
        <v/>
      </c>
      <c r="AI106" s="41" t="str">
        <f t="shared" si="51"/>
        <v/>
      </c>
      <c r="AJ106" s="41">
        <f t="shared" si="40"/>
        <v>0</v>
      </c>
      <c r="AK106" s="41" t="str">
        <f t="shared" si="41"/>
        <v/>
      </c>
      <c r="AL106" s="41">
        <f t="shared" si="52"/>
        <v>0</v>
      </c>
      <c r="AM106" s="41">
        <f t="shared" si="42"/>
        <v>0</v>
      </c>
      <c r="AN106" s="41" t="str">
        <f t="shared" si="43"/>
        <v/>
      </c>
      <c r="AO106" s="41">
        <f t="shared" si="59"/>
        <v>0</v>
      </c>
      <c r="AP106" s="48"/>
      <c r="AQ106" s="48"/>
      <c r="AR106" s="48"/>
      <c r="AS106" s="48"/>
      <c r="AT106" s="51">
        <f t="shared" si="53"/>
        <v>102</v>
      </c>
      <c r="AU106" s="49" t="str">
        <f t="shared" si="54"/>
        <v/>
      </c>
      <c r="AV106" s="49" t="str">
        <f t="shared" si="55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6.0048558902911102E-2</v>
      </c>
      <c r="C107">
        <f t="shared" si="61"/>
        <v>5.6445645368736433E-2</v>
      </c>
      <c r="D107" s="60"/>
      <c r="E107" s="5"/>
      <c r="F107" s="5"/>
      <c r="I107" s="40"/>
      <c r="J107" s="41"/>
      <c r="K107" s="41" t="str">
        <f t="shared" si="56"/>
        <v/>
      </c>
      <c r="L107" s="42" t="str">
        <f t="shared" si="57"/>
        <v/>
      </c>
      <c r="M107" s="41" t="str">
        <f t="shared" si="58"/>
        <v/>
      </c>
      <c r="N107" s="43">
        <f t="shared" si="31"/>
        <v>0</v>
      </c>
      <c r="O107" s="44">
        <f t="shared" si="32"/>
        <v>0</v>
      </c>
      <c r="P107" s="41" t="str">
        <f t="shared" si="33"/>
        <v/>
      </c>
      <c r="Q107" s="41" t="str">
        <f t="shared" si="34"/>
        <v/>
      </c>
      <c r="R107" s="48"/>
      <c r="S107" s="44" t="str">
        <f>IF(I107&lt;&gt;"",_xlfn.XLOOKUP($D$4+I107,$A$26:$A$145,$B$26:$B$145,0) * 1000,"")</f>
        <v/>
      </c>
      <c r="T107" s="52">
        <f t="shared" si="60"/>
        <v>0</v>
      </c>
      <c r="U107" s="53" t="str">
        <f t="shared" si="45"/>
        <v/>
      </c>
      <c r="V107" s="53" t="str">
        <f t="shared" si="46"/>
        <v/>
      </c>
      <c r="W107" s="53" t="str">
        <f t="shared" si="47"/>
        <v/>
      </c>
      <c r="X107" s="46" t="str">
        <f t="shared" si="35"/>
        <v/>
      </c>
      <c r="Y107" s="48"/>
      <c r="Z107" s="41" t="str">
        <f t="shared" si="48"/>
        <v/>
      </c>
      <c r="AA107" s="41" t="str">
        <f t="shared" si="49"/>
        <v/>
      </c>
      <c r="AB107" s="41" t="str">
        <f t="shared" si="36"/>
        <v/>
      </c>
      <c r="AC107" s="41" t="str">
        <f t="shared" si="37"/>
        <v/>
      </c>
      <c r="AD107" s="48"/>
      <c r="AE107" s="41" t="str">
        <f t="shared" si="38"/>
        <v/>
      </c>
      <c r="AF107" s="41"/>
      <c r="AG107" s="41" t="str">
        <f t="shared" si="39"/>
        <v/>
      </c>
      <c r="AH107" s="41" t="str">
        <f t="shared" si="50"/>
        <v/>
      </c>
      <c r="AI107" s="41" t="str">
        <f t="shared" si="51"/>
        <v/>
      </c>
      <c r="AJ107" s="41">
        <f t="shared" si="40"/>
        <v>0</v>
      </c>
      <c r="AK107" s="41" t="str">
        <f t="shared" si="41"/>
        <v/>
      </c>
      <c r="AL107" s="41">
        <f t="shared" si="52"/>
        <v>0</v>
      </c>
      <c r="AM107" s="41">
        <f t="shared" si="42"/>
        <v>0</v>
      </c>
      <c r="AN107" s="41" t="str">
        <f t="shared" si="43"/>
        <v/>
      </c>
      <c r="AO107" s="41">
        <f t="shared" si="59"/>
        <v>0</v>
      </c>
      <c r="AP107" s="48"/>
      <c r="AQ107" s="48"/>
      <c r="AR107" s="48"/>
      <c r="AS107" s="48"/>
      <c r="AT107" s="51">
        <f t="shared" si="53"/>
        <v>103</v>
      </c>
      <c r="AU107" s="49" t="str">
        <f t="shared" si="54"/>
        <v/>
      </c>
      <c r="AV107" s="49" t="str">
        <f t="shared" si="55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6.7353858678097803E-2</v>
      </c>
      <c r="C108">
        <f t="shared" si="61"/>
        <v>6.3312627157411927E-2</v>
      </c>
      <c r="D108" s="60"/>
      <c r="E108" s="5"/>
      <c r="F108" s="5"/>
      <c r="I108" s="40"/>
      <c r="J108" s="41"/>
      <c r="K108" s="41" t="str">
        <f t="shared" si="56"/>
        <v/>
      </c>
      <c r="L108" s="42" t="str">
        <f t="shared" si="57"/>
        <v/>
      </c>
      <c r="M108" s="41" t="str">
        <f t="shared" si="58"/>
        <v/>
      </c>
      <c r="N108" s="43">
        <f t="shared" si="31"/>
        <v>0</v>
      </c>
      <c r="O108" s="44">
        <f t="shared" si="32"/>
        <v>0</v>
      </c>
      <c r="P108" s="41" t="str">
        <f t="shared" si="33"/>
        <v/>
      </c>
      <c r="Q108" s="41" t="str">
        <f t="shared" si="34"/>
        <v/>
      </c>
      <c r="R108" s="48"/>
      <c r="S108" s="44" t="str">
        <f>IF(I108&lt;&gt;"",_xlfn.XLOOKUP($D$4+I108,$A$26:$A$145,$B$26:$B$145,0) * 1000,"")</f>
        <v/>
      </c>
      <c r="T108" s="52">
        <f t="shared" si="60"/>
        <v>0</v>
      </c>
      <c r="U108" s="53" t="str">
        <f t="shared" si="45"/>
        <v/>
      </c>
      <c r="V108" s="53" t="str">
        <f t="shared" si="46"/>
        <v/>
      </c>
      <c r="W108" s="53" t="str">
        <f t="shared" si="47"/>
        <v/>
      </c>
      <c r="X108" s="46" t="str">
        <f t="shared" si="35"/>
        <v/>
      </c>
      <c r="Y108" s="48"/>
      <c r="Z108" s="41" t="str">
        <f t="shared" si="48"/>
        <v/>
      </c>
      <c r="AA108" s="41" t="str">
        <f t="shared" si="49"/>
        <v/>
      </c>
      <c r="AB108" s="41" t="str">
        <f t="shared" si="36"/>
        <v/>
      </c>
      <c r="AC108" s="41" t="str">
        <f t="shared" si="37"/>
        <v/>
      </c>
      <c r="AD108" s="48"/>
      <c r="AE108" s="41" t="str">
        <f t="shared" si="38"/>
        <v/>
      </c>
      <c r="AF108" s="41"/>
      <c r="AG108" s="41" t="str">
        <f t="shared" si="39"/>
        <v/>
      </c>
      <c r="AH108" s="41" t="str">
        <f t="shared" si="50"/>
        <v/>
      </c>
      <c r="AI108" s="41" t="str">
        <f t="shared" si="51"/>
        <v/>
      </c>
      <c r="AJ108" s="41">
        <f t="shared" si="40"/>
        <v>0</v>
      </c>
      <c r="AK108" s="41" t="str">
        <f t="shared" si="41"/>
        <v/>
      </c>
      <c r="AL108" s="41">
        <f t="shared" si="52"/>
        <v>0</v>
      </c>
      <c r="AM108" s="41">
        <f t="shared" si="42"/>
        <v>0</v>
      </c>
      <c r="AN108" s="41" t="str">
        <f t="shared" si="43"/>
        <v/>
      </c>
      <c r="AO108" s="41">
        <f t="shared" si="59"/>
        <v>0</v>
      </c>
      <c r="AP108" s="48"/>
      <c r="AQ108" s="48"/>
      <c r="AR108" s="48"/>
      <c r="AS108" s="48"/>
      <c r="AT108" s="51">
        <f t="shared" si="53"/>
        <v>104</v>
      </c>
      <c r="AU108" s="49" t="str">
        <f t="shared" si="54"/>
        <v/>
      </c>
      <c r="AV108" s="49" t="str">
        <f t="shared" si="55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7.5607462247925E-2</v>
      </c>
      <c r="C109">
        <f t="shared" si="61"/>
        <v>7.1071014513049494E-2</v>
      </c>
      <c r="D109" s="60"/>
      <c r="E109" s="5"/>
      <c r="F109" s="5"/>
      <c r="I109" s="40"/>
      <c r="J109" s="41"/>
      <c r="K109" s="41" t="str">
        <f t="shared" si="56"/>
        <v/>
      </c>
      <c r="L109" s="42" t="str">
        <f t="shared" si="57"/>
        <v/>
      </c>
      <c r="M109" s="41" t="str">
        <f t="shared" si="58"/>
        <v/>
      </c>
      <c r="N109" s="43">
        <f t="shared" si="31"/>
        <v>0</v>
      </c>
      <c r="O109" s="44">
        <f t="shared" si="32"/>
        <v>0</v>
      </c>
      <c r="P109" s="41" t="str">
        <f t="shared" si="33"/>
        <v/>
      </c>
      <c r="Q109" s="41" t="str">
        <f t="shared" si="34"/>
        <v/>
      </c>
      <c r="R109" s="48"/>
      <c r="S109" s="44" t="str">
        <f>IF(I109&lt;&gt;"",_xlfn.XLOOKUP($D$4+I109,$A$26:$A$145,$B$26:$B$145,0) * 1000,"")</f>
        <v/>
      </c>
      <c r="T109" s="52">
        <f t="shared" si="60"/>
        <v>0</v>
      </c>
      <c r="U109" s="53" t="str">
        <f t="shared" si="45"/>
        <v/>
      </c>
      <c r="V109" s="53" t="str">
        <f t="shared" si="46"/>
        <v/>
      </c>
      <c r="W109" s="53" t="str">
        <f t="shared" si="47"/>
        <v/>
      </c>
      <c r="X109" s="46" t="str">
        <f t="shared" si="35"/>
        <v/>
      </c>
      <c r="Y109" s="48"/>
      <c r="Z109" s="41" t="str">
        <f t="shared" si="48"/>
        <v/>
      </c>
      <c r="AA109" s="41" t="str">
        <f t="shared" si="49"/>
        <v/>
      </c>
      <c r="AB109" s="41" t="str">
        <f t="shared" si="36"/>
        <v/>
      </c>
      <c r="AC109" s="41" t="str">
        <f t="shared" si="37"/>
        <v/>
      </c>
      <c r="AD109" s="48"/>
      <c r="AE109" s="41" t="str">
        <f t="shared" si="38"/>
        <v/>
      </c>
      <c r="AF109" s="41"/>
      <c r="AG109" s="41" t="str">
        <f t="shared" si="39"/>
        <v/>
      </c>
      <c r="AH109" s="41" t="str">
        <f t="shared" si="50"/>
        <v/>
      </c>
      <c r="AI109" s="41" t="str">
        <f t="shared" si="51"/>
        <v/>
      </c>
      <c r="AJ109" s="41">
        <f t="shared" si="40"/>
        <v>0</v>
      </c>
      <c r="AK109" s="41" t="str">
        <f t="shared" si="41"/>
        <v/>
      </c>
      <c r="AL109" s="41">
        <f t="shared" si="52"/>
        <v>0</v>
      </c>
      <c r="AM109" s="41">
        <f t="shared" si="42"/>
        <v>0</v>
      </c>
      <c r="AN109" s="41" t="str">
        <f t="shared" si="43"/>
        <v/>
      </c>
      <c r="AO109" s="41">
        <f t="shared" si="59"/>
        <v>0</v>
      </c>
      <c r="AP109" s="48"/>
      <c r="AQ109" s="48"/>
      <c r="AR109" s="48"/>
      <c r="AS109" s="48"/>
      <c r="AT109" s="51">
        <f t="shared" si="53"/>
        <v>105</v>
      </c>
      <c r="AU109" s="49" t="str">
        <f t="shared" si="54"/>
        <v/>
      </c>
      <c r="AV109" s="49" t="str">
        <f t="shared" si="55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8.4541493126360306E-2</v>
      </c>
      <c r="C110">
        <f t="shared" si="61"/>
        <v>7.9469003538778685E-2</v>
      </c>
      <c r="D110" s="60"/>
      <c r="E110" s="5"/>
      <c r="F110" s="5"/>
      <c r="I110" s="40"/>
      <c r="J110" s="41"/>
      <c r="K110" s="41" t="str">
        <f t="shared" si="56"/>
        <v/>
      </c>
      <c r="L110" s="42" t="str">
        <f t="shared" si="57"/>
        <v/>
      </c>
      <c r="M110" s="41" t="str">
        <f t="shared" si="58"/>
        <v/>
      </c>
      <c r="N110" s="43">
        <f t="shared" si="31"/>
        <v>0</v>
      </c>
      <c r="O110" s="44">
        <f t="shared" si="32"/>
        <v>0</v>
      </c>
      <c r="P110" s="41" t="str">
        <f t="shared" si="33"/>
        <v/>
      </c>
      <c r="Q110" s="41" t="str">
        <f t="shared" si="34"/>
        <v/>
      </c>
      <c r="R110" s="48"/>
      <c r="S110" s="44" t="str">
        <f>IF(I110&lt;&gt;"",_xlfn.XLOOKUP($D$4+I110,$A$26:$A$145,$B$26:$B$145,0) * 1000,"")</f>
        <v/>
      </c>
      <c r="T110" s="52">
        <f t="shared" si="60"/>
        <v>0</v>
      </c>
      <c r="U110" s="53" t="str">
        <f t="shared" si="45"/>
        <v/>
      </c>
      <c r="V110" s="53" t="str">
        <f t="shared" si="46"/>
        <v/>
      </c>
      <c r="W110" s="53" t="str">
        <f t="shared" si="47"/>
        <v/>
      </c>
      <c r="X110" s="46" t="str">
        <f t="shared" si="35"/>
        <v/>
      </c>
      <c r="Y110" s="48"/>
      <c r="Z110" s="41" t="str">
        <f t="shared" si="48"/>
        <v/>
      </c>
      <c r="AA110" s="41" t="str">
        <f t="shared" si="49"/>
        <v/>
      </c>
      <c r="AB110" s="41" t="str">
        <f t="shared" si="36"/>
        <v/>
      </c>
      <c r="AC110" s="41" t="str">
        <f t="shared" si="37"/>
        <v/>
      </c>
      <c r="AD110" s="48"/>
      <c r="AE110" s="41" t="str">
        <f t="shared" si="38"/>
        <v/>
      </c>
      <c r="AF110" s="41"/>
      <c r="AG110" s="41" t="str">
        <f t="shared" si="39"/>
        <v/>
      </c>
      <c r="AH110" s="41" t="str">
        <f t="shared" si="50"/>
        <v/>
      </c>
      <c r="AI110" s="41" t="str">
        <f t="shared" si="51"/>
        <v/>
      </c>
      <c r="AJ110" s="41">
        <f t="shared" si="40"/>
        <v>0</v>
      </c>
      <c r="AK110" s="41" t="str">
        <f t="shared" si="41"/>
        <v/>
      </c>
      <c r="AL110" s="41">
        <f t="shared" si="52"/>
        <v>0</v>
      </c>
      <c r="AM110" s="41">
        <f t="shared" si="42"/>
        <v>0</v>
      </c>
      <c r="AN110" s="41" t="str">
        <f t="shared" si="43"/>
        <v/>
      </c>
      <c r="AO110" s="41">
        <f t="shared" si="59"/>
        <v>0</v>
      </c>
      <c r="AP110" s="48"/>
      <c r="AQ110" s="48"/>
      <c r="AR110" s="48"/>
      <c r="AS110" s="48"/>
      <c r="AT110" s="51">
        <f t="shared" si="53"/>
        <v>106</v>
      </c>
      <c r="AU110" s="49" t="str">
        <f t="shared" si="54"/>
        <v/>
      </c>
      <c r="AV110" s="49" t="str">
        <f t="shared" si="55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9.3896984302318506E-2</v>
      </c>
      <c r="C111">
        <f t="shared" si="61"/>
        <v>8.826316524417939E-2</v>
      </c>
      <c r="D111" s="60"/>
      <c r="E111" s="5"/>
      <c r="F111" s="5"/>
      <c r="I111" s="40"/>
      <c r="J111" s="41"/>
      <c r="K111" s="41" t="str">
        <f t="shared" si="56"/>
        <v/>
      </c>
      <c r="L111" s="42" t="str">
        <f t="shared" si="57"/>
        <v/>
      </c>
      <c r="M111" s="41" t="str">
        <f t="shared" si="58"/>
        <v/>
      </c>
      <c r="N111" s="43">
        <f t="shared" si="31"/>
        <v>0</v>
      </c>
      <c r="O111" s="44">
        <f t="shared" si="32"/>
        <v>0</v>
      </c>
      <c r="P111" s="41" t="str">
        <f t="shared" si="33"/>
        <v/>
      </c>
      <c r="Q111" s="41" t="str">
        <f t="shared" si="34"/>
        <v/>
      </c>
      <c r="R111" s="48"/>
      <c r="S111" s="44" t="str">
        <f>IF(I111&lt;&gt;"",_xlfn.XLOOKUP($D$4+I111,$A$26:$A$145,$B$26:$B$145,0) * 1000,"")</f>
        <v/>
      </c>
      <c r="T111" s="52">
        <f t="shared" si="60"/>
        <v>0</v>
      </c>
      <c r="U111" s="53" t="str">
        <f t="shared" si="45"/>
        <v/>
      </c>
      <c r="V111" s="53" t="str">
        <f t="shared" si="46"/>
        <v/>
      </c>
      <c r="W111" s="53" t="str">
        <f t="shared" si="47"/>
        <v/>
      </c>
      <c r="X111" s="46" t="str">
        <f t="shared" si="35"/>
        <v/>
      </c>
      <c r="Y111" s="48"/>
      <c r="Z111" s="41" t="str">
        <f t="shared" si="48"/>
        <v/>
      </c>
      <c r="AA111" s="41" t="str">
        <f t="shared" si="49"/>
        <v/>
      </c>
      <c r="AB111" s="41" t="str">
        <f t="shared" si="36"/>
        <v/>
      </c>
      <c r="AC111" s="41" t="str">
        <f t="shared" si="37"/>
        <v/>
      </c>
      <c r="AD111" s="48"/>
      <c r="AE111" s="41" t="str">
        <f t="shared" si="38"/>
        <v/>
      </c>
      <c r="AF111" s="41"/>
      <c r="AG111" s="41" t="str">
        <f t="shared" si="39"/>
        <v/>
      </c>
      <c r="AH111" s="41" t="str">
        <f t="shared" si="50"/>
        <v/>
      </c>
      <c r="AI111" s="41" t="str">
        <f t="shared" si="51"/>
        <v/>
      </c>
      <c r="AJ111" s="41">
        <f t="shared" si="40"/>
        <v>0</v>
      </c>
      <c r="AK111" s="41" t="str">
        <f t="shared" si="41"/>
        <v/>
      </c>
      <c r="AL111" s="41">
        <f t="shared" si="52"/>
        <v>0</v>
      </c>
      <c r="AM111" s="41">
        <f t="shared" si="42"/>
        <v>0</v>
      </c>
      <c r="AN111" s="41" t="str">
        <f t="shared" si="43"/>
        <v/>
      </c>
      <c r="AO111" s="41">
        <f t="shared" si="59"/>
        <v>0</v>
      </c>
      <c r="AP111" s="48"/>
      <c r="AQ111" s="48"/>
      <c r="AR111" s="48"/>
      <c r="AS111" s="48"/>
      <c r="AT111" s="51">
        <f t="shared" si="53"/>
        <v>107</v>
      </c>
      <c r="AU111" s="49" t="str">
        <f t="shared" si="54"/>
        <v/>
      </c>
      <c r="AV111" s="49" t="str">
        <f t="shared" si="55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0.104132323537525</v>
      </c>
      <c r="C112">
        <f t="shared" si="61"/>
        <v>9.7884384125273491E-2</v>
      </c>
      <c r="D112" s="60"/>
      <c r="E112" s="5"/>
      <c r="F112" s="5"/>
      <c r="I112" s="40"/>
      <c r="J112" s="41"/>
      <c r="K112" s="41" t="str">
        <f t="shared" si="56"/>
        <v/>
      </c>
      <c r="L112" s="42" t="str">
        <f t="shared" si="57"/>
        <v/>
      </c>
      <c r="M112" s="41" t="str">
        <f t="shared" si="58"/>
        <v/>
      </c>
      <c r="N112" s="43">
        <f t="shared" si="31"/>
        <v>0</v>
      </c>
      <c r="O112" s="44">
        <f t="shared" si="32"/>
        <v>0</v>
      </c>
      <c r="P112" s="41" t="str">
        <f t="shared" si="33"/>
        <v/>
      </c>
      <c r="Q112" s="41" t="str">
        <f t="shared" si="34"/>
        <v/>
      </c>
      <c r="R112" s="48"/>
      <c r="S112" s="44" t="str">
        <f>IF(I112&lt;&gt;"",_xlfn.XLOOKUP($D$4+I112,$A$26:$A$145,$B$26:$B$145,0) * 1000,"")</f>
        <v/>
      </c>
      <c r="T112" s="52">
        <f t="shared" si="60"/>
        <v>0</v>
      </c>
      <c r="U112" s="53" t="str">
        <f t="shared" si="45"/>
        <v/>
      </c>
      <c r="V112" s="53" t="str">
        <f t="shared" si="46"/>
        <v/>
      </c>
      <c r="W112" s="53" t="str">
        <f t="shared" si="47"/>
        <v/>
      </c>
      <c r="X112" s="46" t="str">
        <f t="shared" si="35"/>
        <v/>
      </c>
      <c r="Y112" s="48"/>
      <c r="Z112" s="41" t="str">
        <f t="shared" si="48"/>
        <v/>
      </c>
      <c r="AA112" s="41" t="str">
        <f t="shared" si="49"/>
        <v/>
      </c>
      <c r="AB112" s="41" t="str">
        <f t="shared" si="36"/>
        <v/>
      </c>
      <c r="AC112" s="41" t="str">
        <f t="shared" si="37"/>
        <v/>
      </c>
      <c r="AD112" s="48"/>
      <c r="AE112" s="41" t="str">
        <f t="shared" si="38"/>
        <v/>
      </c>
      <c r="AF112" s="41"/>
      <c r="AG112" s="41" t="str">
        <f t="shared" si="39"/>
        <v/>
      </c>
      <c r="AH112" s="41" t="str">
        <f t="shared" si="50"/>
        <v/>
      </c>
      <c r="AI112" s="41" t="str">
        <f t="shared" si="51"/>
        <v/>
      </c>
      <c r="AJ112" s="41">
        <f t="shared" si="40"/>
        <v>0</v>
      </c>
      <c r="AK112" s="41" t="str">
        <f t="shared" si="41"/>
        <v/>
      </c>
      <c r="AL112" s="41">
        <f t="shared" si="52"/>
        <v>0</v>
      </c>
      <c r="AM112" s="41">
        <f t="shared" si="42"/>
        <v>0</v>
      </c>
      <c r="AN112" s="41" t="str">
        <f t="shared" si="43"/>
        <v/>
      </c>
      <c r="AO112" s="41">
        <f t="shared" si="59"/>
        <v>0</v>
      </c>
      <c r="AP112" s="48"/>
      <c r="AQ112" s="48"/>
      <c r="AR112" s="48"/>
      <c r="AS112" s="48"/>
      <c r="AT112" s="51">
        <f t="shared" si="53"/>
        <v>108</v>
      </c>
      <c r="AU112" s="49" t="str">
        <f t="shared" si="54"/>
        <v/>
      </c>
      <c r="AV112" s="49" t="str">
        <f t="shared" si="55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0.11521772642735099</v>
      </c>
      <c r="C113">
        <f t="shared" si="61"/>
        <v>0.10830466284170993</v>
      </c>
      <c r="D113" s="60"/>
      <c r="E113" s="5"/>
      <c r="F113" s="5"/>
      <c r="I113" s="40"/>
      <c r="J113" s="41"/>
      <c r="K113" s="41" t="str">
        <f t="shared" si="56"/>
        <v/>
      </c>
      <c r="L113" s="42" t="str">
        <f t="shared" si="57"/>
        <v/>
      </c>
      <c r="M113" s="41" t="str">
        <f t="shared" si="58"/>
        <v/>
      </c>
      <c r="N113" s="43">
        <f t="shared" si="31"/>
        <v>0</v>
      </c>
      <c r="O113" s="44">
        <f t="shared" si="32"/>
        <v>0</v>
      </c>
      <c r="P113" s="41" t="str">
        <f t="shared" si="33"/>
        <v/>
      </c>
      <c r="Q113" s="41" t="str">
        <f t="shared" si="34"/>
        <v/>
      </c>
      <c r="R113" s="48"/>
      <c r="S113" s="44" t="str">
        <f>IF(I113&lt;&gt;"",_xlfn.XLOOKUP($D$4+I113,$A$26:$A$145,$B$26:$B$145,0) * 1000,"")</f>
        <v/>
      </c>
      <c r="T113" s="52">
        <f t="shared" si="60"/>
        <v>0</v>
      </c>
      <c r="U113" s="53" t="str">
        <f t="shared" si="45"/>
        <v/>
      </c>
      <c r="V113" s="53" t="str">
        <f t="shared" si="46"/>
        <v/>
      </c>
      <c r="W113" s="53" t="str">
        <f t="shared" si="47"/>
        <v/>
      </c>
      <c r="X113" s="46" t="str">
        <f t="shared" si="35"/>
        <v/>
      </c>
      <c r="Y113" s="48"/>
      <c r="Z113" s="41" t="str">
        <f t="shared" si="48"/>
        <v/>
      </c>
      <c r="AA113" s="41" t="str">
        <f t="shared" si="49"/>
        <v/>
      </c>
      <c r="AB113" s="41" t="str">
        <f t="shared" si="36"/>
        <v/>
      </c>
      <c r="AC113" s="41" t="str">
        <f t="shared" si="37"/>
        <v/>
      </c>
      <c r="AD113" s="48"/>
      <c r="AE113" s="41" t="str">
        <f t="shared" si="38"/>
        <v/>
      </c>
      <c r="AF113" s="41"/>
      <c r="AG113" s="41" t="str">
        <f t="shared" si="39"/>
        <v/>
      </c>
      <c r="AH113" s="41" t="str">
        <f t="shared" si="50"/>
        <v/>
      </c>
      <c r="AI113" s="41" t="str">
        <f t="shared" si="51"/>
        <v/>
      </c>
      <c r="AJ113" s="41">
        <f t="shared" si="40"/>
        <v>0</v>
      </c>
      <c r="AK113" s="41" t="str">
        <f t="shared" si="41"/>
        <v/>
      </c>
      <c r="AL113" s="41">
        <f t="shared" si="52"/>
        <v>0</v>
      </c>
      <c r="AM113" s="41">
        <f t="shared" si="42"/>
        <v>0</v>
      </c>
      <c r="AN113" s="41" t="str">
        <f t="shared" si="43"/>
        <v/>
      </c>
      <c r="AO113" s="41">
        <f t="shared" si="59"/>
        <v>0</v>
      </c>
      <c r="AP113" s="48"/>
      <c r="AQ113" s="48"/>
      <c r="AR113" s="48"/>
      <c r="AS113" s="48"/>
      <c r="AT113" s="51">
        <f t="shared" si="53"/>
        <v>109</v>
      </c>
      <c r="AU113" s="49" t="str">
        <f t="shared" si="54"/>
        <v/>
      </c>
      <c r="AV113" s="49" t="str">
        <f t="shared" si="55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0.12746674554676199</v>
      </c>
      <c r="C114">
        <f t="shared" si="61"/>
        <v>0.11981874081395626</v>
      </c>
      <c r="D114" s="60"/>
      <c r="E114" s="5"/>
      <c r="F114" s="5"/>
      <c r="I114" s="40"/>
      <c r="J114" s="41"/>
      <c r="K114" s="41" t="str">
        <f t="shared" si="56"/>
        <v/>
      </c>
      <c r="L114" s="42" t="str">
        <f t="shared" si="57"/>
        <v/>
      </c>
      <c r="M114" s="41" t="str">
        <f t="shared" si="58"/>
        <v/>
      </c>
      <c r="N114" s="43">
        <f t="shared" si="31"/>
        <v>0</v>
      </c>
      <c r="O114" s="44">
        <f t="shared" si="32"/>
        <v>0</v>
      </c>
      <c r="P114" s="41" t="str">
        <f t="shared" si="33"/>
        <v/>
      </c>
      <c r="Q114" s="41" t="str">
        <f t="shared" si="34"/>
        <v/>
      </c>
      <c r="R114" s="48"/>
      <c r="S114" s="44" t="str">
        <f>IF(I114&lt;&gt;"",_xlfn.XLOOKUP($D$4+I114,$A$26:$A$145,$B$26:$B$145,0) * 1000,"")</f>
        <v/>
      </c>
      <c r="T114" s="52">
        <f t="shared" si="60"/>
        <v>0</v>
      </c>
      <c r="U114" s="53" t="str">
        <f t="shared" si="45"/>
        <v/>
      </c>
      <c r="V114" s="53" t="str">
        <f t="shared" si="46"/>
        <v/>
      </c>
      <c r="W114" s="53" t="str">
        <f t="shared" si="47"/>
        <v/>
      </c>
      <c r="X114" s="46" t="str">
        <f t="shared" si="35"/>
        <v/>
      </c>
      <c r="Y114" s="48"/>
      <c r="Z114" s="41" t="str">
        <f t="shared" si="48"/>
        <v/>
      </c>
      <c r="AA114" s="41" t="str">
        <f t="shared" si="49"/>
        <v/>
      </c>
      <c r="AB114" s="41" t="str">
        <f t="shared" si="36"/>
        <v/>
      </c>
      <c r="AC114" s="41" t="str">
        <f t="shared" si="37"/>
        <v/>
      </c>
      <c r="AD114" s="48"/>
      <c r="AE114" s="41" t="str">
        <f t="shared" si="38"/>
        <v/>
      </c>
      <c r="AF114" s="41"/>
      <c r="AG114" s="41" t="str">
        <f t="shared" si="39"/>
        <v/>
      </c>
      <c r="AH114" s="41" t="str">
        <f t="shared" si="50"/>
        <v/>
      </c>
      <c r="AI114" s="41" t="str">
        <f t="shared" si="51"/>
        <v/>
      </c>
      <c r="AJ114" s="41">
        <f t="shared" si="40"/>
        <v>0</v>
      </c>
      <c r="AK114" s="41" t="str">
        <f t="shared" si="41"/>
        <v/>
      </c>
      <c r="AL114" s="41">
        <f t="shared" si="52"/>
        <v>0</v>
      </c>
      <c r="AM114" s="41">
        <f t="shared" si="42"/>
        <v>0</v>
      </c>
      <c r="AN114" s="41" t="str">
        <f t="shared" si="43"/>
        <v/>
      </c>
      <c r="AO114" s="41">
        <f t="shared" si="59"/>
        <v>0</v>
      </c>
      <c r="AP114" s="48"/>
      <c r="AQ114" s="48"/>
      <c r="AR114" s="48"/>
      <c r="AS114" s="48"/>
      <c r="AT114" s="51">
        <f t="shared" si="53"/>
        <v>110</v>
      </c>
      <c r="AU114" s="49" t="str">
        <f t="shared" si="54"/>
        <v/>
      </c>
      <c r="AV114" s="49" t="str">
        <f t="shared" si="55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0.14105491140353299</v>
      </c>
      <c r="C115">
        <f t="shared" si="61"/>
        <v>0.13259161671932101</v>
      </c>
      <c r="D115" s="60"/>
      <c r="E115" s="5"/>
      <c r="F115" s="5"/>
      <c r="I115" s="40"/>
      <c r="J115" s="41"/>
      <c r="K115" s="41" t="str">
        <f t="shared" si="56"/>
        <v/>
      </c>
      <c r="L115" s="42" t="str">
        <f t="shared" si="57"/>
        <v/>
      </c>
      <c r="M115" s="41" t="str">
        <f t="shared" si="58"/>
        <v/>
      </c>
      <c r="N115" s="43">
        <f t="shared" si="31"/>
        <v>0</v>
      </c>
      <c r="O115" s="44">
        <f t="shared" si="32"/>
        <v>0</v>
      </c>
      <c r="P115" s="41" t="str">
        <f t="shared" si="33"/>
        <v/>
      </c>
      <c r="Q115" s="41" t="str">
        <f t="shared" si="34"/>
        <v/>
      </c>
      <c r="R115" s="48"/>
      <c r="S115" s="44" t="str">
        <f>IF(I115&lt;&gt;"",_xlfn.XLOOKUP($D$4+I115,$A$26:$A$145,$B$26:$B$145,0) * 1000,"")</f>
        <v/>
      </c>
      <c r="T115" s="52">
        <f t="shared" si="60"/>
        <v>0</v>
      </c>
      <c r="U115" s="53" t="str">
        <f t="shared" si="45"/>
        <v/>
      </c>
      <c r="V115" s="53" t="str">
        <f t="shared" si="46"/>
        <v/>
      </c>
      <c r="W115" s="53" t="str">
        <f t="shared" si="47"/>
        <v/>
      </c>
      <c r="X115" s="46" t="str">
        <f t="shared" si="35"/>
        <v/>
      </c>
      <c r="Y115" s="48"/>
      <c r="Z115" s="41" t="str">
        <f t="shared" si="48"/>
        <v/>
      </c>
      <c r="AA115" s="41" t="str">
        <f t="shared" si="49"/>
        <v/>
      </c>
      <c r="AB115" s="41" t="str">
        <f t="shared" si="36"/>
        <v/>
      </c>
      <c r="AC115" s="41" t="str">
        <f t="shared" si="37"/>
        <v/>
      </c>
      <c r="AD115" s="48"/>
      <c r="AE115" s="41" t="str">
        <f t="shared" si="38"/>
        <v/>
      </c>
      <c r="AF115" s="41"/>
      <c r="AG115" s="41" t="str">
        <f t="shared" si="39"/>
        <v/>
      </c>
      <c r="AH115" s="41" t="str">
        <f t="shared" si="50"/>
        <v/>
      </c>
      <c r="AI115" s="41" t="str">
        <f t="shared" si="51"/>
        <v/>
      </c>
      <c r="AJ115" s="41">
        <f t="shared" si="40"/>
        <v>0</v>
      </c>
      <c r="AK115" s="41" t="str">
        <f t="shared" si="41"/>
        <v/>
      </c>
      <c r="AL115" s="41">
        <f t="shared" si="52"/>
        <v>0</v>
      </c>
      <c r="AM115" s="41">
        <f t="shared" si="42"/>
        <v>0</v>
      </c>
      <c r="AN115" s="41" t="str">
        <f t="shared" si="43"/>
        <v/>
      </c>
      <c r="AO115" s="41">
        <f t="shared" si="59"/>
        <v>0</v>
      </c>
      <c r="AP115" s="48"/>
      <c r="AQ115" s="48"/>
      <c r="AR115" s="48"/>
      <c r="AS115" s="48"/>
      <c r="AT115" s="51">
        <f t="shared" si="53"/>
        <v>111</v>
      </c>
      <c r="AU115" s="49" t="str">
        <f t="shared" si="54"/>
        <v/>
      </c>
      <c r="AV115" s="49" t="str">
        <f t="shared" si="55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0.15459666301480199</v>
      </c>
      <c r="C116">
        <f t="shared" si="61"/>
        <v>0.14532086323391386</v>
      </c>
      <c r="D116" s="60"/>
      <c r="E116" s="5"/>
      <c r="F116" s="5"/>
      <c r="I116" s="40"/>
      <c r="J116" s="41"/>
      <c r="K116" s="41" t="str">
        <f t="shared" si="56"/>
        <v/>
      </c>
      <c r="L116" s="42" t="str">
        <f t="shared" si="57"/>
        <v/>
      </c>
      <c r="M116" s="41" t="str">
        <f t="shared" si="58"/>
        <v/>
      </c>
      <c r="N116" s="43">
        <f t="shared" si="31"/>
        <v>0</v>
      </c>
      <c r="O116" s="44">
        <f t="shared" si="32"/>
        <v>0</v>
      </c>
      <c r="P116" s="41" t="str">
        <f t="shared" si="33"/>
        <v/>
      </c>
      <c r="Q116" s="41" t="str">
        <f t="shared" si="34"/>
        <v/>
      </c>
      <c r="R116" s="48"/>
      <c r="S116" s="44" t="str">
        <f>IF(I116&lt;&gt;"",_xlfn.XLOOKUP($D$4+I116,$A$26:$A$145,$B$26:$B$145,0) * 1000,"")</f>
        <v/>
      </c>
      <c r="T116" s="52">
        <f t="shared" si="60"/>
        <v>0</v>
      </c>
      <c r="U116" s="53" t="str">
        <f t="shared" si="45"/>
        <v/>
      </c>
      <c r="V116" s="53" t="str">
        <f t="shared" si="46"/>
        <v/>
      </c>
      <c r="W116" s="53" t="str">
        <f t="shared" si="47"/>
        <v/>
      </c>
      <c r="X116" s="46" t="str">
        <f t="shared" si="35"/>
        <v/>
      </c>
      <c r="Y116" s="48"/>
      <c r="Z116" s="41" t="str">
        <f t="shared" si="48"/>
        <v/>
      </c>
      <c r="AA116" s="41" t="str">
        <f t="shared" si="49"/>
        <v/>
      </c>
      <c r="AB116" s="41" t="str">
        <f t="shared" si="36"/>
        <v/>
      </c>
      <c r="AC116" s="41" t="str">
        <f t="shared" si="37"/>
        <v/>
      </c>
      <c r="AD116" s="48"/>
      <c r="AE116" s="41" t="str">
        <f t="shared" si="38"/>
        <v/>
      </c>
      <c r="AF116" s="41"/>
      <c r="AG116" s="41" t="str">
        <f t="shared" si="39"/>
        <v/>
      </c>
      <c r="AH116" s="41" t="str">
        <f t="shared" si="50"/>
        <v/>
      </c>
      <c r="AI116" s="41" t="str">
        <f t="shared" si="51"/>
        <v/>
      </c>
      <c r="AJ116" s="41">
        <f t="shared" si="40"/>
        <v>0</v>
      </c>
      <c r="AK116" s="41" t="str">
        <f t="shared" si="41"/>
        <v/>
      </c>
      <c r="AL116" s="41">
        <f t="shared" si="52"/>
        <v>0</v>
      </c>
      <c r="AM116" s="41">
        <f t="shared" si="42"/>
        <v>0</v>
      </c>
      <c r="AN116" s="41" t="str">
        <f t="shared" si="43"/>
        <v/>
      </c>
      <c r="AO116" s="41">
        <f t="shared" si="59"/>
        <v>0</v>
      </c>
      <c r="AP116" s="48"/>
      <c r="AQ116" s="48"/>
      <c r="AR116" s="48"/>
      <c r="AS116" s="48"/>
      <c r="AT116" s="51">
        <f t="shared" si="53"/>
        <v>112</v>
      </c>
      <c r="AU116" s="49" t="str">
        <f t="shared" si="54"/>
        <v/>
      </c>
      <c r="AV116" s="49" t="str">
        <f t="shared" si="55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0.16927346614104</v>
      </c>
      <c r="C117">
        <f t="shared" si="61"/>
        <v>0.1591170581725776</v>
      </c>
      <c r="D117" s="60"/>
      <c r="E117" s="5"/>
      <c r="F117" s="5"/>
      <c r="I117" s="40"/>
      <c r="J117" s="41"/>
      <c r="K117" s="41" t="str">
        <f t="shared" si="56"/>
        <v/>
      </c>
      <c r="L117" s="42" t="str">
        <f t="shared" si="57"/>
        <v/>
      </c>
      <c r="M117" s="41" t="str">
        <f t="shared" si="58"/>
        <v/>
      </c>
      <c r="N117" s="43">
        <f t="shared" si="31"/>
        <v>0</v>
      </c>
      <c r="O117" s="44">
        <f t="shared" si="32"/>
        <v>0</v>
      </c>
      <c r="P117" s="41" t="str">
        <f t="shared" si="33"/>
        <v/>
      </c>
      <c r="Q117" s="41" t="str">
        <f t="shared" si="34"/>
        <v/>
      </c>
      <c r="R117" s="48"/>
      <c r="S117" s="44" t="str">
        <f>IF(I117&lt;&gt;"",_xlfn.XLOOKUP($D$4+I117,$A$26:$A$145,$B$26:$B$145,0) * 1000,"")</f>
        <v/>
      </c>
      <c r="T117" s="52">
        <f t="shared" si="60"/>
        <v>0</v>
      </c>
      <c r="U117" s="53" t="str">
        <f t="shared" si="45"/>
        <v/>
      </c>
      <c r="V117" s="53" t="str">
        <f t="shared" si="46"/>
        <v/>
      </c>
      <c r="W117" s="53" t="str">
        <f t="shared" si="47"/>
        <v/>
      </c>
      <c r="X117" s="46" t="str">
        <f t="shared" si="35"/>
        <v/>
      </c>
      <c r="Y117" s="48"/>
      <c r="Z117" s="41" t="str">
        <f t="shared" si="48"/>
        <v/>
      </c>
      <c r="AA117" s="41" t="str">
        <f t="shared" si="49"/>
        <v/>
      </c>
      <c r="AB117" s="41" t="str">
        <f t="shared" si="36"/>
        <v/>
      </c>
      <c r="AC117" s="41" t="str">
        <f t="shared" si="37"/>
        <v/>
      </c>
      <c r="AD117" s="48"/>
      <c r="AE117" s="41" t="str">
        <f t="shared" si="38"/>
        <v/>
      </c>
      <c r="AF117" s="41"/>
      <c r="AG117" s="41" t="str">
        <f t="shared" si="39"/>
        <v/>
      </c>
      <c r="AH117" s="41" t="str">
        <f t="shared" si="50"/>
        <v/>
      </c>
      <c r="AI117" s="41" t="str">
        <f t="shared" si="51"/>
        <v/>
      </c>
      <c r="AJ117" s="41">
        <f t="shared" si="40"/>
        <v>0</v>
      </c>
      <c r="AK117" s="41" t="str">
        <f t="shared" si="41"/>
        <v/>
      </c>
      <c r="AL117" s="41">
        <f t="shared" si="52"/>
        <v>0</v>
      </c>
      <c r="AM117" s="41">
        <f t="shared" si="42"/>
        <v>0</v>
      </c>
      <c r="AN117" s="41" t="str">
        <f t="shared" si="43"/>
        <v/>
      </c>
      <c r="AO117" s="41">
        <f t="shared" si="59"/>
        <v>0</v>
      </c>
      <c r="AP117" s="48"/>
      <c r="AQ117" s="48"/>
      <c r="AR117" s="48"/>
      <c r="AS117" s="48"/>
      <c r="AT117" s="51">
        <f t="shared" si="53"/>
        <v>113</v>
      </c>
      <c r="AU117" s="49" t="str">
        <f t="shared" si="54"/>
        <v/>
      </c>
      <c r="AV117" s="49" t="str">
        <f t="shared" si="55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0.18471219355947499</v>
      </c>
      <c r="C118">
        <f t="shared" si="61"/>
        <v>0.17362946194590648</v>
      </c>
      <c r="D118" s="60"/>
      <c r="E118" s="5"/>
      <c r="F118" s="5"/>
      <c r="I118" s="40"/>
      <c r="J118" s="41"/>
      <c r="K118" s="41" t="str">
        <f t="shared" si="56"/>
        <v/>
      </c>
      <c r="L118" s="42" t="str">
        <f t="shared" si="57"/>
        <v/>
      </c>
      <c r="M118" s="41" t="str">
        <f t="shared" si="58"/>
        <v/>
      </c>
      <c r="N118" s="43">
        <f t="shared" si="31"/>
        <v>0</v>
      </c>
      <c r="O118" s="44">
        <f t="shared" si="32"/>
        <v>0</v>
      </c>
      <c r="P118" s="41" t="str">
        <f t="shared" si="33"/>
        <v/>
      </c>
      <c r="Q118" s="41" t="str">
        <f t="shared" si="34"/>
        <v/>
      </c>
      <c r="R118" s="48"/>
      <c r="S118" s="44" t="str">
        <f>IF(I118&lt;&gt;"",_xlfn.XLOOKUP($D$4+I118,$A$26:$A$145,$B$26:$B$145,0) * 1000,"")</f>
        <v/>
      </c>
      <c r="T118" s="52">
        <f t="shared" si="60"/>
        <v>0</v>
      </c>
      <c r="U118" s="53" t="str">
        <f t="shared" si="45"/>
        <v/>
      </c>
      <c r="V118" s="53" t="str">
        <f t="shared" si="46"/>
        <v/>
      </c>
      <c r="W118" s="53" t="str">
        <f t="shared" si="47"/>
        <v/>
      </c>
      <c r="X118" s="46" t="str">
        <f t="shared" si="35"/>
        <v/>
      </c>
      <c r="Y118" s="48"/>
      <c r="Z118" s="41" t="str">
        <f t="shared" si="48"/>
        <v/>
      </c>
      <c r="AA118" s="41" t="str">
        <f t="shared" si="49"/>
        <v/>
      </c>
      <c r="AB118" s="41" t="str">
        <f t="shared" si="36"/>
        <v/>
      </c>
      <c r="AC118" s="41" t="str">
        <f t="shared" si="37"/>
        <v/>
      </c>
      <c r="AD118" s="48"/>
      <c r="AE118" s="41" t="str">
        <f t="shared" si="38"/>
        <v/>
      </c>
      <c r="AF118" s="41"/>
      <c r="AG118" s="41" t="str">
        <f t="shared" si="39"/>
        <v/>
      </c>
      <c r="AH118" s="41" t="str">
        <f t="shared" si="50"/>
        <v/>
      </c>
      <c r="AI118" s="41" t="str">
        <f t="shared" si="51"/>
        <v/>
      </c>
      <c r="AJ118" s="41">
        <f t="shared" si="40"/>
        <v>0</v>
      </c>
      <c r="AK118" s="41" t="str">
        <f t="shared" si="41"/>
        <v/>
      </c>
      <c r="AL118" s="41">
        <f t="shared" si="52"/>
        <v>0</v>
      </c>
      <c r="AM118" s="41">
        <f t="shared" si="42"/>
        <v>0</v>
      </c>
      <c r="AN118" s="41" t="str">
        <f t="shared" si="43"/>
        <v/>
      </c>
      <c r="AO118" s="41">
        <f t="shared" si="59"/>
        <v>0</v>
      </c>
      <c r="AP118" s="48"/>
      <c r="AQ118" s="48"/>
      <c r="AR118" s="48"/>
      <c r="AS118" s="48"/>
      <c r="AT118" s="51">
        <f t="shared" si="53"/>
        <v>114</v>
      </c>
      <c r="AU118" s="49" t="str">
        <f t="shared" si="54"/>
        <v/>
      </c>
      <c r="AV118" s="49" t="str">
        <f t="shared" si="55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0.20072935476423301</v>
      </c>
      <c r="C119">
        <f t="shared" si="61"/>
        <v>0.18868559347837902</v>
      </c>
      <c r="D119" s="60"/>
      <c r="E119" s="5"/>
      <c r="F119" s="5"/>
      <c r="I119" s="40"/>
      <c r="J119" s="41"/>
      <c r="K119" s="41" t="str">
        <f t="shared" si="56"/>
        <v/>
      </c>
      <c r="L119" s="42" t="str">
        <f t="shared" si="57"/>
        <v/>
      </c>
      <c r="M119" s="41" t="str">
        <f t="shared" si="58"/>
        <v/>
      </c>
      <c r="N119" s="43">
        <f t="shared" si="31"/>
        <v>0</v>
      </c>
      <c r="O119" s="44">
        <f t="shared" si="32"/>
        <v>0</v>
      </c>
      <c r="P119" s="41" t="str">
        <f t="shared" si="33"/>
        <v/>
      </c>
      <c r="Q119" s="41" t="str">
        <f t="shared" si="34"/>
        <v/>
      </c>
      <c r="R119" s="48"/>
      <c r="S119" s="44" t="str">
        <f>IF(I119&lt;&gt;"",_xlfn.XLOOKUP($D$4+I119,$A$26:$A$145,$B$26:$B$145,0) * 1000,"")</f>
        <v/>
      </c>
      <c r="T119" s="52">
        <f t="shared" si="60"/>
        <v>0</v>
      </c>
      <c r="U119" s="53" t="str">
        <f t="shared" si="45"/>
        <v/>
      </c>
      <c r="V119" s="53" t="str">
        <f t="shared" si="46"/>
        <v/>
      </c>
      <c r="W119" s="53" t="str">
        <f t="shared" si="47"/>
        <v/>
      </c>
      <c r="X119" s="46" t="str">
        <f t="shared" si="35"/>
        <v/>
      </c>
      <c r="Y119" s="48"/>
      <c r="Z119" s="41" t="str">
        <f t="shared" si="48"/>
        <v/>
      </c>
      <c r="AA119" s="41" t="str">
        <f t="shared" si="49"/>
        <v/>
      </c>
      <c r="AB119" s="41" t="str">
        <f t="shared" si="36"/>
        <v/>
      </c>
      <c r="AC119" s="41" t="str">
        <f t="shared" si="37"/>
        <v/>
      </c>
      <c r="AD119" s="48"/>
      <c r="AE119" s="41" t="str">
        <f t="shared" si="38"/>
        <v/>
      </c>
      <c r="AF119" s="41"/>
      <c r="AG119" s="41" t="str">
        <f t="shared" si="39"/>
        <v/>
      </c>
      <c r="AH119" s="41" t="str">
        <f t="shared" si="50"/>
        <v/>
      </c>
      <c r="AI119" s="41" t="str">
        <f t="shared" si="51"/>
        <v/>
      </c>
      <c r="AJ119" s="41">
        <f t="shared" si="40"/>
        <v>0</v>
      </c>
      <c r="AK119" s="41" t="str">
        <f t="shared" si="41"/>
        <v/>
      </c>
      <c r="AL119" s="41">
        <f t="shared" si="52"/>
        <v>0</v>
      </c>
      <c r="AM119" s="41">
        <f t="shared" si="42"/>
        <v>0</v>
      </c>
      <c r="AN119" s="41" t="str">
        <f t="shared" si="43"/>
        <v/>
      </c>
      <c r="AO119" s="41">
        <f t="shared" si="59"/>
        <v>0</v>
      </c>
      <c r="AP119" s="48"/>
      <c r="AQ119" s="48"/>
      <c r="AR119" s="48"/>
      <c r="AS119" s="48"/>
      <c r="AT119" s="51">
        <f t="shared" si="53"/>
        <v>115</v>
      </c>
      <c r="AU119" s="49" t="str">
        <f t="shared" si="54"/>
        <v/>
      </c>
      <c r="AV119" s="49" t="str">
        <f t="shared" si="55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0.21799107375417401</v>
      </c>
      <c r="C120">
        <f t="shared" si="61"/>
        <v>0.20491160932892355</v>
      </c>
      <c r="D120" s="60"/>
      <c r="E120" s="5"/>
      <c r="F120" s="5"/>
      <c r="I120" s="40"/>
      <c r="J120" s="41"/>
      <c r="K120" s="41" t="str">
        <f t="shared" si="56"/>
        <v/>
      </c>
      <c r="L120" s="42" t="str">
        <f t="shared" si="57"/>
        <v/>
      </c>
      <c r="M120" s="41" t="str">
        <f t="shared" si="58"/>
        <v/>
      </c>
      <c r="N120" s="43">
        <f t="shared" si="31"/>
        <v>0</v>
      </c>
      <c r="O120" s="44">
        <f t="shared" si="32"/>
        <v>0</v>
      </c>
      <c r="P120" s="41" t="str">
        <f t="shared" si="33"/>
        <v/>
      </c>
      <c r="Q120" s="41" t="str">
        <f t="shared" si="34"/>
        <v/>
      </c>
      <c r="R120" s="48"/>
      <c r="S120" s="44" t="str">
        <f>IF(I120&lt;&gt;"",_xlfn.XLOOKUP($D$4+I120,$A$26:$A$145,$B$26:$B$145,0) * 1000,"")</f>
        <v/>
      </c>
      <c r="T120" s="52">
        <f t="shared" si="60"/>
        <v>0</v>
      </c>
      <c r="U120" s="53" t="str">
        <f t="shared" si="45"/>
        <v/>
      </c>
      <c r="V120" s="53" t="str">
        <f t="shared" si="46"/>
        <v/>
      </c>
      <c r="W120" s="53" t="str">
        <f t="shared" si="47"/>
        <v/>
      </c>
      <c r="X120" s="46" t="str">
        <f t="shared" si="35"/>
        <v/>
      </c>
      <c r="Y120" s="48"/>
      <c r="Z120" s="41" t="str">
        <f t="shared" si="48"/>
        <v/>
      </c>
      <c r="AA120" s="41" t="str">
        <f t="shared" si="49"/>
        <v/>
      </c>
      <c r="AB120" s="41" t="str">
        <f t="shared" si="36"/>
        <v/>
      </c>
      <c r="AC120" s="41" t="str">
        <f t="shared" si="37"/>
        <v/>
      </c>
      <c r="AD120" s="48"/>
      <c r="AE120" s="41" t="str">
        <f t="shared" si="38"/>
        <v/>
      </c>
      <c r="AF120" s="41"/>
      <c r="AG120" s="41" t="str">
        <f t="shared" si="39"/>
        <v/>
      </c>
      <c r="AH120" s="41" t="str">
        <f t="shared" si="50"/>
        <v/>
      </c>
      <c r="AI120" s="41" t="str">
        <f t="shared" si="51"/>
        <v/>
      </c>
      <c r="AJ120" s="41">
        <f t="shared" si="40"/>
        <v>0</v>
      </c>
      <c r="AK120" s="41" t="str">
        <f t="shared" si="41"/>
        <v/>
      </c>
      <c r="AL120" s="41">
        <f t="shared" si="52"/>
        <v>0</v>
      </c>
      <c r="AM120" s="41">
        <f t="shared" si="42"/>
        <v>0</v>
      </c>
      <c r="AN120" s="41" t="str">
        <f t="shared" si="43"/>
        <v/>
      </c>
      <c r="AO120" s="41">
        <f t="shared" si="59"/>
        <v>0</v>
      </c>
      <c r="AP120" s="48"/>
      <c r="AQ120" s="48"/>
      <c r="AR120" s="48"/>
      <c r="AS120" s="48"/>
      <c r="AT120" s="51">
        <f t="shared" si="53"/>
        <v>116</v>
      </c>
      <c r="AU120" s="49" t="str">
        <f t="shared" si="54"/>
        <v/>
      </c>
      <c r="AV120" s="49" t="str">
        <f t="shared" si="55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0.23583000026086301</v>
      </c>
      <c r="C121">
        <f t="shared" si="61"/>
        <v>0.22168020024521121</v>
      </c>
      <c r="D121" s="60"/>
      <c r="E121" s="5"/>
      <c r="F121" s="5"/>
      <c r="I121" s="40"/>
      <c r="J121" s="41"/>
      <c r="K121" s="41" t="str">
        <f t="shared" si="56"/>
        <v/>
      </c>
      <c r="L121" s="42" t="str">
        <f t="shared" si="57"/>
        <v/>
      </c>
      <c r="M121" s="41" t="str">
        <f t="shared" si="58"/>
        <v/>
      </c>
      <c r="N121" s="43">
        <f t="shared" si="31"/>
        <v>0</v>
      </c>
      <c r="O121" s="44">
        <f t="shared" si="32"/>
        <v>0</v>
      </c>
      <c r="P121" s="41" t="str">
        <f t="shared" si="33"/>
        <v/>
      </c>
      <c r="Q121" s="41" t="str">
        <f t="shared" si="34"/>
        <v/>
      </c>
      <c r="R121" s="48"/>
      <c r="S121" s="44" t="str">
        <f>IF(I121&lt;&gt;"",_xlfn.XLOOKUP($D$4+I121,$A$26:$A$145,$B$26:$B$145,0) * 1000,"")</f>
        <v/>
      </c>
      <c r="T121" s="52">
        <f t="shared" si="60"/>
        <v>0</v>
      </c>
      <c r="U121" s="53" t="str">
        <f t="shared" si="45"/>
        <v/>
      </c>
      <c r="V121" s="53" t="str">
        <f t="shared" si="46"/>
        <v/>
      </c>
      <c r="W121" s="53" t="str">
        <f t="shared" si="47"/>
        <v/>
      </c>
      <c r="X121" s="46" t="str">
        <f t="shared" si="35"/>
        <v/>
      </c>
      <c r="Y121" s="48"/>
      <c r="Z121" s="41" t="str">
        <f t="shared" si="48"/>
        <v/>
      </c>
      <c r="AA121" s="41" t="str">
        <f t="shared" si="49"/>
        <v/>
      </c>
      <c r="AB121" s="41" t="str">
        <f t="shared" si="36"/>
        <v/>
      </c>
      <c r="AC121" s="41" t="str">
        <f t="shared" si="37"/>
        <v/>
      </c>
      <c r="AD121" s="48"/>
      <c r="AE121" s="41" t="str">
        <f t="shared" si="38"/>
        <v/>
      </c>
      <c r="AF121" s="41"/>
      <c r="AG121" s="41" t="str">
        <f t="shared" si="39"/>
        <v/>
      </c>
      <c r="AH121" s="41" t="str">
        <f t="shared" si="50"/>
        <v/>
      </c>
      <c r="AI121" s="41" t="str">
        <f t="shared" si="51"/>
        <v/>
      </c>
      <c r="AJ121" s="41">
        <f t="shared" si="40"/>
        <v>0</v>
      </c>
      <c r="AK121" s="41" t="str">
        <f t="shared" si="41"/>
        <v/>
      </c>
      <c r="AL121" s="41">
        <f t="shared" si="52"/>
        <v>0</v>
      </c>
      <c r="AM121" s="41">
        <f t="shared" si="42"/>
        <v>0</v>
      </c>
      <c r="AN121" s="41" t="str">
        <f t="shared" si="43"/>
        <v/>
      </c>
      <c r="AO121" s="41">
        <f t="shared" si="59"/>
        <v>0</v>
      </c>
      <c r="AP121" s="48"/>
      <c r="AQ121" s="48"/>
      <c r="AR121" s="48"/>
      <c r="AS121" s="48"/>
      <c r="AT121" s="51">
        <f t="shared" si="53"/>
        <v>117</v>
      </c>
      <c r="AU121" s="49" t="str">
        <f t="shared" si="54"/>
        <v/>
      </c>
      <c r="AV121" s="49" t="str">
        <f t="shared" si="55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0.25482058477845099</v>
      </c>
      <c r="C122">
        <f t="shared" si="61"/>
        <v>0.23953134969174392</v>
      </c>
      <c r="D122" s="60"/>
      <c r="E122" s="5"/>
      <c r="F122" s="5"/>
      <c r="I122" s="40"/>
      <c r="J122" s="41"/>
      <c r="K122" s="41" t="str">
        <f t="shared" si="56"/>
        <v/>
      </c>
      <c r="L122" s="42" t="str">
        <f t="shared" si="57"/>
        <v/>
      </c>
      <c r="M122" s="41" t="str">
        <f t="shared" si="58"/>
        <v/>
      </c>
      <c r="N122" s="43">
        <f t="shared" si="31"/>
        <v>0</v>
      </c>
      <c r="O122" s="44">
        <f t="shared" si="32"/>
        <v>0</v>
      </c>
      <c r="P122" s="41" t="str">
        <f t="shared" si="33"/>
        <v/>
      </c>
      <c r="Q122" s="41" t="str">
        <f t="shared" si="34"/>
        <v/>
      </c>
      <c r="R122" s="48"/>
      <c r="S122" s="44" t="str">
        <f>IF(I122&lt;&gt;"",_xlfn.XLOOKUP($D$4+I122,$A$26:$A$145,$B$26:$B$145,0) * 1000,"")</f>
        <v/>
      </c>
      <c r="T122" s="52">
        <f t="shared" si="60"/>
        <v>0</v>
      </c>
      <c r="U122" s="53" t="str">
        <f t="shared" si="45"/>
        <v/>
      </c>
      <c r="V122" s="53" t="str">
        <f t="shared" si="46"/>
        <v/>
      </c>
      <c r="W122" s="53" t="str">
        <f t="shared" si="47"/>
        <v/>
      </c>
      <c r="X122" s="46" t="str">
        <f t="shared" si="35"/>
        <v/>
      </c>
      <c r="Y122" s="48"/>
      <c r="Z122" s="41" t="str">
        <f t="shared" si="48"/>
        <v/>
      </c>
      <c r="AA122" s="41" t="str">
        <f t="shared" si="49"/>
        <v/>
      </c>
      <c r="AB122" s="41" t="str">
        <f t="shared" si="36"/>
        <v/>
      </c>
      <c r="AC122" s="41" t="str">
        <f t="shared" si="37"/>
        <v/>
      </c>
      <c r="AD122" s="48"/>
      <c r="AE122" s="41" t="str">
        <f t="shared" si="38"/>
        <v/>
      </c>
      <c r="AF122" s="41"/>
      <c r="AG122" s="41" t="str">
        <f t="shared" si="39"/>
        <v/>
      </c>
      <c r="AH122" s="41" t="str">
        <f t="shared" si="50"/>
        <v/>
      </c>
      <c r="AI122" s="41" t="str">
        <f t="shared" si="51"/>
        <v/>
      </c>
      <c r="AJ122" s="41">
        <f t="shared" si="40"/>
        <v>0</v>
      </c>
      <c r="AK122" s="41" t="str">
        <f t="shared" si="41"/>
        <v/>
      </c>
      <c r="AL122" s="41">
        <f t="shared" si="52"/>
        <v>0</v>
      </c>
      <c r="AM122" s="41">
        <f t="shared" si="42"/>
        <v>0</v>
      </c>
      <c r="AN122" s="41" t="str">
        <f t="shared" si="43"/>
        <v/>
      </c>
      <c r="AO122" s="41">
        <f t="shared" si="59"/>
        <v>0</v>
      </c>
      <c r="AP122" s="48"/>
      <c r="AQ122" s="48"/>
      <c r="AR122" s="48"/>
      <c r="AS122" s="48"/>
      <c r="AT122" s="51">
        <f t="shared" si="53"/>
        <v>118</v>
      </c>
      <c r="AU122" s="49" t="str">
        <f t="shared" si="54"/>
        <v/>
      </c>
      <c r="AV122" s="49" t="str">
        <f t="shared" si="55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0.27503759909077802</v>
      </c>
      <c r="C123">
        <f t="shared" si="61"/>
        <v>0.25853534314533133</v>
      </c>
      <c r="D123" s="60"/>
      <c r="E123" s="5"/>
      <c r="F123" s="5"/>
      <c r="I123" s="40"/>
      <c r="J123" s="41"/>
      <c r="K123" s="41" t="str">
        <f t="shared" si="56"/>
        <v/>
      </c>
      <c r="L123" s="42" t="str">
        <f t="shared" si="57"/>
        <v/>
      </c>
      <c r="M123" s="41" t="str">
        <f t="shared" si="58"/>
        <v/>
      </c>
      <c r="N123" s="43">
        <f t="shared" si="31"/>
        <v>0</v>
      </c>
      <c r="O123" s="44">
        <f t="shared" si="32"/>
        <v>0</v>
      </c>
      <c r="P123" s="41" t="str">
        <f t="shared" si="33"/>
        <v/>
      </c>
      <c r="Q123" s="41" t="str">
        <f t="shared" si="34"/>
        <v/>
      </c>
      <c r="R123" s="48"/>
      <c r="S123" s="44" t="str">
        <f>IF(I123&lt;&gt;"",_xlfn.XLOOKUP($D$4+I123,$A$26:$A$145,$B$26:$B$145,0) * 1000,"")</f>
        <v/>
      </c>
      <c r="T123" s="52">
        <f t="shared" si="60"/>
        <v>0</v>
      </c>
      <c r="U123" s="53" t="str">
        <f t="shared" si="45"/>
        <v/>
      </c>
      <c r="V123" s="53" t="str">
        <f t="shared" si="46"/>
        <v/>
      </c>
      <c r="W123" s="53" t="str">
        <f t="shared" si="47"/>
        <v/>
      </c>
      <c r="X123" s="46" t="str">
        <f t="shared" si="35"/>
        <v/>
      </c>
      <c r="Y123" s="48"/>
      <c r="Z123" s="41" t="str">
        <f t="shared" si="48"/>
        <v/>
      </c>
      <c r="AA123" s="41" t="str">
        <f t="shared" si="49"/>
        <v/>
      </c>
      <c r="AB123" s="41" t="str">
        <f t="shared" si="36"/>
        <v/>
      </c>
      <c r="AC123" s="41" t="str">
        <f t="shared" si="37"/>
        <v/>
      </c>
      <c r="AD123" s="48"/>
      <c r="AE123" s="41" t="str">
        <f t="shared" si="38"/>
        <v/>
      </c>
      <c r="AF123" s="41"/>
      <c r="AG123" s="41" t="str">
        <f t="shared" si="39"/>
        <v/>
      </c>
      <c r="AH123" s="41" t="str">
        <f t="shared" si="50"/>
        <v/>
      </c>
      <c r="AI123" s="41" t="str">
        <f t="shared" si="51"/>
        <v/>
      </c>
      <c r="AJ123" s="41">
        <f t="shared" si="40"/>
        <v>0</v>
      </c>
      <c r="AK123" s="41" t="str">
        <f t="shared" si="41"/>
        <v/>
      </c>
      <c r="AL123" s="41">
        <f t="shared" si="52"/>
        <v>0</v>
      </c>
      <c r="AM123" s="41">
        <f t="shared" si="42"/>
        <v>0</v>
      </c>
      <c r="AN123" s="41" t="str">
        <f t="shared" si="43"/>
        <v/>
      </c>
      <c r="AO123" s="41">
        <f t="shared" si="59"/>
        <v>0</v>
      </c>
      <c r="AP123" s="48"/>
      <c r="AQ123" s="48"/>
      <c r="AR123" s="48"/>
      <c r="AS123" s="48"/>
      <c r="AT123" s="51">
        <f t="shared" si="53"/>
        <v>119</v>
      </c>
      <c r="AU123" s="49" t="str">
        <f t="shared" si="54"/>
        <v/>
      </c>
      <c r="AV123" s="49" t="str">
        <f t="shared" si="55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0.29575266332708999</v>
      </c>
      <c r="C124">
        <f t="shared" si="61"/>
        <v>0.27800750352746456</v>
      </c>
      <c r="D124" s="60"/>
      <c r="E124" s="5"/>
      <c r="F124" s="5"/>
      <c r="I124" s="40"/>
      <c r="J124" s="41"/>
      <c r="K124" s="41" t="str">
        <f t="shared" si="56"/>
        <v/>
      </c>
      <c r="L124" s="42" t="str">
        <f t="shared" si="57"/>
        <v/>
      </c>
      <c r="M124" s="41" t="str">
        <f t="shared" si="58"/>
        <v/>
      </c>
      <c r="N124" s="43">
        <f>AX124</f>
        <v>0</v>
      </c>
      <c r="O124" s="44">
        <f>AW124</f>
        <v>0</v>
      </c>
      <c r="P124" s="41" t="str">
        <f t="shared" si="33"/>
        <v/>
      </c>
      <c r="Q124" s="41" t="str">
        <f t="shared" si="34"/>
        <v/>
      </c>
      <c r="R124" s="48"/>
      <c r="S124" s="44" t="str">
        <f>IF(I124&lt;&gt;"",_xlfn.XLOOKUP($D$4+I124,$A$26:$A$145,$B$26:$B$145,0) * 1000,"")</f>
        <v/>
      </c>
      <c r="T124" s="52">
        <f t="shared" si="60"/>
        <v>0</v>
      </c>
      <c r="U124" s="53" t="str">
        <f t="shared" si="45"/>
        <v/>
      </c>
      <c r="V124" s="53" t="str">
        <f t="shared" si="46"/>
        <v/>
      </c>
      <c r="W124" s="53" t="str">
        <f t="shared" si="47"/>
        <v/>
      </c>
      <c r="X124" s="46" t="str">
        <f t="shared" si="35"/>
        <v/>
      </c>
      <c r="Y124" s="48"/>
      <c r="Z124" s="41" t="str">
        <f t="shared" si="48"/>
        <v/>
      </c>
      <c r="AA124" s="41" t="str">
        <f t="shared" si="49"/>
        <v/>
      </c>
      <c r="AB124" s="41" t="str">
        <f t="shared" si="36"/>
        <v/>
      </c>
      <c r="AC124" s="41" t="str">
        <f t="shared" si="37"/>
        <v/>
      </c>
      <c r="AD124" s="48"/>
      <c r="AE124" s="41" t="str">
        <f t="shared" si="38"/>
        <v/>
      </c>
      <c r="AF124" s="41"/>
      <c r="AG124" s="41" t="str">
        <f t="shared" si="39"/>
        <v/>
      </c>
      <c r="AH124" s="41" t="str">
        <f t="shared" si="50"/>
        <v/>
      </c>
      <c r="AI124" s="41" t="str">
        <f t="shared" si="51"/>
        <v/>
      </c>
      <c r="AJ124" s="41">
        <f t="shared" si="40"/>
        <v>0</v>
      </c>
      <c r="AK124" s="41" t="str">
        <f t="shared" si="41"/>
        <v/>
      </c>
      <c r="AL124" s="41">
        <f t="shared" si="52"/>
        <v>0</v>
      </c>
      <c r="AM124" s="41">
        <f t="shared" si="42"/>
        <v>0</v>
      </c>
      <c r="AN124" s="41" t="str">
        <f t="shared" si="43"/>
        <v/>
      </c>
      <c r="AO124" s="41">
        <f t="shared" si="59"/>
        <v>0</v>
      </c>
      <c r="AP124" s="48"/>
      <c r="AQ124" s="48"/>
      <c r="AR124" s="48"/>
      <c r="AS124" s="48"/>
      <c r="AT124" s="51">
        <f t="shared" si="53"/>
        <v>120</v>
      </c>
      <c r="AU124" s="49" t="str">
        <f t="shared" si="54"/>
        <v/>
      </c>
      <c r="AV124" s="49" t="str">
        <f t="shared" si="55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0.317541190931034</v>
      </c>
      <c r="C125">
        <f t="shared" si="61"/>
        <v>0.29848871947517197</v>
      </c>
      <c r="D125" s="60"/>
      <c r="E125" s="5"/>
      <c r="F125" s="5"/>
    </row>
    <row r="126" spans="1:50" x14ac:dyDescent="0.2">
      <c r="A126">
        <v>101</v>
      </c>
      <c r="B126">
        <v>0.33962695672275001</v>
      </c>
      <c r="C126">
        <f t="shared" si="61"/>
        <v>0.31924933931938498</v>
      </c>
      <c r="D126" s="60"/>
      <c r="E126" s="5"/>
      <c r="F126" s="5"/>
      <c r="K126" s="11"/>
    </row>
    <row r="127" spans="1:50" x14ac:dyDescent="0.2">
      <c r="A127">
        <v>102</v>
      </c>
      <c r="B127">
        <v>0.36150683300951297</v>
      </c>
      <c r="C127">
        <f t="shared" si="61"/>
        <v>0.33981642302894216</v>
      </c>
      <c r="D127" s="60"/>
      <c r="E127" s="5"/>
      <c r="F127" s="5"/>
      <c r="S127" s="58"/>
    </row>
    <row r="128" spans="1:50" x14ac:dyDescent="0.2">
      <c r="A128">
        <v>103</v>
      </c>
      <c r="B128">
        <v>0.38407633691336701</v>
      </c>
      <c r="C128">
        <f t="shared" si="61"/>
        <v>0.36103175669856497</v>
      </c>
      <c r="D128" s="60"/>
      <c r="E128" s="5"/>
      <c r="F128" s="5"/>
    </row>
    <row r="129" spans="1:41" ht="15" x14ac:dyDescent="0.25">
      <c r="A129">
        <v>104</v>
      </c>
      <c r="B129">
        <v>0.40722353323420302</v>
      </c>
      <c r="C129">
        <f t="shared" si="61"/>
        <v>0.38279012124015083</v>
      </c>
      <c r="D129" s="60"/>
      <c r="E129" s="5"/>
      <c r="F129" s="5"/>
      <c r="AD129" s="56" t="s">
        <v>56</v>
      </c>
      <c r="AE129" s="57">
        <f t="shared" ref="AE129:AO129" si="62">SUM(AE4:AE124)</f>
        <v>1674447.2565342933</v>
      </c>
      <c r="AF129" s="57">
        <f t="shared" si="62"/>
        <v>-502334.17696028796</v>
      </c>
      <c r="AG129" s="57">
        <f t="shared" si="62"/>
        <v>-84371.351518284835</v>
      </c>
      <c r="AH129" s="57">
        <f t="shared" si="62"/>
        <v>-2000000</v>
      </c>
      <c r="AI129" s="57">
        <f t="shared" si="62"/>
        <v>0</v>
      </c>
      <c r="AJ129" s="57">
        <f t="shared" si="62"/>
        <v>-912258.27194427955</v>
      </c>
      <c r="AK129" s="57">
        <f t="shared" si="62"/>
        <v>-6.6374856999562581E-16</v>
      </c>
      <c r="AL129" s="57">
        <f t="shared" si="62"/>
        <v>608517.02407660463</v>
      </c>
      <c r="AM129" s="57">
        <f t="shared" si="62"/>
        <v>-303741.24786767532</v>
      </c>
      <c r="AN129" s="57">
        <f t="shared" si="62"/>
        <v>1.3883208818676884E-16</v>
      </c>
      <c r="AO129" s="57">
        <f t="shared" si="62"/>
        <v>-303741.24786767532</v>
      </c>
    </row>
    <row r="130" spans="1:41" ht="15" x14ac:dyDescent="0.25">
      <c r="A130">
        <v>105</v>
      </c>
      <c r="B130">
        <v>0.43081789158893702</v>
      </c>
      <c r="C130">
        <f t="shared" si="61"/>
        <v>0.4049688180936008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0.45472577874192099</v>
      </c>
      <c r="C131">
        <f t="shared" si="61"/>
        <v>0.42744223201740572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O131" si="63">AE4+NPV($D$6,AE5:AE124)</f>
        <v>1674447.2565342933</v>
      </c>
      <c r="AF131" s="57">
        <f t="shared" si="63"/>
        <v>-502334.17696028796</v>
      </c>
      <c r="AG131" s="57">
        <f t="shared" si="63"/>
        <v>-84210.186312989579</v>
      </c>
      <c r="AH131" s="57">
        <f t="shared" si="63"/>
        <v>-964190.07263790444</v>
      </c>
      <c r="AI131" s="57">
        <f t="shared" si="63"/>
        <v>0</v>
      </c>
      <c r="AJ131" s="57">
        <f t="shared" si="63"/>
        <v>123712.82062311121</v>
      </c>
      <c r="AK131" s="57">
        <f t="shared" si="63"/>
        <v>-325815.27579053072</v>
      </c>
      <c r="AL131" s="57">
        <f t="shared" si="63"/>
        <v>336173.3750641513</v>
      </c>
      <c r="AM131" s="57">
        <f t="shared" si="63"/>
        <v>134070.91989673174</v>
      </c>
      <c r="AN131" s="57">
        <f t="shared" si="63"/>
        <v>-10358.099273620959</v>
      </c>
      <c r="AO131" s="57">
        <f t="shared" si="63"/>
        <v>123712.8206231111</v>
      </c>
    </row>
    <row r="132" spans="1:41" ht="15" x14ac:dyDescent="0.25">
      <c r="A132">
        <v>107</v>
      </c>
      <c r="B132">
        <v>0.478987904435281</v>
      </c>
      <c r="C132">
        <f t="shared" si="61"/>
        <v>0.45024863016916411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0.50366971393054905</v>
      </c>
      <c r="C133">
        <f t="shared" si="61"/>
        <v>0.4734495310947161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 t="shared" ref="AE133:AO133" si="64">AE4+NPV($D$7,AE5:AE124)</f>
        <v>1674447.2565342933</v>
      </c>
      <c r="AF133" s="57">
        <f t="shared" si="64"/>
        <v>-502334.17696028796</v>
      </c>
      <c r="AG133" s="57">
        <f t="shared" si="64"/>
        <v>-84241.247438435603</v>
      </c>
      <c r="AH133" s="57">
        <f t="shared" si="64"/>
        <v>-1142686.0670109377</v>
      </c>
      <c r="AI133" s="57">
        <f t="shared" si="64"/>
        <v>0</v>
      </c>
      <c r="AJ133" s="57">
        <f t="shared" si="64"/>
        <v>-54814.234875368653</v>
      </c>
      <c r="AK133" s="57">
        <f t="shared" si="64"/>
        <v>-280850.41970309819</v>
      </c>
      <c r="AL133" s="57">
        <f t="shared" si="64"/>
        <v>385898.07871065114</v>
      </c>
      <c r="AM133" s="57">
        <f t="shared" si="64"/>
        <v>50233.42413218494</v>
      </c>
      <c r="AN133" s="57">
        <f t="shared" si="64"/>
        <v>-8573.1393298906187</v>
      </c>
      <c r="AO133" s="57">
        <f t="shared" si="64"/>
        <v>41660.284802294453</v>
      </c>
    </row>
    <row r="134" spans="1:41" x14ac:dyDescent="0.2">
      <c r="A134">
        <v>109</v>
      </c>
      <c r="B134">
        <v>0.52865017529981595</v>
      </c>
      <c r="C134">
        <f t="shared" si="61"/>
        <v>0.49693116478182697</v>
      </c>
      <c r="D134" s="60"/>
      <c r="E134" s="5"/>
      <c r="F134" s="5"/>
    </row>
    <row r="135" spans="1:41" x14ac:dyDescent="0.2">
      <c r="A135">
        <v>110</v>
      </c>
      <c r="B135">
        <v>0.55380498128422895</v>
      </c>
      <c r="C135">
        <f t="shared" si="61"/>
        <v>0.52057668240717514</v>
      </c>
      <c r="D135" s="60"/>
      <c r="E135" s="5"/>
      <c r="F135" s="5"/>
    </row>
    <row r="136" spans="1:41" x14ac:dyDescent="0.2">
      <c r="A136">
        <v>111</v>
      </c>
      <c r="B136">
        <v>0.58339524707710699</v>
      </c>
      <c r="C136">
        <f t="shared" si="61"/>
        <v>0.5483915322524805</v>
      </c>
      <c r="D136" s="60"/>
      <c r="E136" s="5"/>
      <c r="F136" s="5"/>
    </row>
    <row r="137" spans="1:41" x14ac:dyDescent="0.2">
      <c r="A137">
        <v>112</v>
      </c>
      <c r="B137">
        <v>0.613276722212449</v>
      </c>
      <c r="C137">
        <f t="shared" si="61"/>
        <v>0.57648011887970207</v>
      </c>
      <c r="D137" s="60"/>
      <c r="E137" s="5"/>
      <c r="F137" s="5"/>
    </row>
    <row r="138" spans="1:41" x14ac:dyDescent="0.2">
      <c r="A138">
        <v>113</v>
      </c>
      <c r="B138">
        <v>0.64345436782111398</v>
      </c>
      <c r="C138">
        <f t="shared" si="61"/>
        <v>0.60484710575184708</v>
      </c>
      <c r="D138" s="60"/>
      <c r="E138" s="5"/>
      <c r="F138" s="5"/>
    </row>
    <row r="139" spans="1:41" x14ac:dyDescent="0.2">
      <c r="A139">
        <v>114</v>
      </c>
      <c r="B139">
        <v>0.67394050294274799</v>
      </c>
      <c r="C139">
        <f t="shared" si="61"/>
        <v>0.63350407276618304</v>
      </c>
      <c r="D139" s="60"/>
      <c r="E139" s="5"/>
      <c r="F139" s="5"/>
    </row>
    <row r="140" spans="1:41" x14ac:dyDescent="0.2">
      <c r="A140">
        <v>115</v>
      </c>
      <c r="B140">
        <v>0.70475666313849805</v>
      </c>
      <c r="C140">
        <f t="shared" si="61"/>
        <v>0.66247126335018813</v>
      </c>
      <c r="D140" s="60"/>
      <c r="E140" s="5"/>
      <c r="F140" s="5"/>
    </row>
    <row r="141" spans="1:41" x14ac:dyDescent="0.2">
      <c r="A141">
        <v>116</v>
      </c>
      <c r="B141">
        <v>0.73611388337230299</v>
      </c>
      <c r="C141">
        <f t="shared" si="61"/>
        <v>0.69194705036996473</v>
      </c>
      <c r="D141" s="60"/>
      <c r="E141" s="5"/>
      <c r="F141" s="5"/>
    </row>
    <row r="142" spans="1:41" x14ac:dyDescent="0.2">
      <c r="A142">
        <v>117</v>
      </c>
      <c r="B142">
        <v>0.76828966919405794</v>
      </c>
      <c r="C142">
        <f t="shared" si="61"/>
        <v>0.72219228904241439</v>
      </c>
      <c r="D142" s="60"/>
      <c r="E142" s="5"/>
      <c r="F142" s="5"/>
    </row>
    <row r="143" spans="1:41" x14ac:dyDescent="0.2">
      <c r="A143">
        <v>118</v>
      </c>
      <c r="B143">
        <v>0.80145257658282598</v>
      </c>
      <c r="C143">
        <f t="shared" si="61"/>
        <v>0.75336542198785639</v>
      </c>
      <c r="D143" s="60"/>
      <c r="E143" s="5"/>
      <c r="F143" s="5"/>
    </row>
    <row r="144" spans="1:41" x14ac:dyDescent="0.2">
      <c r="A144">
        <v>119</v>
      </c>
      <c r="B144">
        <v>0.83584955993419296</v>
      </c>
      <c r="C144">
        <f t="shared" si="61"/>
        <v>0.78569858633814138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4B95-2E03-474C-AEA3-C59930287FFC}">
  <sheetPr codeName="Sheet19"/>
  <dimension ref="A1:AY145"/>
  <sheetViews>
    <sheetView workbookViewId="0">
      <pane ySplit="3" topLeftCell="A31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1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AU$5+NPV($AT1,AU$6:AU$79)</f>
        <v>13.673583914370704</v>
      </c>
      <c r="AV1" s="35">
        <f>NPV($AT1,AV$5:AV$79)</f>
        <v>0.4740929263703571</v>
      </c>
      <c r="AW1" s="34">
        <f>0.85*AV1*1000/AU1</f>
        <v>29.471350740114264</v>
      </c>
    </row>
    <row r="2" spans="1:51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AU$5+NPV($AT2,AU$6:AU$79)</f>
        <v>11.601453912095213</v>
      </c>
      <c r="AV2" s="35">
        <f>NPV($AT2,AV$5:AV$79)</f>
        <v>0.34331392950404399</v>
      </c>
      <c r="AW2" s="34">
        <f>1.05*AV2*1000/(AU2-1)</f>
        <v>34.002848002572037</v>
      </c>
    </row>
    <row r="3" spans="1:51" ht="38.25" x14ac:dyDescent="0.2">
      <c r="G3" t="s">
        <v>16</v>
      </c>
      <c r="H3" s="31">
        <v>1674447.2565342933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1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59">_xlfn.SEQUENCE(MAX(A26:A145)-D4+1,1,0,1)</f>
        <v>0</v>
      </c>
      <c r="J4" s="41">
        <f>$H$3</f>
        <v>1674447.2565342933</v>
      </c>
      <c r="K4" s="41">
        <f>J4*C16</f>
        <v>502334.17696028796</v>
      </c>
      <c r="L4" s="42">
        <f>C20 + F18*J4</f>
        <v>83922.362826714671</v>
      </c>
      <c r="M4" s="41">
        <f t="shared" ref="M4:M5" si="0">$E$11</f>
        <v>2000000</v>
      </c>
      <c r="N4" s="43">
        <f>AX4</f>
        <v>0</v>
      </c>
      <c r="O4" s="44">
        <f>AW4</f>
        <v>71.114000000000004</v>
      </c>
      <c r="P4" s="41">
        <f>IF(I4&lt;&gt;"", M4*N4/1000, "")</f>
        <v>0</v>
      </c>
      <c r="Q4" s="41">
        <f>IF(I4&lt;&gt;"", M4*O4/1000, "")</f>
        <v>142228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142228</v>
      </c>
      <c r="AC4" s="41">
        <f>IF(I4&lt;&gt;"", $H$14*M4*X4, "")</f>
        <v>20000</v>
      </c>
      <c r="AD4" s="47"/>
      <c r="AE4" s="41">
        <f>IF(I4&lt;&gt;"", $X4*J4, "")</f>
        <v>1674447.2565342933</v>
      </c>
      <c r="AF4" s="41">
        <f>IF(I4&lt;&gt;"", -$X4*K4, "")</f>
        <v>-502334.17696028796</v>
      </c>
      <c r="AG4" s="41">
        <f>IF(I4&lt;&gt;"", -$X4*L4, "")</f>
        <v>-83922.362826714671</v>
      </c>
      <c r="AH4" s="41"/>
      <c r="AI4" s="41"/>
      <c r="AJ4" s="41">
        <f>SUM(AE4:AI4)</f>
        <v>1088190.7167472905</v>
      </c>
      <c r="AK4" s="41">
        <f>IF(I4&lt;&gt;"", Z4-AB4, "")</f>
        <v>-142228</v>
      </c>
      <c r="AL4" s="41"/>
      <c r="AM4" s="41">
        <f>SUM(AJ4:AL4)</f>
        <v>945962.71674729045</v>
      </c>
      <c r="AN4" s="41">
        <f>IF(I4&lt;&gt;"", AA4-AC4, "")</f>
        <v>-20000</v>
      </c>
      <c r="AO4" s="41">
        <f>SUM(AM4:AN4)</f>
        <v>925962.71674729045</v>
      </c>
      <c r="AP4" s="45"/>
      <c r="AQ4" s="41">
        <f>AM133</f>
        <v>66382.405474651488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71.114000000000004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1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96.706000000000003</v>
      </c>
      <c r="P5" s="41">
        <f t="shared" ref="P5:P68" si="3">IF(I5&lt;&gt;"", M5*N5/1000, "")</f>
        <v>0</v>
      </c>
      <c r="Q5" s="41">
        <f t="shared" ref="Q5:Q68" si="4">IF(I5&lt;&gt;"", M5*O5/1000, "")</f>
        <v>193412</v>
      </c>
      <c r="R5" s="44"/>
      <c r="S5" s="44">
        <f>IF(I5&lt;&gt;"",_xlfn.XLOOKUP(D$4+I5,A$26:A$145,$C$26:$C$145,0) * 1000,"")</f>
        <v>8.7484024346849019</v>
      </c>
      <c r="T5" s="52">
        <f>C10</f>
        <v>0</v>
      </c>
      <c r="U5" s="53">
        <f>IF(I5&lt;&gt;"", X4, "")</f>
        <v>1</v>
      </c>
      <c r="V5" s="53">
        <f>IF(I5&lt;&gt;"", S5*U5/1000, "")</f>
        <v>8.7484024346849015E-3</v>
      </c>
      <c r="W5" s="53">
        <f>IF(I5&lt;&gt;"", MIN(T5*U5,U5-V5), "")</f>
        <v>0</v>
      </c>
      <c r="X5" s="46">
        <f t="shared" ref="X5:X68" si="5">IF(I5&lt;&gt;"", U5-SUM(V5:W5), "")</f>
        <v>0.99125159756531511</v>
      </c>
      <c r="Y5" s="54"/>
      <c r="Z5" s="41">
        <f>IF(I5&lt;&gt;"",AB4,"")</f>
        <v>142228</v>
      </c>
      <c r="AA5" s="41">
        <f>IF(I5&lt;&gt;"", AC4, "")</f>
        <v>20000</v>
      </c>
      <c r="AB5" s="41">
        <f t="shared" ref="AB5:AB68" si="6">IF(I5&lt;&gt;"", Q5*X5, "" )</f>
        <v>191719.95398830273</v>
      </c>
      <c r="AC5" s="41">
        <f t="shared" ref="AC5:AC68" si="7">IF(I5&lt;&gt;"", $H$14*M5*X5, "")</f>
        <v>19825.0319513063</v>
      </c>
      <c r="AD5" s="54"/>
      <c r="AE5" s="41">
        <f t="shared" ref="AE5:AE68" si="8">IF(I5&lt;&gt;"", $X5*J5, "")</f>
        <v>0</v>
      </c>
      <c r="AF5" s="41"/>
      <c r="AG5" s="41">
        <f t="shared" ref="AG5:AG68" si="9">IF(I5&lt;&gt;"", -$X5*L5, "")</f>
        <v>0</v>
      </c>
      <c r="AH5" s="41">
        <f>IF(I5&lt;&gt;"",-M5*V5,"")</f>
        <v>-17496.804869369804</v>
      </c>
      <c r="AI5" s="41">
        <f>IF(I5 &lt;&gt; "", -P5*W5, "")</f>
        <v>0</v>
      </c>
      <c r="AJ5" s="41">
        <f t="shared" ref="AJ5:AJ68" si="10">SUM(AE5:AI5)</f>
        <v>-17496.804869369804</v>
      </c>
      <c r="AK5" s="41">
        <f t="shared" ref="AK5:AK68" si="11">IF(I5&lt;&gt;"", Z5-AB5, "")</f>
        <v>-49491.953988302732</v>
      </c>
      <c r="AL5" s="41">
        <f>$D$6*SUM(Z5:AA5,AE5:AF5)</f>
        <v>6489.12</v>
      </c>
      <c r="AM5" s="41">
        <f t="shared" ref="AM5:AM68" si="12">SUM(AJ5:AL5)</f>
        <v>-60499.638857672537</v>
      </c>
      <c r="AN5" s="41">
        <f t="shared" ref="AN5:AN68" si="13">IF(I5&lt;&gt;"", AA5-AC5, "")</f>
        <v>174.96804869369953</v>
      </c>
      <c r="AO5" s="41">
        <f t="shared" ref="AO5:AO68" si="14">SUM(AM5:AN5)</f>
        <v>-60324.670808978837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8.7484024346849015E-3</v>
      </c>
      <c r="AW5" s="50">
        <f xml:space="preserve"> IF(ISERROR(ROUND((1000*NPV($AT$1,$AV6:$AV$124)-$AW$1*($AU6+NPV($AT$1,$AU7:$AU$124)))/AU6,3)), 0, ROUND((1000*NPV($AT$1,$AV6:$AV$124)-$AW$1*($AU6+NPV($AT$1,$AU7:$AU$124)))/AU6,3))</f>
        <v>96.706000000000003</v>
      </c>
      <c r="AX5" s="50">
        <f>IF(ISERROR(ROUND(MAX(0,1000*NPV($AT$2,$AV6:$AV$124)-$AW$2*($AU6+NPV($AT$2,$AU7:$AU$124)))/AU6,3)), 0, ROUND(MAX(0,1000*NPV($AT$2,$AV6:$AV$124)-$AW$2*($AU6+NPV($AT$2,$AU7:$AU$124)))/AU6,3))</f>
        <v>0</v>
      </c>
    </row>
    <row r="6" spans="1:51" ht="15" x14ac:dyDescent="0.25">
      <c r="A6" s="12" t="s">
        <v>14</v>
      </c>
      <c r="B6" s="12"/>
      <c r="C6" s="12"/>
      <c r="D6" s="16">
        <v>0.04</v>
      </c>
      <c r="E6" s="6"/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122.81699999999999</v>
      </c>
      <c r="P6" s="41">
        <f t="shared" si="3"/>
        <v>0</v>
      </c>
      <c r="Q6" s="41">
        <f t="shared" si="4"/>
        <v>245634</v>
      </c>
      <c r="R6" s="44"/>
      <c r="S6" s="44">
        <f>IF(I6&lt;&gt;"",_xlfn.XLOOKUP(D$4+I6,A$26:A$145,$C$26:$C$145,0) * 1000,"")</f>
        <v>9.5850269941537132</v>
      </c>
      <c r="T6" s="52">
        <f>$C$11</f>
        <v>0</v>
      </c>
      <c r="U6" s="53">
        <f t="shared" ref="U6:U69" si="15">IF(I6&lt;&gt;"", X5, "")</f>
        <v>0.99125159756531511</v>
      </c>
      <c r="V6" s="53">
        <f t="shared" ref="V6:V69" si="16">IF(I6&lt;&gt;"", S6*U6/1000, "")</f>
        <v>9.5011733206615372E-3</v>
      </c>
      <c r="W6" s="53">
        <f t="shared" ref="W6:W69" si="17">IF(I6&lt;&gt;"", MIN(T6*U6,U6-V6), "")</f>
        <v>0</v>
      </c>
      <c r="X6" s="46">
        <f t="shared" si="5"/>
        <v>0.98175042424465353</v>
      </c>
      <c r="Y6" s="54"/>
      <c r="Z6" s="41">
        <f t="shared" ref="Z6:Z69" si="18">IF(I6&lt;&gt;"",AB5,"")</f>
        <v>191719.95398830273</v>
      </c>
      <c r="AA6" s="41">
        <f t="shared" ref="AA6:AA69" si="19">IF(I6&lt;&gt;"", AC5, "")</f>
        <v>19825.0319513063</v>
      </c>
      <c r="AB6" s="41">
        <f t="shared" si="6"/>
        <v>241151.28370891121</v>
      </c>
      <c r="AC6" s="41">
        <f t="shared" si="7"/>
        <v>19635.008484893071</v>
      </c>
      <c r="AD6" s="54"/>
      <c r="AE6" s="41">
        <f t="shared" si="8"/>
        <v>0</v>
      </c>
      <c r="AF6" s="41"/>
      <c r="AG6" s="41">
        <f>IF(I6&lt;&gt;"", -$X6*L6, "")</f>
        <v>-24.543760606116336</v>
      </c>
      <c r="AH6" s="41">
        <f t="shared" ref="AH6:AH69" si="20">IF(I6&lt;&gt;"",-M6*V6,"")</f>
        <v>-19002.346641323074</v>
      </c>
      <c r="AI6" s="41">
        <f t="shared" ref="AI6:AI69" si="21">IF(I6 &lt;&gt; "", -P6*W6, "")</f>
        <v>0</v>
      </c>
      <c r="AJ6" s="41">
        <f t="shared" si="10"/>
        <v>-19026.890401929191</v>
      </c>
      <c r="AK6" s="41">
        <f t="shared" si="11"/>
        <v>-49431.329720608483</v>
      </c>
      <c r="AL6" s="41">
        <f t="shared" ref="AL6:AL69" si="22">$D$6*SUM(Z6:AA6,AE6:AF6)</f>
        <v>8461.7994375843609</v>
      </c>
      <c r="AM6" s="41">
        <f t="shared" si="12"/>
        <v>-59996.420684953315</v>
      </c>
      <c r="AN6" s="41">
        <f t="shared" si="13"/>
        <v>190.02346641322947</v>
      </c>
      <c r="AO6" s="41">
        <f t="shared" si="14"/>
        <v>-59806.397218540085</v>
      </c>
      <c r="AP6" s="45"/>
      <c r="AQ6" s="41">
        <f>AO133</f>
        <v>57662.577668328187</v>
      </c>
      <c r="AR6" s="48"/>
      <c r="AS6" s="48"/>
      <c r="AT6" s="51">
        <f t="shared" ref="AT6:AT69" si="23">AT5+1</f>
        <v>2</v>
      </c>
      <c r="AU6" s="49">
        <f t="shared" ref="AU6:AU69" si="24">IF(I6&lt;&gt;"", AU5-AV5, "")</f>
        <v>0.99125159756531511</v>
      </c>
      <c r="AV6" s="49">
        <f t="shared" ref="AV6:AV69" si="25">IF(I6&lt;&gt;"", S6*AU6/1000, "")</f>
        <v>9.5011733206615372E-3</v>
      </c>
      <c r="AW6" s="50">
        <f xml:space="preserve"> IF(ISERROR(ROUND((1000*NPV($AT$1,$AV7:$AV$124)-$AW$1*($AU7+NPV($AT$1,$AU8:$AU$124)))/AU7,3)), 0, ROUND((1000*NPV($AT$1,$AV7:$AV$124)-$AW$1*($AU7+NPV($AT$1,$AU8:$AU$124)))/AU7,3))</f>
        <v>122.81699999999999</v>
      </c>
      <c r="AX6" s="50">
        <f>IF(ISERROR(ROUND(MAX(0,1000*NPV($AT$2,$AV7:$AV$124)-$AW$2*($AU7+NPV($AT$2,$AU8:$AU$124)))/AU7,3)), 0, ROUND(MAX(0,1000*NPV($AT$2,$AV7:$AV$124)-$AW$2*($AU7+NPV($AT$2,$AU8:$AU$124)))/AU7,3))</f>
        <v>0</v>
      </c>
    </row>
    <row r="7" spans="1:51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6">IF(J7&lt;&gt;"",J7*$C$17,"")</f>
        <v/>
      </c>
      <c r="L7" s="42">
        <f t="shared" ref="L7:L70" si="27">IF(I7&lt;&gt;"",$C$21,"")</f>
        <v>25</v>
      </c>
      <c r="M7" s="41">
        <f t="shared" ref="M7:M70" si="28">IF(I7&lt;&gt;"",$E$11,"")</f>
        <v>2000000</v>
      </c>
      <c r="N7" s="43">
        <f t="shared" si="1"/>
        <v>23.292000000000002</v>
      </c>
      <c r="O7" s="44">
        <f t="shared" si="2"/>
        <v>149.47</v>
      </c>
      <c r="P7" s="41">
        <f t="shared" si="3"/>
        <v>46584</v>
      </c>
      <c r="Q7" s="41">
        <f t="shared" si="4"/>
        <v>298940</v>
      </c>
      <c r="R7" s="44"/>
      <c r="S7" s="44">
        <f>IF(I7&lt;&gt;"",_xlfn.XLOOKUP(D$4+I7,A$26:A$145,$C$26:$C$145,0) * 1000,"")</f>
        <v>10.475249244447548</v>
      </c>
      <c r="T7" s="52">
        <f>$C$11</f>
        <v>0</v>
      </c>
      <c r="U7" s="53">
        <f t="shared" si="15"/>
        <v>0.98175042424465353</v>
      </c>
      <c r="V7" s="53">
        <f t="shared" si="16"/>
        <v>1.0284080389804866E-2</v>
      </c>
      <c r="W7" s="53">
        <f t="shared" si="17"/>
        <v>0</v>
      </c>
      <c r="X7" s="46">
        <f t="shared" si="5"/>
        <v>0.97146634385484865</v>
      </c>
      <c r="Y7" s="54"/>
      <c r="Z7" s="41">
        <f t="shared" si="18"/>
        <v>241151.28370891121</v>
      </c>
      <c r="AA7" s="41">
        <f t="shared" si="19"/>
        <v>19635.008484893071</v>
      </c>
      <c r="AB7" s="41">
        <f t="shared" si="6"/>
        <v>290410.14883196843</v>
      </c>
      <c r="AC7" s="41">
        <f t="shared" si="7"/>
        <v>19429.326877096973</v>
      </c>
      <c r="AD7" s="54"/>
      <c r="AE7" s="41">
        <f t="shared" si="8"/>
        <v>0</v>
      </c>
      <c r="AF7" s="41"/>
      <c r="AG7" s="41">
        <f t="shared" si="9"/>
        <v>-24.286658596371215</v>
      </c>
      <c r="AH7" s="41">
        <f t="shared" si="20"/>
        <v>-20568.160779609734</v>
      </c>
      <c r="AI7" s="41">
        <f t="shared" si="21"/>
        <v>0</v>
      </c>
      <c r="AJ7" s="41">
        <f t="shared" si="10"/>
        <v>-20592.447438206105</v>
      </c>
      <c r="AK7" s="41">
        <f t="shared" si="11"/>
        <v>-49258.865123057214</v>
      </c>
      <c r="AL7" s="41">
        <f t="shared" si="22"/>
        <v>10431.451687752171</v>
      </c>
      <c r="AM7" s="41">
        <f t="shared" si="12"/>
        <v>-59419.860873511148</v>
      </c>
      <c r="AN7" s="41">
        <f t="shared" si="13"/>
        <v>205.68160779609752</v>
      </c>
      <c r="AO7" s="41">
        <f>SUM(AM7:AN7)</f>
        <v>-59214.179265715051</v>
      </c>
      <c r="AP7" s="45"/>
      <c r="AQ7" s="45"/>
      <c r="AR7" s="48"/>
      <c r="AS7" s="48"/>
      <c r="AT7" s="51">
        <f t="shared" si="23"/>
        <v>3</v>
      </c>
      <c r="AU7" s="49">
        <f t="shared" si="24"/>
        <v>0.98175042424465353</v>
      </c>
      <c r="AV7" s="49">
        <f t="shared" si="25"/>
        <v>1.0284080389804866E-2</v>
      </c>
      <c r="AW7" s="50">
        <f xml:space="preserve"> IF(ISERROR(ROUND((1000*NPV($AT$1,$AV8:$AV$124)-$AW$1*($AU8+NPV($AT$1,$AU9:$AU$124)))/AU8,3)), 0, ROUND((1000*NPV($AT$1,$AV8:$AV$124)-$AW$1*($AU8+NPV($AT$1,$AU9:$AU$124)))/AU8,3))</f>
        <v>149.47</v>
      </c>
      <c r="AX7" s="50">
        <f>IF(ISERROR(ROUND(MAX(0,1000*NPV($AT$2,$AV8:$AV$124)-$AW$2*($AU8+NPV($AT$2,$AU9:$AU$124)))/AU8,3)), 0, ROUND(MAX(0,1000*NPV($AT$2,$AV8:$AV$124)-$AW$2*($AU8+NPV($AT$2,$AU9:$AU$124)))/AU8,3))</f>
        <v>23.292000000000002</v>
      </c>
    </row>
    <row r="8" spans="1:51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6"/>
        <v/>
      </c>
      <c r="L8" s="42">
        <f t="shared" si="27"/>
        <v>25</v>
      </c>
      <c r="M8" s="41">
        <f t="shared" si="28"/>
        <v>2000000</v>
      </c>
      <c r="N8" s="43">
        <f t="shared" si="1"/>
        <v>49.826000000000001</v>
      </c>
      <c r="O8" s="44">
        <f t="shared" si="2"/>
        <v>176.649</v>
      </c>
      <c r="P8" s="41">
        <f t="shared" si="3"/>
        <v>99652</v>
      </c>
      <c r="Q8" s="41">
        <f t="shared" si="4"/>
        <v>353298</v>
      </c>
      <c r="R8" s="44"/>
      <c r="S8" s="44">
        <f>IF(I8&lt;&gt;"",_xlfn.XLOOKUP(D$4+I8,A$26:A$145,$C$26:$C$145,0) * 1000,"")</f>
        <v>11.477620337263923</v>
      </c>
      <c r="T8" s="52">
        <f>$C$11</f>
        <v>0</v>
      </c>
      <c r="U8" s="53">
        <f t="shared" si="15"/>
        <v>0.97146634385484865</v>
      </c>
      <c r="V8" s="53">
        <f t="shared" si="16"/>
        <v>1.1150121865195839E-2</v>
      </c>
      <c r="W8" s="53">
        <f t="shared" si="17"/>
        <v>0</v>
      </c>
      <c r="X8" s="46">
        <f t="shared" si="5"/>
        <v>0.96031622198965283</v>
      </c>
      <c r="Y8" s="54"/>
      <c r="Z8" s="41">
        <f t="shared" si="18"/>
        <v>290410.14883196843</v>
      </c>
      <c r="AA8" s="41">
        <f t="shared" si="19"/>
        <v>19429.326877096973</v>
      </c>
      <c r="AB8" s="41">
        <f t="shared" si="6"/>
        <v>339277.80059650034</v>
      </c>
      <c r="AC8" s="41">
        <f t="shared" si="7"/>
        <v>19206.324439793058</v>
      </c>
      <c r="AD8" s="54"/>
      <c r="AE8" s="41">
        <f t="shared" si="8"/>
        <v>0</v>
      </c>
      <c r="AF8" s="41"/>
      <c r="AG8" s="41">
        <f t="shared" si="9"/>
        <v>-24.00790554974132</v>
      </c>
      <c r="AH8" s="41">
        <f t="shared" si="20"/>
        <v>-22300.243730391678</v>
      </c>
      <c r="AI8" s="41">
        <f t="shared" si="21"/>
        <v>0</v>
      </c>
      <c r="AJ8" s="41">
        <f t="shared" si="10"/>
        <v>-22324.251635941418</v>
      </c>
      <c r="AK8" s="41">
        <f t="shared" si="11"/>
        <v>-48867.651764531911</v>
      </c>
      <c r="AL8" s="41">
        <f t="shared" si="22"/>
        <v>12393.579028362616</v>
      </c>
      <c r="AM8" s="41">
        <f t="shared" si="12"/>
        <v>-58798.324372110714</v>
      </c>
      <c r="AN8" s="41">
        <f t="shared" si="13"/>
        <v>223.00243730391594</v>
      </c>
      <c r="AO8" s="41">
        <f t="shared" si="14"/>
        <v>-58575.321934806794</v>
      </c>
      <c r="AP8" s="45"/>
      <c r="AQ8" s="45"/>
      <c r="AR8" s="48"/>
      <c r="AS8" s="48"/>
      <c r="AT8" s="51">
        <f t="shared" si="23"/>
        <v>4</v>
      </c>
      <c r="AU8" s="49">
        <f t="shared" si="24"/>
        <v>0.97146634385484865</v>
      </c>
      <c r="AV8" s="49">
        <f t="shared" si="25"/>
        <v>1.1150121865195839E-2</v>
      </c>
      <c r="AW8" s="50">
        <f xml:space="preserve"> IF(ISERROR(ROUND((1000*NPV($AT$1,$AV9:$AV$124)-$AW$1*($AU9+NPV($AT$1,$AU10:$AU$124)))/AU9,3)), 0, ROUND((1000*NPV($AT$1,$AV9:$AV$124)-$AW$1*($AU9+NPV($AT$1,$AU10:$AU$124)))/AU9,3))</f>
        <v>176.649</v>
      </c>
      <c r="AX8" s="50">
        <f>IF(ISERROR(ROUND(MAX(0,1000*NPV($AT$2,$AV9:$AV$124)-$AW$2*($AU9+NPV($AT$2,$AU10:$AU$124)))/AU9,3)), 0, ROUND(MAX(0,1000*NPV($AT$2,$AV9:$AV$124)-$AW$2*($AU9+NPV($AT$2,$AU10:$AU$124)))/AU9,3))</f>
        <v>49.826000000000001</v>
      </c>
      <c r="AY8" s="59"/>
    </row>
    <row r="9" spans="1:51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6"/>
        <v/>
      </c>
      <c r="L9" s="42">
        <f t="shared" si="27"/>
        <v>25</v>
      </c>
      <c r="M9" s="41">
        <f t="shared" si="28"/>
        <v>2000000</v>
      </c>
      <c r="N9" s="43">
        <f t="shared" si="1"/>
        <v>77.224000000000004</v>
      </c>
      <c r="O9" s="44">
        <f t="shared" si="2"/>
        <v>204.334</v>
      </c>
      <c r="P9" s="41">
        <f t="shared" si="3"/>
        <v>154448</v>
      </c>
      <c r="Q9" s="41">
        <f t="shared" si="4"/>
        <v>408668</v>
      </c>
      <c r="R9" s="44"/>
      <c r="S9" s="44">
        <f>IF(I9&lt;&gt;"",_xlfn.XLOOKUP(D$4+I9,A$26:A$145,$C$26:$C$145,0) * 1000,"")</f>
        <v>12.608121060809951</v>
      </c>
      <c r="T9" s="52">
        <f>$C$11</f>
        <v>0</v>
      </c>
      <c r="U9" s="53">
        <f t="shared" si="15"/>
        <v>0.96031622198965283</v>
      </c>
      <c r="V9" s="53">
        <f t="shared" si="16"/>
        <v>1.2107783183505185E-2</v>
      </c>
      <c r="W9" s="53">
        <f t="shared" si="17"/>
        <v>0</v>
      </c>
      <c r="X9" s="46">
        <f t="shared" si="5"/>
        <v>0.94820843880614769</v>
      </c>
      <c r="Y9" s="54"/>
      <c r="Z9" s="41">
        <f t="shared" si="18"/>
        <v>339277.80059650034</v>
      </c>
      <c r="AA9" s="41">
        <f t="shared" si="19"/>
        <v>19206.324439793058</v>
      </c>
      <c r="AB9" s="41">
        <f t="shared" si="6"/>
        <v>387502.44627003075</v>
      </c>
      <c r="AC9" s="41">
        <f t="shared" si="7"/>
        <v>18964.168776122955</v>
      </c>
      <c r="AD9" s="54"/>
      <c r="AE9" s="41">
        <f t="shared" si="8"/>
        <v>0</v>
      </c>
      <c r="AF9" s="41"/>
      <c r="AG9" s="41">
        <f t="shared" si="9"/>
        <v>-23.705210970153693</v>
      </c>
      <c r="AH9" s="41">
        <f t="shared" si="20"/>
        <v>-24215.566367010371</v>
      </c>
      <c r="AI9" s="41">
        <f t="shared" si="21"/>
        <v>0</v>
      </c>
      <c r="AJ9" s="41">
        <f t="shared" si="10"/>
        <v>-24239.271577980526</v>
      </c>
      <c r="AK9" s="41">
        <f t="shared" si="11"/>
        <v>-48224.645673530409</v>
      </c>
      <c r="AL9" s="41">
        <f t="shared" si="22"/>
        <v>14339.365001451737</v>
      </c>
      <c r="AM9" s="41">
        <f t="shared" si="12"/>
        <v>-58124.552250059205</v>
      </c>
      <c r="AN9" s="41">
        <f t="shared" si="13"/>
        <v>242.15566367010251</v>
      </c>
      <c r="AO9" s="41">
        <f t="shared" si="14"/>
        <v>-57882.396586389106</v>
      </c>
      <c r="AP9" s="45"/>
      <c r="AQ9" s="45"/>
      <c r="AR9" s="48"/>
      <c r="AS9" s="48"/>
      <c r="AT9" s="51">
        <f t="shared" si="23"/>
        <v>5</v>
      </c>
      <c r="AU9" s="49">
        <f t="shared" si="24"/>
        <v>0.96031622198965283</v>
      </c>
      <c r="AV9" s="49">
        <f t="shared" si="25"/>
        <v>1.2107783183505185E-2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204.334</v>
      </c>
      <c r="AX9" s="50">
        <f>IF(ISERROR(ROUND(MAX(0,1000*NPV($AT$2,$AV10:$AV$124)-$AW$2*($AU10+NPV($AT$2,$AU11:$AU$124)))/AU10,3)), 0, ROUND(MAX(0,1000*NPV($AT$2,$AV10:$AV$124)-$AW$2*($AU10+NPV($AT$2,$AU11:$AU$124)))/AU10,3))</f>
        <v>77.224000000000004</v>
      </c>
    </row>
    <row r="10" spans="1:51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6"/>
        <v/>
      </c>
      <c r="L10" s="42">
        <f t="shared" si="27"/>
        <v>25</v>
      </c>
      <c r="M10" s="41">
        <f t="shared" si="28"/>
        <v>2000000</v>
      </c>
      <c r="N10" s="43">
        <f>AX10</f>
        <v>105.464</v>
      </c>
      <c r="O10" s="44">
        <f t="shared" si="2"/>
        <v>232.48599999999999</v>
      </c>
      <c r="P10" s="41">
        <f t="shared" si="3"/>
        <v>210928</v>
      </c>
      <c r="Q10" s="41">
        <f t="shared" si="4"/>
        <v>464972</v>
      </c>
      <c r="R10" s="44"/>
      <c r="S10" s="44">
        <f>IF(I10&lt;&gt;"",_xlfn.XLOOKUP(D$4+I10,A$26:A$145,$C$26:$C$145,0) * 1000,"")</f>
        <v>13.903529805221821</v>
      </c>
      <c r="T10" s="52">
        <f>$C$12</f>
        <v>0</v>
      </c>
      <c r="U10" s="53">
        <f t="shared" si="15"/>
        <v>0.94820843880614769</v>
      </c>
      <c r="V10" s="53">
        <f t="shared" si="16"/>
        <v>1.3183444290504125E-2</v>
      </c>
      <c r="W10" s="53">
        <f t="shared" si="17"/>
        <v>0</v>
      </c>
      <c r="X10" s="46">
        <f t="shared" si="5"/>
        <v>0.93502499451564358</v>
      </c>
      <c r="Y10" s="54"/>
      <c r="Z10" s="41">
        <f t="shared" si="18"/>
        <v>387502.44627003075</v>
      </c>
      <c r="AA10" s="41">
        <f t="shared" si="19"/>
        <v>18964.168776122955</v>
      </c>
      <c r="AB10" s="41">
        <f t="shared" si="6"/>
        <v>434760.44174992782</v>
      </c>
      <c r="AC10" s="41">
        <f t="shared" si="7"/>
        <v>18700.499890312873</v>
      </c>
      <c r="AD10" s="54"/>
      <c r="AE10" s="41">
        <f t="shared" si="8"/>
        <v>0</v>
      </c>
      <c r="AF10" s="41"/>
      <c r="AG10" s="41">
        <f t="shared" si="9"/>
        <v>-23.37562486289109</v>
      </c>
      <c r="AH10" s="41">
        <f t="shared" si="20"/>
        <v>-26366.88858100825</v>
      </c>
      <c r="AI10" s="41">
        <f t="shared" si="21"/>
        <v>0</v>
      </c>
      <c r="AJ10" s="41">
        <f t="shared" si="10"/>
        <v>-26390.264205871143</v>
      </c>
      <c r="AK10" s="41">
        <f t="shared" si="11"/>
        <v>-47257.995479897072</v>
      </c>
      <c r="AL10" s="41">
        <f t="shared" si="22"/>
        <v>16258.664601846149</v>
      </c>
      <c r="AM10" s="41">
        <f t="shared" si="12"/>
        <v>-57389.595083922075</v>
      </c>
      <c r="AN10" s="41">
        <f t="shared" si="13"/>
        <v>263.66888581008243</v>
      </c>
      <c r="AO10" s="41">
        <f t="shared" si="14"/>
        <v>-57125.926198111993</v>
      </c>
      <c r="AP10" s="45"/>
      <c r="AQ10" s="45"/>
      <c r="AR10" s="48"/>
      <c r="AS10" s="48"/>
      <c r="AT10" s="51">
        <f t="shared" si="23"/>
        <v>6</v>
      </c>
      <c r="AU10" s="49">
        <f t="shared" si="24"/>
        <v>0.94820843880614769</v>
      </c>
      <c r="AV10" s="49">
        <f t="shared" si="25"/>
        <v>1.3183444290504125E-2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232.48599999999999</v>
      </c>
      <c r="AX10" s="50">
        <f>IF(ISERROR(ROUND(MAX(0,1000*NPV($AT$2,$AV11:$AV$124)-$AW$2*($AU11+NPV($AT$2,$AU12:$AU$124)))/AU11,3)), 0, ROUND(MAX(0,1000*NPV($AT$2,$AV11:$AV$124)-$AW$2*($AU11+NPV($AT$2,$AU12:$AU$124)))/AU11,3))</f>
        <v>105.464</v>
      </c>
    </row>
    <row r="11" spans="1:51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6"/>
        <v/>
      </c>
      <c r="L11" s="42">
        <f t="shared" si="27"/>
        <v>25</v>
      </c>
      <c r="M11" s="41">
        <f t="shared" si="28"/>
        <v>2000000</v>
      </c>
      <c r="N11" s="43">
        <f t="shared" si="1"/>
        <v>134.50800000000001</v>
      </c>
      <c r="O11" s="44">
        <f>AW11</f>
        <v>261.05700000000002</v>
      </c>
      <c r="P11" s="41">
        <f t="shared" si="3"/>
        <v>269016</v>
      </c>
      <c r="Q11" s="41">
        <f t="shared" si="4"/>
        <v>522114.00000000006</v>
      </c>
      <c r="R11" s="44"/>
      <c r="S11" s="44">
        <f>IF(I11&lt;&gt;"",_xlfn.XLOOKUP(D$4+I11,A$26:A$145,$C$26:$C$145,0) * 1000,"")</f>
        <v>15.39816557007881</v>
      </c>
      <c r="T11" s="52">
        <f>$C$12</f>
        <v>0</v>
      </c>
      <c r="U11" s="53">
        <f t="shared" si="15"/>
        <v>0.93502499451564358</v>
      </c>
      <c r="V11" s="53">
        <f t="shared" si="16"/>
        <v>1.4397669677713911E-2</v>
      </c>
      <c r="W11" s="53">
        <f t="shared" si="17"/>
        <v>0</v>
      </c>
      <c r="X11" s="46">
        <f t="shared" si="5"/>
        <v>0.92062732483792964</v>
      </c>
      <c r="Y11" s="54"/>
      <c r="Z11" s="41">
        <f t="shared" si="18"/>
        <v>434760.44174992782</v>
      </c>
      <c r="AA11" s="41">
        <f t="shared" si="19"/>
        <v>18700.499890312873</v>
      </c>
      <c r="AB11" s="41">
        <f t="shared" si="6"/>
        <v>480672.41508043086</v>
      </c>
      <c r="AC11" s="41">
        <f t="shared" si="7"/>
        <v>18412.546496758594</v>
      </c>
      <c r="AD11" s="54"/>
      <c r="AE11" s="41">
        <f t="shared" si="8"/>
        <v>0</v>
      </c>
      <c r="AF11" s="41"/>
      <c r="AG11" s="41">
        <f t="shared" si="9"/>
        <v>-23.015683120948243</v>
      </c>
      <c r="AH11" s="41">
        <f t="shared" si="20"/>
        <v>-28795.339355427823</v>
      </c>
      <c r="AI11" s="41">
        <f t="shared" si="21"/>
        <v>0</v>
      </c>
      <c r="AJ11" s="41">
        <f t="shared" si="10"/>
        <v>-28818.355038548772</v>
      </c>
      <c r="AK11" s="41">
        <f t="shared" si="11"/>
        <v>-45911.973330503039</v>
      </c>
      <c r="AL11" s="41">
        <f t="shared" si="22"/>
        <v>18138.437665609628</v>
      </c>
      <c r="AM11" s="41">
        <f t="shared" si="12"/>
        <v>-56591.890703442186</v>
      </c>
      <c r="AN11" s="41">
        <f t="shared" si="13"/>
        <v>287.95339355427859</v>
      </c>
      <c r="AO11" s="41">
        <f t="shared" si="14"/>
        <v>-56303.937309887908</v>
      </c>
      <c r="AP11" s="45"/>
      <c r="AQ11" s="45"/>
      <c r="AR11" s="48"/>
      <c r="AS11" s="48"/>
      <c r="AT11" s="51">
        <f t="shared" si="23"/>
        <v>7</v>
      </c>
      <c r="AU11" s="49">
        <f t="shared" si="24"/>
        <v>0.93502499451564358</v>
      </c>
      <c r="AV11" s="49">
        <f t="shared" si="25"/>
        <v>1.4397669677713911E-2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261.05700000000002</v>
      </c>
      <c r="AX11" s="50">
        <f>IF(ISERROR(ROUND(MAX(0,1000*NPV($AT$2,$AV12:$AV$124)-$AW$2*($AU12+NPV($AT$2,$AU13:$AU$124)))/AU12,3)), 0, ROUND(MAX(0,1000*NPV($AT$2,$AV12:$AV$124)-$AW$2*($AU12+NPV($AT$2,$AU13:$AU$124)))/AU12,3))</f>
        <v>134.50800000000001</v>
      </c>
    </row>
    <row r="12" spans="1:51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6"/>
        <v/>
      </c>
      <c r="L12" s="42">
        <f t="shared" si="27"/>
        <v>25</v>
      </c>
      <c r="M12" s="41">
        <f t="shared" si="28"/>
        <v>2000000</v>
      </c>
      <c r="N12" s="43">
        <f>AX12</f>
        <v>164.31100000000001</v>
      </c>
      <c r="O12" s="44">
        <f t="shared" si="2"/>
        <v>289.99200000000002</v>
      </c>
      <c r="P12" s="41">
        <f t="shared" si="3"/>
        <v>328622</v>
      </c>
      <c r="Q12" s="41">
        <f t="shared" si="4"/>
        <v>579984</v>
      </c>
      <c r="R12" s="44"/>
      <c r="S12" s="44">
        <f>IF(I12&lt;&gt;"",_xlfn.XLOOKUP(D$4+I12,A$26:A$145,$C$26:$C$145,0) * 1000,"")</f>
        <v>17.123484936910376</v>
      </c>
      <c r="T12" s="52">
        <f>$C$12</f>
        <v>0</v>
      </c>
      <c r="U12" s="53">
        <f t="shared" si="15"/>
        <v>0.92062732483792964</v>
      </c>
      <c r="V12" s="53">
        <f t="shared" si="16"/>
        <v>1.5764348129370383E-2</v>
      </c>
      <c r="W12" s="53">
        <f t="shared" si="17"/>
        <v>0</v>
      </c>
      <c r="X12" s="46">
        <f t="shared" si="5"/>
        <v>0.90486297670855931</v>
      </c>
      <c r="Y12" s="54"/>
      <c r="Z12" s="41">
        <f t="shared" si="18"/>
        <v>480672.41508043086</v>
      </c>
      <c r="AA12" s="41">
        <f t="shared" si="19"/>
        <v>18412.546496758594</v>
      </c>
      <c r="AB12" s="41">
        <f t="shared" si="6"/>
        <v>524806.04868333705</v>
      </c>
      <c r="AC12" s="41">
        <f t="shared" si="7"/>
        <v>18097.259534171186</v>
      </c>
      <c r="AD12" s="54"/>
      <c r="AE12" s="41">
        <f t="shared" si="8"/>
        <v>0</v>
      </c>
      <c r="AF12" s="41"/>
      <c r="AG12" s="41">
        <f t="shared" si="9"/>
        <v>-22.621574417713983</v>
      </c>
      <c r="AH12" s="41">
        <f t="shared" si="20"/>
        <v>-31528.696258740765</v>
      </c>
      <c r="AI12" s="41">
        <f t="shared" si="21"/>
        <v>0</v>
      </c>
      <c r="AJ12" s="41">
        <f t="shared" si="10"/>
        <v>-31551.317833158479</v>
      </c>
      <c r="AK12" s="41">
        <f t="shared" si="11"/>
        <v>-44133.633602906193</v>
      </c>
      <c r="AL12" s="41">
        <f t="shared" si="22"/>
        <v>19963.398463087578</v>
      </c>
      <c r="AM12" s="41">
        <f t="shared" si="12"/>
        <v>-55721.552972977093</v>
      </c>
      <c r="AN12" s="41">
        <f t="shared" si="13"/>
        <v>315.2869625874082</v>
      </c>
      <c r="AO12" s="41">
        <f t="shared" si="14"/>
        <v>-55406.266010389685</v>
      </c>
      <c r="AP12" s="45"/>
      <c r="AQ12" s="45"/>
      <c r="AR12" s="48"/>
      <c r="AS12" s="48"/>
      <c r="AT12" s="51">
        <f t="shared" si="23"/>
        <v>8</v>
      </c>
      <c r="AU12" s="49">
        <f t="shared" si="24"/>
        <v>0.92062732483792964</v>
      </c>
      <c r="AV12" s="49">
        <f t="shared" si="25"/>
        <v>1.5764348129370383E-2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289.99200000000002</v>
      </c>
      <c r="AX12" s="50">
        <f>IF(ISERROR(ROUND(MAX(0,1000*NPV($AT$2,$AV13:$AV$124)-$AW$2*($AU13+NPV($AT$2,$AU14:$AU$124)))/AU13,3)), 0, ROUND(MAX(0,1000*NPV($AT$2,$AV13:$AV$124)-$AW$2*($AU13+NPV($AT$2,$AU14:$AU$124)))/AU13,3))</f>
        <v>164.31100000000001</v>
      </c>
    </row>
    <row r="13" spans="1:51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6"/>
        <v/>
      </c>
      <c r="L13" s="42">
        <f t="shared" si="27"/>
        <v>25</v>
      </c>
      <c r="M13" s="41">
        <f t="shared" si="28"/>
        <v>2000000</v>
      </c>
      <c r="N13" s="43">
        <f t="shared" si="1"/>
        <v>194.76900000000001</v>
      </c>
      <c r="O13" s="44">
        <f t="shared" si="2"/>
        <v>319.18400000000003</v>
      </c>
      <c r="P13" s="41">
        <f t="shared" si="3"/>
        <v>389538</v>
      </c>
      <c r="Q13" s="41">
        <f t="shared" si="4"/>
        <v>638368</v>
      </c>
      <c r="R13" s="44"/>
      <c r="S13" s="44">
        <f>IF(I13&lt;&gt;"",_xlfn.XLOOKUP(D$4+I13,A$26:A$145,$C$26:$C$145,0) * 1000,"")</f>
        <v>19.179914749560858</v>
      </c>
      <c r="T13" s="52">
        <f>$C$12</f>
        <v>0</v>
      </c>
      <c r="U13" s="53">
        <f t="shared" si="15"/>
        <v>0.90486297670855931</v>
      </c>
      <c r="V13" s="53">
        <f t="shared" si="16"/>
        <v>1.7355194753304042E-2</v>
      </c>
      <c r="W13" s="53">
        <f t="shared" si="17"/>
        <v>0</v>
      </c>
      <c r="X13" s="46">
        <f t="shared" si="5"/>
        <v>0.88750778195525526</v>
      </c>
      <c r="Y13" s="54"/>
      <c r="Z13" s="41">
        <f t="shared" si="18"/>
        <v>524806.04868333705</v>
      </c>
      <c r="AA13" s="41">
        <f t="shared" si="19"/>
        <v>18097.259534171186</v>
      </c>
      <c r="AB13" s="41">
        <f t="shared" si="6"/>
        <v>566556.56775121239</v>
      </c>
      <c r="AC13" s="41">
        <f t="shared" si="7"/>
        <v>17750.155639105105</v>
      </c>
      <c r="AD13" s="54"/>
      <c r="AE13" s="41">
        <f t="shared" si="8"/>
        <v>0</v>
      </c>
      <c r="AF13" s="41"/>
      <c r="AG13" s="41">
        <f t="shared" si="9"/>
        <v>-22.187694548881382</v>
      </c>
      <c r="AH13" s="41">
        <f t="shared" si="20"/>
        <v>-34710.38950660808</v>
      </c>
      <c r="AI13" s="41">
        <f t="shared" si="21"/>
        <v>0</v>
      </c>
      <c r="AJ13" s="41">
        <f t="shared" si="10"/>
        <v>-34732.577201156964</v>
      </c>
      <c r="AK13" s="41">
        <f t="shared" si="11"/>
        <v>-41750.519067875342</v>
      </c>
      <c r="AL13" s="41">
        <f t="shared" si="22"/>
        <v>21716.132328700329</v>
      </c>
      <c r="AM13" s="41">
        <f t="shared" si="12"/>
        <v>-54766.963940331974</v>
      </c>
      <c r="AN13" s="41">
        <f t="shared" si="13"/>
        <v>347.10389506608044</v>
      </c>
      <c r="AO13" s="41">
        <f t="shared" si="14"/>
        <v>-54419.860045265894</v>
      </c>
      <c r="AP13" s="45"/>
      <c r="AQ13" s="45"/>
      <c r="AR13" s="48"/>
      <c r="AS13" s="48"/>
      <c r="AT13" s="51">
        <f t="shared" si="23"/>
        <v>9</v>
      </c>
      <c r="AU13" s="49">
        <f t="shared" si="24"/>
        <v>0.90486297670855931</v>
      </c>
      <c r="AV13" s="49">
        <f t="shared" si="25"/>
        <v>1.7355194753304042E-2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319.18400000000003</v>
      </c>
      <c r="AX13" s="50">
        <f>IF(ISERROR(ROUND(MAX(0,1000*NPV($AT$2,$AV14:$AV$124)-$AW$2*($AU14+NPV($AT$2,$AU15:$AU$124)))/AU14,3)), 0, ROUND(MAX(0,1000*NPV($AT$2,$AV14:$AV$124)-$AW$2*($AU14+NPV($AT$2,$AU15:$AU$124)))/AU14,3))</f>
        <v>194.76900000000001</v>
      </c>
    </row>
    <row r="14" spans="1:51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6"/>
        <v/>
      </c>
      <c r="L14" s="42">
        <f t="shared" si="27"/>
        <v>25</v>
      </c>
      <c r="M14" s="41">
        <f t="shared" si="28"/>
        <v>2000000</v>
      </c>
      <c r="N14" s="43">
        <f t="shared" si="1"/>
        <v>225.81100000000001</v>
      </c>
      <c r="O14" s="44">
        <f t="shared" si="2"/>
        <v>348.56</v>
      </c>
      <c r="P14" s="41">
        <f t="shared" si="3"/>
        <v>451622</v>
      </c>
      <c r="Q14" s="41">
        <f t="shared" si="4"/>
        <v>697120</v>
      </c>
      <c r="R14" s="44"/>
      <c r="S14" s="44">
        <f>IF(I14&lt;&gt;"",_xlfn.XLOOKUP(D$4+I14,A$26:A$145,$C$26:$C$145,0) * 1000,"")</f>
        <v>21.553628742293558</v>
      </c>
      <c r="T14" s="52">
        <f>$C$12</f>
        <v>0</v>
      </c>
      <c r="U14" s="53">
        <f t="shared" si="15"/>
        <v>0.88750778195525526</v>
      </c>
      <c r="V14" s="53">
        <f t="shared" si="16"/>
        <v>1.9129013238159995E-2</v>
      </c>
      <c r="W14" s="53">
        <f t="shared" si="17"/>
        <v>0</v>
      </c>
      <c r="X14" s="46">
        <f t="shared" si="5"/>
        <v>0.8683787687170953</v>
      </c>
      <c r="Y14" s="54"/>
      <c r="Z14" s="41">
        <f t="shared" si="18"/>
        <v>566556.56775121239</v>
      </c>
      <c r="AA14" s="41">
        <f t="shared" si="19"/>
        <v>17750.155639105105</v>
      </c>
      <c r="AB14" s="41">
        <f t="shared" si="6"/>
        <v>605364.20724806143</v>
      </c>
      <c r="AC14" s="41">
        <f t="shared" si="7"/>
        <v>17367.575374341905</v>
      </c>
      <c r="AD14" s="54"/>
      <c r="AE14" s="41">
        <f t="shared" si="8"/>
        <v>0</v>
      </c>
      <c r="AF14" s="41"/>
      <c r="AG14" s="41">
        <f t="shared" si="9"/>
        <v>-21.709469217927381</v>
      </c>
      <c r="AH14" s="41">
        <f t="shared" si="20"/>
        <v>-38258.026476319988</v>
      </c>
      <c r="AI14" s="41">
        <f t="shared" si="21"/>
        <v>0</v>
      </c>
      <c r="AJ14" s="41">
        <f t="shared" si="10"/>
        <v>-38279.735945537919</v>
      </c>
      <c r="AK14" s="41">
        <f t="shared" si="11"/>
        <v>-38807.639496849035</v>
      </c>
      <c r="AL14" s="41">
        <f t="shared" si="22"/>
        <v>23372.268935612701</v>
      </c>
      <c r="AM14" s="41">
        <f t="shared" si="12"/>
        <v>-53715.106506774253</v>
      </c>
      <c r="AN14" s="41">
        <f t="shared" si="13"/>
        <v>382.58026476320083</v>
      </c>
      <c r="AO14" s="41">
        <f t="shared" si="14"/>
        <v>-53332.526242011052</v>
      </c>
      <c r="AP14" s="45"/>
      <c r="AQ14" s="45"/>
      <c r="AR14" s="48"/>
      <c r="AS14" s="48"/>
      <c r="AT14" s="51">
        <f t="shared" si="23"/>
        <v>10</v>
      </c>
      <c r="AU14" s="49">
        <f t="shared" si="24"/>
        <v>0.88750778195525526</v>
      </c>
      <c r="AV14" s="49">
        <f t="shared" si="25"/>
        <v>1.9129013238159995E-2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348.56</v>
      </c>
      <c r="AX14" s="50">
        <f>IF(ISERROR(ROUND(MAX(0,1000*NPV($AT$2,$AV15:$AV$124)-$AW$2*($AU15+NPV($AT$2,$AU16:$AU$124)))/AU15,3)), 0, ROUND(MAX(0,1000*NPV($AT$2,$AV15:$AV$124)-$AW$2*($AU15+NPV($AT$2,$AU16:$AU$124)))/AU15,3))</f>
        <v>225.81100000000001</v>
      </c>
    </row>
    <row r="15" spans="1:51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6"/>
        <v/>
      </c>
      <c r="L15" s="42">
        <f t="shared" si="27"/>
        <v>25</v>
      </c>
      <c r="M15" s="41">
        <f t="shared" si="28"/>
        <v>2000000</v>
      </c>
      <c r="N15" s="43">
        <f t="shared" si="1"/>
        <v>254.64599999999999</v>
      </c>
      <c r="O15" s="44">
        <f t="shared" si="2"/>
        <v>375.76900000000001</v>
      </c>
      <c r="P15" s="41">
        <f t="shared" si="3"/>
        <v>509292</v>
      </c>
      <c r="Q15" s="41">
        <f t="shared" si="4"/>
        <v>751538</v>
      </c>
      <c r="R15" s="44"/>
      <c r="S15" s="44">
        <f>IF(I15&lt;&gt;"",_xlfn.XLOOKUP(D$4+I15,A$26:A$145,$C$26:$C$145,0) * 1000,"")</f>
        <v>27.848721073281073</v>
      </c>
      <c r="T15" s="52">
        <f>$C$13</f>
        <v>0</v>
      </c>
      <c r="U15" s="53">
        <f t="shared" si="15"/>
        <v>0.8683787687170953</v>
      </c>
      <c r="V15" s="53">
        <f t="shared" si="16"/>
        <v>2.4183238115961642E-2</v>
      </c>
      <c r="W15" s="53">
        <f t="shared" si="17"/>
        <v>0</v>
      </c>
      <c r="X15" s="46">
        <f t="shared" si="5"/>
        <v>0.84419553060113361</v>
      </c>
      <c r="Y15" s="54"/>
      <c r="Z15" s="41">
        <f t="shared" si="18"/>
        <v>605364.20724806143</v>
      </c>
      <c r="AA15" s="41">
        <f t="shared" si="19"/>
        <v>17367.575374341905</v>
      </c>
      <c r="AB15" s="41">
        <f t="shared" si="6"/>
        <v>634445.02067691472</v>
      </c>
      <c r="AC15" s="41">
        <f t="shared" si="7"/>
        <v>16883.910612022672</v>
      </c>
      <c r="AD15" s="54"/>
      <c r="AE15" s="41">
        <f t="shared" si="8"/>
        <v>0</v>
      </c>
      <c r="AF15" s="41"/>
      <c r="AG15" s="41">
        <f t="shared" si="9"/>
        <v>-21.10488826502834</v>
      </c>
      <c r="AH15" s="41">
        <f t="shared" si="20"/>
        <v>-48366.476231923283</v>
      </c>
      <c r="AI15" s="41">
        <f t="shared" si="21"/>
        <v>0</v>
      </c>
      <c r="AJ15" s="41">
        <f t="shared" si="10"/>
        <v>-48387.581120188312</v>
      </c>
      <c r="AK15" s="41">
        <f t="shared" si="11"/>
        <v>-29080.813428853289</v>
      </c>
      <c r="AL15" s="41">
        <f t="shared" si="22"/>
        <v>24909.271304896134</v>
      </c>
      <c r="AM15" s="41">
        <f t="shared" si="12"/>
        <v>-52559.123244145478</v>
      </c>
      <c r="AN15" s="41">
        <f t="shared" si="13"/>
        <v>483.66476231923298</v>
      </c>
      <c r="AO15" s="41">
        <f t="shared" si="14"/>
        <v>-52075.458481826245</v>
      </c>
      <c r="AP15" s="45"/>
      <c r="AQ15" s="45"/>
      <c r="AR15" s="48"/>
      <c r="AS15" s="48"/>
      <c r="AT15" s="51">
        <f t="shared" si="23"/>
        <v>11</v>
      </c>
      <c r="AU15" s="49">
        <f t="shared" si="24"/>
        <v>0.8683787687170953</v>
      </c>
      <c r="AV15" s="49">
        <f t="shared" si="25"/>
        <v>2.4183238115961642E-2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375.76900000000001</v>
      </c>
      <c r="AX15" s="50">
        <f>IF(ISERROR(ROUND(MAX(0,1000*NPV($AT$2,$AV16:$AV$124)-$AW$2*($AU16+NPV($AT$2,$AU17:$AU$124)))/AU16,3)), 0, ROUND(MAX(0,1000*NPV($AT$2,$AV16:$AV$124)-$AW$2*($AU16+NPV($AT$2,$AU17:$AU$124)))/AU16,3))</f>
        <v>254.64599999999999</v>
      </c>
    </row>
    <row r="16" spans="1:51" ht="15" x14ac:dyDescent="0.25">
      <c r="A16" s="15"/>
      <c r="B16" s="19">
        <v>1</v>
      </c>
      <c r="C16" s="18">
        <v>0.3</v>
      </c>
      <c r="D16" s="1"/>
      <c r="E16" s="19" t="s">
        <v>69</v>
      </c>
      <c r="F16" s="62">
        <v>0.06</v>
      </c>
      <c r="G16" s="5"/>
      <c r="H16" s="1"/>
      <c r="I16" s="51">
        <v>12</v>
      </c>
      <c r="J16" s="41"/>
      <c r="K16" s="41" t="str">
        <f t="shared" si="26"/>
        <v/>
      </c>
      <c r="L16" s="42">
        <f t="shared" si="27"/>
        <v>25</v>
      </c>
      <c r="M16" s="41">
        <f t="shared" si="28"/>
        <v>2000000</v>
      </c>
      <c r="N16" s="43">
        <f t="shared" si="1"/>
        <v>283.423</v>
      </c>
      <c r="O16" s="44">
        <f t="shared" si="2"/>
        <v>402.65699999999998</v>
      </c>
      <c r="P16" s="41">
        <f t="shared" si="3"/>
        <v>566846</v>
      </c>
      <c r="Q16" s="41">
        <f t="shared" si="4"/>
        <v>805314</v>
      </c>
      <c r="R16" s="44"/>
      <c r="S16" s="44">
        <f>IF(I16&lt;&gt;"",_xlfn.XLOOKUP(D$4+I16,A$26:A$145,$C$26:$C$145,0) * 1000,"")</f>
        <v>31.460977485519763</v>
      </c>
      <c r="T16" s="52">
        <f t="shared" ref="T16:T80" si="29">$C$13</f>
        <v>0</v>
      </c>
      <c r="U16" s="53">
        <f t="shared" si="15"/>
        <v>0.84419553060113361</v>
      </c>
      <c r="V16" s="53">
        <f t="shared" si="16"/>
        <v>2.6559216581618673E-2</v>
      </c>
      <c r="W16" s="53">
        <f t="shared" si="17"/>
        <v>0</v>
      </c>
      <c r="X16" s="46">
        <f t="shared" si="5"/>
        <v>0.81763631401951498</v>
      </c>
      <c r="Y16" s="54"/>
      <c r="Z16" s="41">
        <f t="shared" si="18"/>
        <v>634445.02067691472</v>
      </c>
      <c r="AA16" s="41">
        <f t="shared" si="19"/>
        <v>16883.910612022672</v>
      </c>
      <c r="AB16" s="41">
        <f t="shared" si="6"/>
        <v>658453.97058831167</v>
      </c>
      <c r="AC16" s="41">
        <f t="shared" si="7"/>
        <v>16352.7262803903</v>
      </c>
      <c r="AD16" s="54"/>
      <c r="AE16" s="41">
        <f t="shared" si="8"/>
        <v>0</v>
      </c>
      <c r="AF16" s="41"/>
      <c r="AG16" s="41">
        <f t="shared" si="9"/>
        <v>-20.440907850487875</v>
      </c>
      <c r="AH16" s="41">
        <f t="shared" si="20"/>
        <v>-53118.433163237343</v>
      </c>
      <c r="AI16" s="41">
        <f t="shared" si="21"/>
        <v>0</v>
      </c>
      <c r="AJ16" s="41">
        <f t="shared" si="10"/>
        <v>-53138.874071087834</v>
      </c>
      <c r="AK16" s="41">
        <f t="shared" si="11"/>
        <v>-24008.94991139695</v>
      </c>
      <c r="AL16" s="41">
        <f t="shared" si="22"/>
        <v>26053.157251557495</v>
      </c>
      <c r="AM16" s="41">
        <f t="shared" si="12"/>
        <v>-51094.666730927289</v>
      </c>
      <c r="AN16" s="41">
        <f t="shared" si="13"/>
        <v>531.18433163237205</v>
      </c>
      <c r="AO16" s="41">
        <f t="shared" si="14"/>
        <v>-50563.482399294917</v>
      </c>
      <c r="AP16" s="45"/>
      <c r="AQ16" s="45"/>
      <c r="AR16" s="48"/>
      <c r="AS16" s="48"/>
      <c r="AT16" s="51">
        <f t="shared" si="23"/>
        <v>12</v>
      </c>
      <c r="AU16" s="49">
        <f t="shared" si="24"/>
        <v>0.84419553060113361</v>
      </c>
      <c r="AV16" s="49">
        <f t="shared" si="25"/>
        <v>2.6559216581618673E-2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402.65699999999998</v>
      </c>
      <c r="AX16" s="50">
        <f>IF(ISERROR(ROUND(MAX(0,1000*NPV($AT$2,$AV17:$AV$124)-$AW$2*($AU17+NPV($AT$2,$AU18:$AU$124)))/AU17,3)), 0, ROUND(MAX(0,1000*NPV($AT$2,$AV17:$AV$124)-$AW$2*($AU17+NPV($AT$2,$AU18:$AU$124)))/AU17,3))</f>
        <v>283.423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6"/>
        <v/>
      </c>
      <c r="L17" s="42">
        <f t="shared" si="27"/>
        <v>25</v>
      </c>
      <c r="M17" s="41">
        <f t="shared" si="28"/>
        <v>2000000</v>
      </c>
      <c r="N17" s="43">
        <f t="shared" si="1"/>
        <v>312.04700000000003</v>
      </c>
      <c r="O17" s="44">
        <f t="shared" si="2"/>
        <v>429.14600000000002</v>
      </c>
      <c r="P17" s="41">
        <f t="shared" si="3"/>
        <v>624094</v>
      </c>
      <c r="Q17" s="41">
        <f t="shared" si="4"/>
        <v>858292</v>
      </c>
      <c r="R17" s="44"/>
      <c r="S17" s="44">
        <f>IF(I17&lt;&gt;"",_xlfn.XLOOKUP(D$4+I17,A$26:A$145,$C$26:$C$145,0) * 1000,"")</f>
        <v>35.50373691278989</v>
      </c>
      <c r="T17" s="52">
        <f t="shared" si="29"/>
        <v>0</v>
      </c>
      <c r="U17" s="53">
        <f t="shared" si="15"/>
        <v>0.81763631401951498</v>
      </c>
      <c r="V17" s="53">
        <f t="shared" si="16"/>
        <v>2.9029144583292119E-2</v>
      </c>
      <c r="W17" s="53">
        <f t="shared" si="17"/>
        <v>0</v>
      </c>
      <c r="X17" s="46">
        <f t="shared" si="5"/>
        <v>0.78860716943622289</v>
      </c>
      <c r="Y17" s="54"/>
      <c r="Z17" s="41">
        <f t="shared" si="18"/>
        <v>658453.97058831167</v>
      </c>
      <c r="AA17" s="41">
        <f t="shared" si="19"/>
        <v>16352.7262803903</v>
      </c>
      <c r="AB17" s="41">
        <f t="shared" si="6"/>
        <v>676855.22466975462</v>
      </c>
      <c r="AC17" s="41">
        <f t="shared" si="7"/>
        <v>15772.143388724458</v>
      </c>
      <c r="AD17" s="54"/>
      <c r="AE17" s="41">
        <f t="shared" si="8"/>
        <v>0</v>
      </c>
      <c r="AF17" s="41"/>
      <c r="AG17" s="41">
        <f t="shared" si="9"/>
        <v>-19.715179235905573</v>
      </c>
      <c r="AH17" s="41">
        <f t="shared" si="20"/>
        <v>-58058.28916658424</v>
      </c>
      <c r="AI17" s="41">
        <f t="shared" si="21"/>
        <v>0</v>
      </c>
      <c r="AJ17" s="41">
        <f t="shared" si="10"/>
        <v>-58078.004345820147</v>
      </c>
      <c r="AK17" s="41">
        <f t="shared" si="11"/>
        <v>-18401.254081442952</v>
      </c>
      <c r="AL17" s="41">
        <f t="shared" si="22"/>
        <v>26992.267874748079</v>
      </c>
      <c r="AM17" s="41">
        <f t="shared" si="12"/>
        <v>-49486.99055251501</v>
      </c>
      <c r="AN17" s="41">
        <f t="shared" si="13"/>
        <v>580.58289166584109</v>
      </c>
      <c r="AO17" s="41">
        <f t="shared" si="14"/>
        <v>-48906.407660849167</v>
      </c>
      <c r="AP17" s="45"/>
      <c r="AQ17" s="45"/>
      <c r="AR17" s="48"/>
      <c r="AS17" s="48"/>
      <c r="AT17" s="51">
        <f t="shared" si="23"/>
        <v>13</v>
      </c>
      <c r="AU17" s="49">
        <f t="shared" si="24"/>
        <v>0.81763631401951498</v>
      </c>
      <c r="AV17" s="49">
        <f t="shared" si="25"/>
        <v>2.9029144583292119E-2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429.14600000000002</v>
      </c>
      <c r="AX17" s="50">
        <f>IF(ISERROR(ROUND(MAX(0,1000*NPV($AT$2,$AV18:$AV$124)-$AW$2*($AU18+NPV($AT$2,$AU19:$AU$124)))/AU18,3)), 0, ROUND(MAX(0,1000*NPV($AT$2,$AV18:$AV$124)-$AW$2*($AU18+NPV($AT$2,$AU19:$AU$124)))/AU18,3))</f>
        <v>312.04700000000003</v>
      </c>
    </row>
    <row r="18" spans="1:50" ht="15" x14ac:dyDescent="0.25">
      <c r="A18" s="12" t="s">
        <v>10</v>
      </c>
      <c r="B18" s="14"/>
      <c r="C18" s="3"/>
      <c r="D18" s="1"/>
      <c r="E18" s="1" t="s">
        <v>74</v>
      </c>
      <c r="F18" s="61">
        <v>0.05</v>
      </c>
      <c r="G18" s="1"/>
      <c r="H18" s="1"/>
      <c r="I18" s="51">
        <v>14</v>
      </c>
      <c r="J18" s="41"/>
      <c r="K18" s="41" t="str">
        <f t="shared" si="26"/>
        <v/>
      </c>
      <c r="L18" s="42">
        <f t="shared" si="27"/>
        <v>25</v>
      </c>
      <c r="M18" s="41">
        <f t="shared" si="28"/>
        <v>2000000</v>
      </c>
      <c r="N18" s="43">
        <f t="shared" si="1"/>
        <v>340.42500000000001</v>
      </c>
      <c r="O18" s="44">
        <f t="shared" si="2"/>
        <v>455.16500000000002</v>
      </c>
      <c r="P18" s="41">
        <f t="shared" si="3"/>
        <v>680850</v>
      </c>
      <c r="Q18" s="41">
        <f t="shared" si="4"/>
        <v>910330</v>
      </c>
      <c r="R18" s="44"/>
      <c r="S18" s="44">
        <f>IF(I18&lt;&gt;"",_xlfn.XLOOKUP(D$4+I18,A$26:A$145,$C$26:$C$145,0) * 1000,"")</f>
        <v>40.007133768194556</v>
      </c>
      <c r="T18" s="52">
        <f t="shared" si="29"/>
        <v>0</v>
      </c>
      <c r="U18" s="53">
        <f t="shared" si="15"/>
        <v>0.78860716943622289</v>
      </c>
      <c r="V18" s="53">
        <f t="shared" si="16"/>
        <v>3.1549912518192239E-2</v>
      </c>
      <c r="W18" s="53">
        <f t="shared" si="17"/>
        <v>0</v>
      </c>
      <c r="X18" s="46">
        <f t="shared" si="5"/>
        <v>0.75705725691803061</v>
      </c>
      <c r="Y18" s="54"/>
      <c r="Z18" s="41">
        <f t="shared" si="18"/>
        <v>676855.22466975462</v>
      </c>
      <c r="AA18" s="41">
        <f t="shared" si="19"/>
        <v>15772.143388724458</v>
      </c>
      <c r="AB18" s="41">
        <f t="shared" si="6"/>
        <v>689171.93269019085</v>
      </c>
      <c r="AC18" s="41">
        <f t="shared" si="7"/>
        <v>15141.145138360613</v>
      </c>
      <c r="AD18" s="54"/>
      <c r="AE18" s="41">
        <f t="shared" si="8"/>
        <v>0</v>
      </c>
      <c r="AF18" s="41"/>
      <c r="AG18" s="41">
        <f t="shared" si="9"/>
        <v>-18.926431422950767</v>
      </c>
      <c r="AH18" s="41">
        <f t="shared" si="20"/>
        <v>-63099.825036384478</v>
      </c>
      <c r="AI18" s="41">
        <f t="shared" si="21"/>
        <v>0</v>
      </c>
      <c r="AJ18" s="41">
        <f t="shared" si="10"/>
        <v>-63118.751467807429</v>
      </c>
      <c r="AK18" s="41">
        <f t="shared" si="11"/>
        <v>-12316.708020436228</v>
      </c>
      <c r="AL18" s="41">
        <f t="shared" si="22"/>
        <v>27705.094722339163</v>
      </c>
      <c r="AM18" s="41">
        <f t="shared" si="12"/>
        <v>-47730.364765904487</v>
      </c>
      <c r="AN18" s="41">
        <f t="shared" si="13"/>
        <v>630.99825036384573</v>
      </c>
      <c r="AO18" s="41">
        <f t="shared" si="14"/>
        <v>-47099.366515540642</v>
      </c>
      <c r="AP18" s="45"/>
      <c r="AQ18" s="45"/>
      <c r="AR18" s="48"/>
      <c r="AS18" s="48"/>
      <c r="AT18" s="51">
        <f t="shared" si="23"/>
        <v>14</v>
      </c>
      <c r="AU18" s="49">
        <f t="shared" si="24"/>
        <v>0.78860716943622289</v>
      </c>
      <c r="AV18" s="49">
        <f t="shared" si="25"/>
        <v>3.1549912518192239E-2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455.16500000000002</v>
      </c>
      <c r="AX18" s="50">
        <f>IF(ISERROR(ROUND(MAX(0,1000*NPV($AT$2,$AV19:$AV$124)-$AW$2*($AU19+NPV($AT$2,$AU20:$AU$124)))/AU19,3)), 0, ROUND(MAX(0,1000*NPV($AT$2,$AV19:$AV$124)-$AW$2*($AU19+NPV($AT$2,$AU20:$AU$124)))/AU19,3))</f>
        <v>340.42500000000001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6"/>
        <v/>
      </c>
      <c r="L19" s="42">
        <f t="shared" si="27"/>
        <v>25</v>
      </c>
      <c r="M19" s="41">
        <f t="shared" si="28"/>
        <v>2000000</v>
      </c>
      <c r="N19" s="43">
        <f t="shared" si="1"/>
        <v>368.52199999999999</v>
      </c>
      <c r="O19" s="44">
        <f t="shared" si="2"/>
        <v>480.69</v>
      </c>
      <c r="P19" s="41">
        <f t="shared" si="3"/>
        <v>737044</v>
      </c>
      <c r="Q19" s="41">
        <f t="shared" si="4"/>
        <v>961380</v>
      </c>
      <c r="R19" s="44"/>
      <c r="S19" s="44">
        <f>IF(I19&lt;&gt;"",_xlfn.XLOOKUP(D$4+I19,A$26:A$145,$C$26:$C$145,0) * 1000,"")</f>
        <v>44.928042357395114</v>
      </c>
      <c r="T19" s="52">
        <f t="shared" si="29"/>
        <v>0</v>
      </c>
      <c r="U19" s="53">
        <f t="shared" si="15"/>
        <v>0.75705725691803061</v>
      </c>
      <c r="V19" s="53">
        <f t="shared" si="16"/>
        <v>3.4013100505786632E-2</v>
      </c>
      <c r="W19" s="53">
        <f t="shared" si="17"/>
        <v>0</v>
      </c>
      <c r="X19" s="46">
        <f t="shared" si="5"/>
        <v>0.72304415641224395</v>
      </c>
      <c r="Y19" s="54"/>
      <c r="Z19" s="41">
        <f t="shared" si="18"/>
        <v>689171.93269019085</v>
      </c>
      <c r="AA19" s="41">
        <f t="shared" si="19"/>
        <v>15141.145138360613</v>
      </c>
      <c r="AB19" s="41">
        <f t="shared" si="6"/>
        <v>695120.19109160313</v>
      </c>
      <c r="AC19" s="41">
        <f t="shared" si="7"/>
        <v>14460.883128244879</v>
      </c>
      <c r="AD19" s="54"/>
      <c r="AE19" s="41">
        <f t="shared" si="8"/>
        <v>0</v>
      </c>
      <c r="AF19" s="41"/>
      <c r="AG19" s="41">
        <f t="shared" si="9"/>
        <v>-18.076103910306099</v>
      </c>
      <c r="AH19" s="41">
        <f t="shared" si="20"/>
        <v>-68026.20101157327</v>
      </c>
      <c r="AI19" s="41">
        <f t="shared" si="21"/>
        <v>0</v>
      </c>
      <c r="AJ19" s="41">
        <f t="shared" si="10"/>
        <v>-68044.277115483579</v>
      </c>
      <c r="AK19" s="41">
        <f t="shared" si="11"/>
        <v>-5948.258401412284</v>
      </c>
      <c r="AL19" s="41">
        <f t="shared" si="22"/>
        <v>28172.523113142059</v>
      </c>
      <c r="AM19" s="41">
        <f t="shared" si="12"/>
        <v>-45820.012403753804</v>
      </c>
      <c r="AN19" s="41">
        <f t="shared" si="13"/>
        <v>680.26201011573357</v>
      </c>
      <c r="AO19" s="41">
        <f t="shared" si="14"/>
        <v>-45139.750393638067</v>
      </c>
      <c r="AP19" s="45"/>
      <c r="AQ19" s="45"/>
      <c r="AR19" s="48"/>
      <c r="AS19" s="48"/>
      <c r="AT19" s="51">
        <f t="shared" si="23"/>
        <v>15</v>
      </c>
      <c r="AU19" s="49">
        <f t="shared" si="24"/>
        <v>0.75705725691803061</v>
      </c>
      <c r="AV19" s="49">
        <f t="shared" si="25"/>
        <v>3.4013100505786632E-2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480.69</v>
      </c>
      <c r="AX19" s="50">
        <f>IF(ISERROR(ROUND(MAX(0,1000*NPV($AT$2,$AV20:$AV$124)-$AW$2*($AU20+NPV($AT$2,$AU21:$AU$124)))/AU20,3)), 0, ROUND(MAX(0,1000*NPV($AT$2,$AV20:$AV$124)-$AW$2*($AU20+NPV($AT$2,$AU21:$AU$124)))/AU20,3))</f>
        <v>368.52199999999999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/>
      <c r="G20" s="1"/>
      <c r="H20" s="1"/>
      <c r="I20" s="51">
        <v>16</v>
      </c>
      <c r="J20" s="41"/>
      <c r="K20" s="41" t="str">
        <f t="shared" si="26"/>
        <v/>
      </c>
      <c r="L20" s="42">
        <f t="shared" si="27"/>
        <v>25</v>
      </c>
      <c r="M20" s="41">
        <f t="shared" si="28"/>
        <v>2000000</v>
      </c>
      <c r="N20" s="43">
        <f t="shared" si="1"/>
        <v>396.28300000000002</v>
      </c>
      <c r="O20" s="44">
        <f t="shared" si="2"/>
        <v>505.68200000000002</v>
      </c>
      <c r="P20" s="41">
        <f t="shared" si="3"/>
        <v>792566</v>
      </c>
      <c r="Q20" s="41">
        <f t="shared" si="4"/>
        <v>1011364</v>
      </c>
      <c r="R20" s="44"/>
      <c r="S20" s="44">
        <f>IF(I20&lt;&gt;"",_xlfn.XLOOKUP(D$4+I20,A$26:A$145,$C$26:$C$145,0) * 1000,"")</f>
        <v>50.343983580540474</v>
      </c>
      <c r="T20" s="52">
        <f t="shared" si="29"/>
        <v>0</v>
      </c>
      <c r="U20" s="53">
        <f t="shared" si="15"/>
        <v>0.72304415641224395</v>
      </c>
      <c r="V20" s="53">
        <f t="shared" si="16"/>
        <v>3.6400923138423746E-2</v>
      </c>
      <c r="W20" s="53">
        <f t="shared" si="17"/>
        <v>0</v>
      </c>
      <c r="X20" s="46">
        <f t="shared" si="5"/>
        <v>0.68664323327382015</v>
      </c>
      <c r="Y20" s="54"/>
      <c r="Z20" s="41">
        <f t="shared" si="18"/>
        <v>695120.19109160313</v>
      </c>
      <c r="AA20" s="41">
        <f t="shared" si="19"/>
        <v>14460.883128244879</v>
      </c>
      <c r="AB20" s="41">
        <f t="shared" si="6"/>
        <v>694446.2469767438</v>
      </c>
      <c r="AC20" s="41">
        <f t="shared" si="7"/>
        <v>13732.864665476403</v>
      </c>
      <c r="AD20" s="54"/>
      <c r="AE20" s="41">
        <f t="shared" si="8"/>
        <v>0</v>
      </c>
      <c r="AF20" s="41"/>
      <c r="AG20" s="41">
        <f t="shared" si="9"/>
        <v>-17.166080831845505</v>
      </c>
      <c r="AH20" s="41">
        <f t="shared" si="20"/>
        <v>-72801.846276847486</v>
      </c>
      <c r="AI20" s="41">
        <f t="shared" si="21"/>
        <v>0</v>
      </c>
      <c r="AJ20" s="41">
        <f t="shared" si="10"/>
        <v>-72819.012357679327</v>
      </c>
      <c r="AK20" s="41">
        <f t="shared" si="11"/>
        <v>673.94411485933233</v>
      </c>
      <c r="AL20" s="41">
        <f t="shared" si="22"/>
        <v>28383.242968793922</v>
      </c>
      <c r="AM20" s="41">
        <f t="shared" si="12"/>
        <v>-43761.825274026072</v>
      </c>
      <c r="AN20" s="41">
        <f t="shared" si="13"/>
        <v>728.01846276847573</v>
      </c>
      <c r="AO20" s="41">
        <f t="shared" si="14"/>
        <v>-43033.8068112576</v>
      </c>
      <c r="AP20" s="45"/>
      <c r="AQ20" s="45"/>
      <c r="AR20" s="48"/>
      <c r="AS20" s="48"/>
      <c r="AT20" s="51">
        <f t="shared" si="23"/>
        <v>16</v>
      </c>
      <c r="AU20" s="49">
        <f t="shared" si="24"/>
        <v>0.72304415641224395</v>
      </c>
      <c r="AV20" s="49">
        <f t="shared" si="25"/>
        <v>3.6400923138423746E-2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505.68200000000002</v>
      </c>
      <c r="AX20" s="50">
        <f>IF(ISERROR(ROUND(MAX(0,1000*NPV($AT$2,$AV21:$AV$124)-$AW$2*($AU21+NPV($AT$2,$AU22:$AU$124)))/AU21,3)), 0, ROUND(MAX(0,1000*NPV($AT$2,$AV21:$AV$124)-$AW$2*($AU21+NPV($AT$2,$AU22:$AU$124)))/AU21,3))</f>
        <v>396.28300000000002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6"/>
        <v/>
      </c>
      <c r="L21" s="42">
        <f t="shared" si="27"/>
        <v>25</v>
      </c>
      <c r="M21" s="41">
        <f t="shared" si="28"/>
        <v>2000000</v>
      </c>
      <c r="N21" s="43">
        <f t="shared" si="1"/>
        <v>423.56599999999997</v>
      </c>
      <c r="O21" s="44">
        <f t="shared" si="2"/>
        <v>530.03200000000004</v>
      </c>
      <c r="P21" s="41">
        <f t="shared" si="3"/>
        <v>847132</v>
      </c>
      <c r="Q21" s="41">
        <f t="shared" si="4"/>
        <v>1060064.0000000002</v>
      </c>
      <c r="R21" s="44"/>
      <c r="S21" s="44">
        <f>IF(I21&lt;&gt;"",_xlfn.XLOOKUP(D$4+I21,A$26:A$145,$C$26:$C$145,0) * 1000,"")</f>
        <v>56.445645368736436</v>
      </c>
      <c r="T21" s="52">
        <f t="shared" si="29"/>
        <v>0</v>
      </c>
      <c r="U21" s="53">
        <f t="shared" si="15"/>
        <v>0.68664323327382015</v>
      </c>
      <c r="V21" s="53">
        <f t="shared" si="16"/>
        <v>3.8758020440216617E-2</v>
      </c>
      <c r="W21" s="53">
        <f t="shared" si="17"/>
        <v>0</v>
      </c>
      <c r="X21" s="46">
        <f t="shared" si="5"/>
        <v>0.64788521283360356</v>
      </c>
      <c r="Y21" s="54"/>
      <c r="Z21" s="41">
        <f t="shared" si="18"/>
        <v>694446.2469767438</v>
      </c>
      <c r="AA21" s="41">
        <f t="shared" si="19"/>
        <v>13732.864665476403</v>
      </c>
      <c r="AB21" s="41">
        <f t="shared" si="6"/>
        <v>686799.79025724123</v>
      </c>
      <c r="AC21" s="41">
        <f t="shared" si="7"/>
        <v>12957.704256672072</v>
      </c>
      <c r="AD21" s="54"/>
      <c r="AE21" s="41">
        <f t="shared" si="8"/>
        <v>0</v>
      </c>
      <c r="AF21" s="41"/>
      <c r="AG21" s="41">
        <f t="shared" si="9"/>
        <v>-16.197130320840088</v>
      </c>
      <c r="AH21" s="41">
        <f t="shared" si="20"/>
        <v>-77516.04088043324</v>
      </c>
      <c r="AI21" s="41">
        <f t="shared" si="21"/>
        <v>0</v>
      </c>
      <c r="AJ21" s="41">
        <f t="shared" si="10"/>
        <v>-77532.238010754081</v>
      </c>
      <c r="AK21" s="41">
        <f t="shared" si="11"/>
        <v>7646.4567195025738</v>
      </c>
      <c r="AL21" s="41">
        <f t="shared" si="22"/>
        <v>28327.164465688809</v>
      </c>
      <c r="AM21" s="41">
        <f t="shared" si="12"/>
        <v>-41558.616825562698</v>
      </c>
      <c r="AN21" s="41">
        <f t="shared" si="13"/>
        <v>775.16040880433138</v>
      </c>
      <c r="AO21" s="41">
        <f t="shared" si="14"/>
        <v>-40783.456416758367</v>
      </c>
      <c r="AP21" s="45"/>
      <c r="AQ21" s="45"/>
      <c r="AR21" s="48"/>
      <c r="AS21" s="48"/>
      <c r="AT21" s="51">
        <f t="shared" si="23"/>
        <v>17</v>
      </c>
      <c r="AU21" s="49">
        <f t="shared" si="24"/>
        <v>0.68664323327382015</v>
      </c>
      <c r="AV21" s="49">
        <f t="shared" si="25"/>
        <v>3.8758020440216617E-2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530.03200000000004</v>
      </c>
      <c r="AX21" s="50">
        <f>IF(ISERROR(ROUND(MAX(0,1000*NPV($AT$2,$AV22:$AV$124)-$AW$2*($AU22+NPV($AT$2,$AU23:$AU$124)))/AU22,3)), 0, ROUND(MAX(0,1000*NPV($AT$2,$AV22:$AV$124)-$AW$2*($AU22+NPV($AT$2,$AU23:$AU$124)))/AU22,3))</f>
        <v>423.56599999999997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6"/>
        <v/>
      </c>
      <c r="L22" s="42">
        <f t="shared" si="27"/>
        <v>25</v>
      </c>
      <c r="M22" s="41">
        <f t="shared" si="28"/>
        <v>2000000</v>
      </c>
      <c r="N22" s="43">
        <f t="shared" si="1"/>
        <v>450.21499999999997</v>
      </c>
      <c r="O22" s="44">
        <f t="shared" si="2"/>
        <v>553.62199999999996</v>
      </c>
      <c r="P22" s="41">
        <f t="shared" si="3"/>
        <v>900430</v>
      </c>
      <c r="Q22" s="41">
        <f t="shared" si="4"/>
        <v>1107244</v>
      </c>
      <c r="R22" s="44"/>
      <c r="S22" s="44">
        <f>IF(I22&lt;&gt;"",_xlfn.XLOOKUP(D$4+I22,A$26:A$145,$C$26:$C$145,0) * 1000,"")</f>
        <v>63.312627157411924</v>
      </c>
      <c r="T22" s="52">
        <f t="shared" si="29"/>
        <v>0</v>
      </c>
      <c r="U22" s="53">
        <f t="shared" si="15"/>
        <v>0.64788521283360356</v>
      </c>
      <c r="V22" s="53">
        <f t="shared" si="16"/>
        <v>4.1019314920934413E-2</v>
      </c>
      <c r="W22" s="53">
        <f t="shared" si="17"/>
        <v>0</v>
      </c>
      <c r="X22" s="46">
        <f t="shared" si="5"/>
        <v>0.60686589791266909</v>
      </c>
      <c r="Y22" s="54"/>
      <c r="Z22" s="41">
        <f t="shared" si="18"/>
        <v>686799.79025724123</v>
      </c>
      <c r="AA22" s="41">
        <f t="shared" si="19"/>
        <v>12957.704256672072</v>
      </c>
      <c r="AB22" s="41">
        <f t="shared" si="6"/>
        <v>671948.62426841538</v>
      </c>
      <c r="AC22" s="41">
        <f t="shared" si="7"/>
        <v>12137.317958253381</v>
      </c>
      <c r="AD22" s="54"/>
      <c r="AE22" s="41">
        <f t="shared" si="8"/>
        <v>0</v>
      </c>
      <c r="AF22" s="41"/>
      <c r="AG22" s="41">
        <f t="shared" si="9"/>
        <v>-15.171647447816728</v>
      </c>
      <c r="AH22" s="41">
        <f t="shared" si="20"/>
        <v>-82038.629841868824</v>
      </c>
      <c r="AI22" s="41">
        <f t="shared" si="21"/>
        <v>0</v>
      </c>
      <c r="AJ22" s="41">
        <f t="shared" si="10"/>
        <v>-82053.80148931664</v>
      </c>
      <c r="AK22" s="41">
        <f t="shared" si="11"/>
        <v>14851.165988825844</v>
      </c>
      <c r="AL22" s="41">
        <f t="shared" si="22"/>
        <v>27990.299780556532</v>
      </c>
      <c r="AM22" s="41">
        <f t="shared" si="12"/>
        <v>-39212.335719934264</v>
      </c>
      <c r="AN22" s="41">
        <f t="shared" si="13"/>
        <v>820.38629841869079</v>
      </c>
      <c r="AO22" s="41">
        <f t="shared" si="14"/>
        <v>-38391.949421515572</v>
      </c>
      <c r="AP22" s="45"/>
      <c r="AQ22" s="45"/>
      <c r="AR22" s="48"/>
      <c r="AS22" s="48"/>
      <c r="AT22" s="51">
        <f t="shared" si="23"/>
        <v>18</v>
      </c>
      <c r="AU22" s="49">
        <f t="shared" si="24"/>
        <v>0.64788521283360356</v>
      </c>
      <c r="AV22" s="49">
        <f t="shared" si="25"/>
        <v>4.1019314920934413E-2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553.62199999999996</v>
      </c>
      <c r="AX22" s="50">
        <f>IF(ISERROR(ROUND(MAX(0,1000*NPV($AT$2,$AV23:$AV$124)-$AW$2*($AU23+NPV($AT$2,$AU24:$AU$124)))/AU23,3)), 0, ROUND(MAX(0,1000*NPV($AT$2,$AV23:$AV$124)-$AW$2*($AU23+NPV($AT$2,$AU24:$AU$124)))/AU23,3))</f>
        <v>450.21499999999997</v>
      </c>
    </row>
    <row r="23" spans="1:50" ht="15" x14ac:dyDescent="0.25">
      <c r="B23" s="1"/>
      <c r="C23" s="1"/>
      <c r="D23" s="1"/>
      <c r="F23" s="1"/>
      <c r="G23" s="1"/>
      <c r="H23" s="1"/>
      <c r="I23" s="51">
        <v>19</v>
      </c>
      <c r="J23" s="41"/>
      <c r="K23" s="41" t="str">
        <f t="shared" si="26"/>
        <v/>
      </c>
      <c r="L23" s="42">
        <f t="shared" si="27"/>
        <v>25</v>
      </c>
      <c r="M23" s="41">
        <f t="shared" si="28"/>
        <v>2000000</v>
      </c>
      <c r="N23" s="43">
        <f t="shared" si="1"/>
        <v>476.03100000000001</v>
      </c>
      <c r="O23" s="44">
        <f t="shared" si="2"/>
        <v>576.30399999999997</v>
      </c>
      <c r="P23" s="41">
        <f t="shared" si="3"/>
        <v>952062</v>
      </c>
      <c r="Q23" s="41">
        <f t="shared" si="4"/>
        <v>1152608</v>
      </c>
      <c r="R23" s="44"/>
      <c r="S23" s="44">
        <f>IF(I23&lt;&gt;"",_xlfn.XLOOKUP(D$4+I23,A$26:A$145,$C$26:$C$145,0) * 1000,"")</f>
        <v>71.071014513049491</v>
      </c>
      <c r="T23" s="52">
        <f t="shared" si="29"/>
        <v>0</v>
      </c>
      <c r="U23" s="53">
        <f t="shared" si="15"/>
        <v>0.60686589791266909</v>
      </c>
      <c r="V23" s="53">
        <f t="shared" si="16"/>
        <v>4.3130575038026114E-2</v>
      </c>
      <c r="W23" s="53">
        <f t="shared" si="17"/>
        <v>0</v>
      </c>
      <c r="X23" s="46">
        <f t="shared" si="5"/>
        <v>0.56373532287464301</v>
      </c>
      <c r="Y23" s="54"/>
      <c r="Z23" s="41">
        <f t="shared" si="18"/>
        <v>671948.62426841538</v>
      </c>
      <c r="AA23" s="41">
        <f t="shared" si="19"/>
        <v>12137.317958253381</v>
      </c>
      <c r="AB23" s="41">
        <f t="shared" si="6"/>
        <v>649765.84302789648</v>
      </c>
      <c r="AC23" s="41">
        <f t="shared" si="7"/>
        <v>11274.706457492861</v>
      </c>
      <c r="AD23" s="54"/>
      <c r="AE23" s="41">
        <f t="shared" si="8"/>
        <v>0</v>
      </c>
      <c r="AF23" s="41"/>
      <c r="AG23" s="41">
        <f t="shared" si="9"/>
        <v>-14.093383071866075</v>
      </c>
      <c r="AH23" s="41">
        <f t="shared" si="20"/>
        <v>-86261.150076052232</v>
      </c>
      <c r="AI23" s="41">
        <f t="shared" si="21"/>
        <v>0</v>
      </c>
      <c r="AJ23" s="41">
        <f t="shared" si="10"/>
        <v>-86275.243459124104</v>
      </c>
      <c r="AK23" s="41">
        <f t="shared" si="11"/>
        <v>22182.781240518903</v>
      </c>
      <c r="AL23" s="41">
        <f t="shared" si="22"/>
        <v>27363.437689066752</v>
      </c>
      <c r="AM23" s="41">
        <f t="shared" si="12"/>
        <v>-36729.024529538452</v>
      </c>
      <c r="AN23" s="41">
        <f t="shared" si="13"/>
        <v>862.61150076052036</v>
      </c>
      <c r="AO23" s="41">
        <f t="shared" si="14"/>
        <v>-35866.413028777934</v>
      </c>
      <c r="AP23" s="45"/>
      <c r="AQ23" s="45"/>
      <c r="AR23" s="48"/>
      <c r="AS23" s="48"/>
      <c r="AT23" s="51">
        <f t="shared" si="23"/>
        <v>19</v>
      </c>
      <c r="AU23" s="49">
        <f t="shared" si="24"/>
        <v>0.60686589791266909</v>
      </c>
      <c r="AV23" s="49">
        <f t="shared" si="25"/>
        <v>4.3130575038026114E-2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576.30399999999997</v>
      </c>
      <c r="AX23" s="50">
        <f>IF(ISERROR(ROUND(MAX(0,1000*NPV($AT$2,$AV24:$AV$124)-$AW$2*($AU24+NPV($AT$2,$AU25:$AU$124)))/AU24,3)), 0, ROUND(MAX(0,1000*NPV($AT$2,$AV24:$AV$124)-$AW$2*($AU24+NPV($AT$2,$AU25:$AU$124)))/AU24,3))</f>
        <v>476.03100000000001</v>
      </c>
    </row>
    <row r="24" spans="1:50" ht="15" x14ac:dyDescent="0.25">
      <c r="A24" t="s">
        <v>64</v>
      </c>
      <c r="B24" s="1"/>
      <c r="C24" s="1"/>
      <c r="D24" s="1"/>
      <c r="E24" t="s">
        <v>70</v>
      </c>
      <c r="F24" s="1"/>
      <c r="G24" s="1"/>
      <c r="H24" s="1"/>
      <c r="I24" s="51">
        <v>20</v>
      </c>
      <c r="J24" s="41"/>
      <c r="K24" s="41" t="str">
        <f t="shared" si="26"/>
        <v/>
      </c>
      <c r="L24" s="42">
        <f t="shared" si="27"/>
        <v>25</v>
      </c>
      <c r="M24" s="41">
        <f t="shared" si="28"/>
        <v>2000000</v>
      </c>
      <c r="N24" s="43">
        <f t="shared" si="1"/>
        <v>500.98</v>
      </c>
      <c r="O24" s="44">
        <f t="shared" si="2"/>
        <v>598.06500000000005</v>
      </c>
      <c r="P24" s="41">
        <f t="shared" si="3"/>
        <v>1001960</v>
      </c>
      <c r="Q24" s="41">
        <f t="shared" si="4"/>
        <v>1196130</v>
      </c>
      <c r="R24" s="44"/>
      <c r="S24" s="44">
        <f>IF(I24&lt;&gt;"",_xlfn.XLOOKUP(D$4+I24,A$26:A$145,$C$26:$C$145,0) * 1000,"")</f>
        <v>79.469003538778679</v>
      </c>
      <c r="T24" s="52">
        <f t="shared" si="29"/>
        <v>0</v>
      </c>
      <c r="U24" s="53">
        <f t="shared" si="15"/>
        <v>0.56373532287464301</v>
      </c>
      <c r="V24" s="53">
        <f t="shared" si="16"/>
        <v>4.4799484368459548E-2</v>
      </c>
      <c r="W24" s="53">
        <f t="shared" si="17"/>
        <v>0</v>
      </c>
      <c r="X24" s="46">
        <f t="shared" si="5"/>
        <v>0.51893583850618341</v>
      </c>
      <c r="Y24" s="54"/>
      <c r="Z24" s="41">
        <f t="shared" si="18"/>
        <v>649765.84302789648</v>
      </c>
      <c r="AA24" s="41">
        <f t="shared" si="19"/>
        <v>11274.706457492861</v>
      </c>
      <c r="AB24" s="41">
        <f t="shared" si="6"/>
        <v>620714.72451240115</v>
      </c>
      <c r="AC24" s="41">
        <f t="shared" si="7"/>
        <v>10378.716770123669</v>
      </c>
      <c r="AD24" s="54"/>
      <c r="AE24" s="41">
        <f t="shared" si="8"/>
        <v>0</v>
      </c>
      <c r="AF24" s="41"/>
      <c r="AG24" s="41">
        <f t="shared" si="9"/>
        <v>-12.973395962654585</v>
      </c>
      <c r="AH24" s="41">
        <f t="shared" si="20"/>
        <v>-89598.968736919094</v>
      </c>
      <c r="AI24" s="41">
        <f t="shared" si="21"/>
        <v>0</v>
      </c>
      <c r="AJ24" s="41">
        <f t="shared" si="10"/>
        <v>-89611.942132881755</v>
      </c>
      <c r="AK24" s="41">
        <f t="shared" si="11"/>
        <v>29051.118515495327</v>
      </c>
      <c r="AL24" s="41">
        <f t="shared" si="22"/>
        <v>26441.621979415577</v>
      </c>
      <c r="AM24" s="41">
        <f t="shared" si="12"/>
        <v>-34119.201637970851</v>
      </c>
      <c r="AN24" s="41">
        <f t="shared" si="13"/>
        <v>895.98968736919232</v>
      </c>
      <c r="AO24" s="41">
        <f t="shared" si="14"/>
        <v>-33223.211950601661</v>
      </c>
      <c r="AP24" s="45"/>
      <c r="AQ24" s="45"/>
      <c r="AR24" s="48"/>
      <c r="AS24" s="48"/>
      <c r="AT24" s="51">
        <f t="shared" si="23"/>
        <v>20</v>
      </c>
      <c r="AU24" s="49">
        <f t="shared" si="24"/>
        <v>0.56373532287464301</v>
      </c>
      <c r="AV24" s="49">
        <f t="shared" si="25"/>
        <v>4.4799484368459548E-2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598.06500000000005</v>
      </c>
      <c r="AX24" s="50">
        <f>IF(ISERROR(ROUND(MAX(0,1000*NPV($AT$2,$AV25:$AV$124)-$AW$2*($AU25+NPV($AT$2,$AU26:$AU$124)))/AU25,3)), 0, ROUND(MAX(0,1000*NPV($AT$2,$AV25:$AV$124)-$AW$2*($AU25+NPV($AT$2,$AU26:$AU$124)))/AU25,3))</f>
        <v>500.98</v>
      </c>
    </row>
    <row r="25" spans="1:50" ht="15" x14ac:dyDescent="0.25">
      <c r="A25" t="s">
        <v>65</v>
      </c>
      <c r="B25" t="s">
        <v>77</v>
      </c>
      <c r="C25" t="s">
        <v>73</v>
      </c>
      <c r="D25" s="60">
        <v>35</v>
      </c>
      <c r="E25" s="5">
        <v>612167.65121308423</v>
      </c>
      <c r="F25" s="5">
        <v>26466.705906129035</v>
      </c>
      <c r="G25" s="5"/>
      <c r="H25" s="4"/>
      <c r="I25" s="51">
        <v>21</v>
      </c>
      <c r="J25" s="41"/>
      <c r="K25" s="41" t="str">
        <f t="shared" si="26"/>
        <v/>
      </c>
      <c r="L25" s="42">
        <f t="shared" si="27"/>
        <v>25</v>
      </c>
      <c r="M25" s="41">
        <f t="shared" si="28"/>
        <v>2000000</v>
      </c>
      <c r="N25" s="43">
        <f t="shared" si="1"/>
        <v>525.17200000000003</v>
      </c>
      <c r="O25" s="44">
        <f t="shared" si="2"/>
        <v>619.01099999999997</v>
      </c>
      <c r="P25" s="41">
        <f t="shared" si="3"/>
        <v>1050344</v>
      </c>
      <c r="Q25" s="41">
        <f t="shared" si="4"/>
        <v>1238022</v>
      </c>
      <c r="R25" s="44"/>
      <c r="S25" s="44">
        <f>IF(I25&lt;&gt;"",_xlfn.XLOOKUP(D$4+I25,A$26:A$145,$C$26:$C$145,0) * 1000,"")</f>
        <v>88.26316524417939</v>
      </c>
      <c r="T25" s="52">
        <f t="shared" si="29"/>
        <v>0</v>
      </c>
      <c r="U25" s="53">
        <f t="shared" si="15"/>
        <v>0.51893583850618341</v>
      </c>
      <c r="V25" s="53">
        <f t="shared" si="16"/>
        <v>4.5802919665198054E-2</v>
      </c>
      <c r="W25" s="53">
        <f t="shared" si="17"/>
        <v>0</v>
      </c>
      <c r="X25" s="46">
        <f t="shared" si="5"/>
        <v>0.47313291884098535</v>
      </c>
      <c r="Y25" s="54"/>
      <c r="Z25" s="41">
        <f t="shared" si="18"/>
        <v>620714.72451240115</v>
      </c>
      <c r="AA25" s="41">
        <f t="shared" si="19"/>
        <v>10378.716770123669</v>
      </c>
      <c r="AB25" s="41">
        <f t="shared" si="6"/>
        <v>585748.96244935435</v>
      </c>
      <c r="AC25" s="41">
        <f t="shared" si="7"/>
        <v>9462.658376819707</v>
      </c>
      <c r="AD25" s="54"/>
      <c r="AE25" s="41">
        <f t="shared" si="8"/>
        <v>0</v>
      </c>
      <c r="AF25" s="41"/>
      <c r="AG25" s="41">
        <f t="shared" si="9"/>
        <v>-11.828322971024633</v>
      </c>
      <c r="AH25" s="41">
        <f t="shared" si="20"/>
        <v>-91605.839330396106</v>
      </c>
      <c r="AI25" s="41">
        <f t="shared" si="21"/>
        <v>0</v>
      </c>
      <c r="AJ25" s="41">
        <f t="shared" si="10"/>
        <v>-91617.667653367127</v>
      </c>
      <c r="AK25" s="41">
        <f t="shared" si="11"/>
        <v>34965.762063046801</v>
      </c>
      <c r="AL25" s="41">
        <f t="shared" si="22"/>
        <v>25243.737651300995</v>
      </c>
      <c r="AM25" s="41">
        <f t="shared" si="12"/>
        <v>-31408.167939019331</v>
      </c>
      <c r="AN25" s="41">
        <f t="shared" si="13"/>
        <v>916.05839330396157</v>
      </c>
      <c r="AO25" s="41">
        <f t="shared" si="14"/>
        <v>-30492.109545715371</v>
      </c>
      <c r="AP25" s="45"/>
      <c r="AQ25" s="55"/>
      <c r="AR25" s="48"/>
      <c r="AS25" s="48"/>
      <c r="AT25" s="51">
        <f>AT24+1</f>
        <v>21</v>
      </c>
      <c r="AU25" s="49">
        <f t="shared" si="24"/>
        <v>0.51893583850618341</v>
      </c>
      <c r="AV25" s="49">
        <f t="shared" si="25"/>
        <v>4.5802919665198054E-2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619.01099999999997</v>
      </c>
      <c r="AX25" s="50">
        <f>IF(ISERROR(ROUND(MAX(0,1000*NPV($AT$2,$AV26:$AV$124)-$AW$2*($AU26+NPV($AT$2,$AU27:$AU$124)))/AU26,3)), 0, ROUND(MAX(0,1000*NPV($AT$2,$AV26:$AV$124)-$AW$2*($AU26+NPV($AT$2,$AU27:$AU$124)))/AU26,3))</f>
        <v>525.17200000000003</v>
      </c>
    </row>
    <row r="26" spans="1:50" ht="15" x14ac:dyDescent="0.25">
      <c r="A26">
        <v>1</v>
      </c>
      <c r="B26">
        <v>3.1367061860122498E-3</v>
      </c>
      <c r="C26">
        <f>B26*(1-$F$16)</f>
        <v>2.9485038148515147E-3</v>
      </c>
      <c r="D26" s="60">
        <v>36</v>
      </c>
      <c r="E26" s="5">
        <v>635173.46395170584</v>
      </c>
      <c r="F26" s="5">
        <v>27398.626954023377</v>
      </c>
      <c r="G26" s="8"/>
      <c r="H26" s="4"/>
      <c r="I26" s="51">
        <v>22</v>
      </c>
      <c r="J26" s="41"/>
      <c r="K26" s="41" t="str">
        <f t="shared" si="26"/>
        <v/>
      </c>
      <c r="L26" s="42">
        <f t="shared" si="27"/>
        <v>25</v>
      </c>
      <c r="M26" s="41">
        <f t="shared" si="28"/>
        <v>2000000</v>
      </c>
      <c r="N26" s="43">
        <f t="shared" si="1"/>
        <v>548.53300000000002</v>
      </c>
      <c r="O26" s="44">
        <f t="shared" si="2"/>
        <v>639.09500000000003</v>
      </c>
      <c r="P26" s="41">
        <f t="shared" si="3"/>
        <v>1097066</v>
      </c>
      <c r="Q26" s="41">
        <f t="shared" si="4"/>
        <v>1278190</v>
      </c>
      <c r="R26" s="44"/>
      <c r="S26" s="44">
        <f>IF(I26&lt;&gt;"",_xlfn.XLOOKUP(D$4+I26,A$26:A$145,$C$26:$C$145,0) * 1000,"")</f>
        <v>97.884384125273485</v>
      </c>
      <c r="T26" s="52">
        <f t="shared" si="29"/>
        <v>0</v>
      </c>
      <c r="U26" s="53">
        <f t="shared" si="15"/>
        <v>0.47313291884098535</v>
      </c>
      <c r="V26" s="53">
        <f t="shared" si="16"/>
        <v>4.6312324370142856E-2</v>
      </c>
      <c r="W26" s="53">
        <f t="shared" si="17"/>
        <v>0</v>
      </c>
      <c r="X26" s="46">
        <f t="shared" si="5"/>
        <v>0.42682059447084247</v>
      </c>
      <c r="Y26" s="54"/>
      <c r="Z26" s="41">
        <f t="shared" si="18"/>
        <v>585748.96244935435</v>
      </c>
      <c r="AA26" s="41">
        <f t="shared" si="19"/>
        <v>9462.658376819707</v>
      </c>
      <c r="AB26" s="41">
        <f t="shared" si="6"/>
        <v>545557.81564668613</v>
      </c>
      <c r="AC26" s="41">
        <f t="shared" si="7"/>
        <v>8536.4118894168496</v>
      </c>
      <c r="AD26" s="54"/>
      <c r="AE26" s="41">
        <f t="shared" si="8"/>
        <v>0</v>
      </c>
      <c r="AF26" s="41"/>
      <c r="AG26" s="41">
        <f t="shared" si="9"/>
        <v>-10.670514861771062</v>
      </c>
      <c r="AH26" s="41">
        <f t="shared" si="20"/>
        <v>-92624.648740285716</v>
      </c>
      <c r="AI26" s="41">
        <f t="shared" si="21"/>
        <v>0</v>
      </c>
      <c r="AJ26" s="41">
        <f t="shared" si="10"/>
        <v>-92635.319255147493</v>
      </c>
      <c r="AK26" s="41">
        <f t="shared" si="11"/>
        <v>40191.146802668227</v>
      </c>
      <c r="AL26" s="41">
        <f t="shared" si="22"/>
        <v>23808.464833046961</v>
      </c>
      <c r="AM26" s="41">
        <f t="shared" si="12"/>
        <v>-28635.707619432305</v>
      </c>
      <c r="AN26" s="41">
        <f t="shared" si="13"/>
        <v>926.24648740285738</v>
      </c>
      <c r="AO26" s="41">
        <f t="shared" si="14"/>
        <v>-27709.46113202945</v>
      </c>
      <c r="AP26" s="45"/>
      <c r="AQ26" s="55"/>
      <c r="AR26" s="48"/>
      <c r="AS26" s="48"/>
      <c r="AT26" s="51">
        <f t="shared" si="23"/>
        <v>22</v>
      </c>
      <c r="AU26" s="49">
        <f t="shared" si="24"/>
        <v>0.47313291884098535</v>
      </c>
      <c r="AV26" s="49">
        <f t="shared" si="25"/>
        <v>4.6312324370142856E-2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639.09500000000003</v>
      </c>
      <c r="AX26" s="50">
        <f>IF(ISERROR(ROUND(MAX(0,1000*NPV($AT$2,$AV27:$AV$124)-$AW$2*($AU27+NPV($AT$2,$AU28:$AU$124)))/AU27,3)), 0, ROUND(MAX(0,1000*NPV($AT$2,$AV27:$AV$124)-$AW$2*($AU27+NPV($AT$2,$AU28:$AU$124)))/AU27,3))</f>
        <v>548.53300000000002</v>
      </c>
    </row>
    <row r="27" spans="1:50" ht="15" x14ac:dyDescent="0.25">
      <c r="A27">
        <v>2</v>
      </c>
      <c r="B27">
        <v>2.9824445921844401E-4</v>
      </c>
      <c r="C27">
        <f t="shared" ref="C27:C90" si="30">B27*(1-$F$16)</f>
        <v>2.8034979166533734E-4</v>
      </c>
      <c r="D27" s="60">
        <v>37</v>
      </c>
      <c r="E27" s="5">
        <v>658898.71736913035</v>
      </c>
      <c r="F27" s="5">
        <v>28356.797682876524</v>
      </c>
      <c r="G27" s="8"/>
      <c r="H27" s="4"/>
      <c r="I27" s="51">
        <v>23</v>
      </c>
      <c r="J27" s="41"/>
      <c r="K27" s="41" t="str">
        <f t="shared" si="26"/>
        <v/>
      </c>
      <c r="L27" s="42">
        <f t="shared" si="27"/>
        <v>25</v>
      </c>
      <c r="M27" s="41">
        <f t="shared" si="28"/>
        <v>2000000</v>
      </c>
      <c r="N27" s="43">
        <f t="shared" si="1"/>
        <v>571.029</v>
      </c>
      <c r="O27" s="44">
        <f t="shared" si="2"/>
        <v>658.30100000000004</v>
      </c>
      <c r="P27" s="41">
        <f t="shared" si="3"/>
        <v>1142058</v>
      </c>
      <c r="Q27" s="41">
        <f t="shared" si="4"/>
        <v>1316602</v>
      </c>
      <c r="R27" s="44"/>
      <c r="S27" s="44">
        <f>IF(I27&lt;&gt;"",_xlfn.XLOOKUP(D$4+I27,A$26:A$145,$C$26:$C$145,0) * 1000,"")</f>
        <v>108.30466284170993</v>
      </c>
      <c r="T27" s="52">
        <f t="shared" si="29"/>
        <v>0</v>
      </c>
      <c r="U27" s="53">
        <f t="shared" si="15"/>
        <v>0.42682059447084247</v>
      </c>
      <c r="V27" s="53">
        <f t="shared" si="16"/>
        <v>4.6226660578062788E-2</v>
      </c>
      <c r="W27" s="53">
        <f t="shared" si="17"/>
        <v>0</v>
      </c>
      <c r="X27" s="46">
        <f t="shared" si="5"/>
        <v>0.38059393389277968</v>
      </c>
      <c r="Y27" s="54"/>
      <c r="Z27" s="41">
        <f t="shared" si="18"/>
        <v>545557.81564668613</v>
      </c>
      <c r="AA27" s="41">
        <f t="shared" si="19"/>
        <v>8536.4118894168496</v>
      </c>
      <c r="AB27" s="41">
        <f t="shared" si="6"/>
        <v>501090.73455110152</v>
      </c>
      <c r="AC27" s="41">
        <f t="shared" si="7"/>
        <v>7611.8786778555932</v>
      </c>
      <c r="AD27" s="54"/>
      <c r="AE27" s="41">
        <f t="shared" si="8"/>
        <v>0</v>
      </c>
      <c r="AF27" s="41"/>
      <c r="AG27" s="41">
        <f t="shared" si="9"/>
        <v>-9.5148483473194911</v>
      </c>
      <c r="AH27" s="41">
        <f t="shared" si="20"/>
        <v>-92453.321156125574</v>
      </c>
      <c r="AI27" s="41">
        <f t="shared" si="21"/>
        <v>0</v>
      </c>
      <c r="AJ27" s="41">
        <f t="shared" si="10"/>
        <v>-92462.836004472891</v>
      </c>
      <c r="AK27" s="41">
        <f t="shared" si="11"/>
        <v>44467.08109558461</v>
      </c>
      <c r="AL27" s="41">
        <f t="shared" si="22"/>
        <v>22163.769101444119</v>
      </c>
      <c r="AM27" s="41">
        <f t="shared" si="12"/>
        <v>-25831.985807444162</v>
      </c>
      <c r="AN27" s="41">
        <f t="shared" si="13"/>
        <v>924.53321156125639</v>
      </c>
      <c r="AO27" s="41">
        <f t="shared" si="14"/>
        <v>-24907.452595882904</v>
      </c>
      <c r="AP27" s="45"/>
      <c r="AQ27" s="55"/>
      <c r="AR27" s="48"/>
      <c r="AS27" s="48"/>
      <c r="AT27" s="51">
        <f t="shared" si="23"/>
        <v>23</v>
      </c>
      <c r="AU27" s="49">
        <f t="shared" si="24"/>
        <v>0.42682059447084247</v>
      </c>
      <c r="AV27" s="49">
        <f t="shared" si="25"/>
        <v>4.6226660578062788E-2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658.30100000000004</v>
      </c>
      <c r="AX27" s="50">
        <f>IF(ISERROR(ROUND(MAX(0,1000*NPV($AT$2,$AV28:$AV$124)-$AW$2*($AU28+NPV($AT$2,$AU29:$AU$124)))/AU28,3)), 0, ROUND(MAX(0,1000*NPV($AT$2,$AV28:$AV$124)-$AW$2*($AU28+NPV($AT$2,$AU29:$AU$124)))/AU28,3))</f>
        <v>571.029</v>
      </c>
    </row>
    <row r="28" spans="1:50" ht="15" x14ac:dyDescent="0.25">
      <c r="A28">
        <v>3</v>
      </c>
      <c r="B28">
        <v>2.1241570973284899E-4</v>
      </c>
      <c r="C28">
        <f t="shared" si="30"/>
        <v>1.9967076714887805E-4</v>
      </c>
      <c r="D28" s="60">
        <v>38</v>
      </c>
      <c r="E28" s="5">
        <v>683348.74699113041</v>
      </c>
      <c r="F28" s="5">
        <v>29340.763988731895</v>
      </c>
      <c r="G28" s="8"/>
      <c r="H28" s="4"/>
      <c r="I28" s="51">
        <v>24</v>
      </c>
      <c r="J28" s="41"/>
      <c r="K28" s="41" t="str">
        <f t="shared" si="26"/>
        <v/>
      </c>
      <c r="L28" s="42">
        <f t="shared" si="27"/>
        <v>25</v>
      </c>
      <c r="M28" s="41">
        <f t="shared" si="28"/>
        <v>2000000</v>
      </c>
      <c r="N28" s="43">
        <f t="shared" si="1"/>
        <v>592.50900000000001</v>
      </c>
      <c r="O28" s="44">
        <f t="shared" si="2"/>
        <v>676.52499999999998</v>
      </c>
      <c r="P28" s="41">
        <f t="shared" si="3"/>
        <v>1185018</v>
      </c>
      <c r="Q28" s="41">
        <f t="shared" si="4"/>
        <v>1353050</v>
      </c>
      <c r="R28" s="44"/>
      <c r="S28" s="44">
        <f>IF(I28&lt;&gt;"",_xlfn.XLOOKUP(D$4+I28,A$26:A$145,$C$26:$C$145,0) * 1000,"")</f>
        <v>119.81874081395625</v>
      </c>
      <c r="T28" s="52">
        <f t="shared" si="29"/>
        <v>0</v>
      </c>
      <c r="U28" s="53">
        <f t="shared" si="15"/>
        <v>0.38059393389277968</v>
      </c>
      <c r="V28" s="53">
        <f t="shared" si="16"/>
        <v>4.5602285920462969E-2</v>
      </c>
      <c r="W28" s="53">
        <f t="shared" si="17"/>
        <v>0</v>
      </c>
      <c r="X28" s="46">
        <f t="shared" si="5"/>
        <v>0.33499164797231673</v>
      </c>
      <c r="Y28" s="54"/>
      <c r="Z28" s="41">
        <f t="shared" si="18"/>
        <v>501090.73455110152</v>
      </c>
      <c r="AA28" s="41">
        <f t="shared" si="19"/>
        <v>7611.8786778555932</v>
      </c>
      <c r="AB28" s="41">
        <f t="shared" si="6"/>
        <v>453260.44928894314</v>
      </c>
      <c r="AC28" s="41">
        <f t="shared" si="7"/>
        <v>6699.8329594463348</v>
      </c>
      <c r="AD28" s="54"/>
      <c r="AE28" s="41">
        <f t="shared" si="8"/>
        <v>0</v>
      </c>
      <c r="AF28" s="41"/>
      <c r="AG28" s="41">
        <f t="shared" si="9"/>
        <v>-8.3747911993079178</v>
      </c>
      <c r="AH28" s="41">
        <f t="shared" si="20"/>
        <v>-91204.571840925943</v>
      </c>
      <c r="AI28" s="41">
        <f t="shared" si="21"/>
        <v>0</v>
      </c>
      <c r="AJ28" s="41">
        <f t="shared" si="10"/>
        <v>-91212.946632125255</v>
      </c>
      <c r="AK28" s="41">
        <f t="shared" si="11"/>
        <v>47830.285262158373</v>
      </c>
      <c r="AL28" s="41">
        <f t="shared" si="22"/>
        <v>20348.104529158285</v>
      </c>
      <c r="AM28" s="41">
        <f t="shared" si="12"/>
        <v>-23034.556840808596</v>
      </c>
      <c r="AN28" s="41">
        <f t="shared" si="13"/>
        <v>912.04571840925837</v>
      </c>
      <c r="AO28" s="41">
        <f t="shared" si="14"/>
        <v>-22122.511122399337</v>
      </c>
      <c r="AP28" s="45"/>
      <c r="AQ28" s="55"/>
      <c r="AR28" s="48"/>
      <c r="AS28" s="48"/>
      <c r="AT28" s="51">
        <f t="shared" si="23"/>
        <v>24</v>
      </c>
      <c r="AU28" s="49">
        <f t="shared" si="24"/>
        <v>0.38059393389277968</v>
      </c>
      <c r="AV28" s="49">
        <f t="shared" si="25"/>
        <v>4.5602285920462969E-2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676.52499999999998</v>
      </c>
      <c r="AX28" s="50">
        <f>IF(ISERROR(ROUND(MAX(0,1000*NPV($AT$2,$AV29:$AV$124)-$AW$2*($AU29+NPV($AT$2,$AU30:$AU$124)))/AU29,3)), 0, ROUND(MAX(0,1000*NPV($AT$2,$AV29:$AV$124)-$AW$2*($AU29+NPV($AT$2,$AU30:$AU$124)))/AU29,3))</f>
        <v>592.50900000000001</v>
      </c>
    </row>
    <row r="29" spans="1:50" ht="15" x14ac:dyDescent="0.25">
      <c r="A29">
        <v>4</v>
      </c>
      <c r="B29">
        <v>1.59544514433896E-4</v>
      </c>
      <c r="C29">
        <f t="shared" si="30"/>
        <v>1.4997184356786223E-4</v>
      </c>
      <c r="D29" s="60">
        <v>39</v>
      </c>
      <c r="E29" s="5">
        <v>708549.38265581382</v>
      </c>
      <c r="F29" s="5">
        <v>30351.418309922854</v>
      </c>
      <c r="G29" s="8"/>
      <c r="H29" s="4"/>
      <c r="I29" s="51">
        <v>25</v>
      </c>
      <c r="J29" s="41"/>
      <c r="K29" s="41" t="str">
        <f t="shared" si="26"/>
        <v/>
      </c>
      <c r="L29" s="42">
        <f t="shared" si="27"/>
        <v>25</v>
      </c>
      <c r="M29" s="41">
        <f t="shared" si="28"/>
        <v>2000000</v>
      </c>
      <c r="N29" s="43">
        <f t="shared" si="1"/>
        <v>612.75699999999995</v>
      </c>
      <c r="O29" s="44">
        <f t="shared" si="2"/>
        <v>693.61199999999997</v>
      </c>
      <c r="P29" s="41">
        <f t="shared" si="3"/>
        <v>1225514</v>
      </c>
      <c r="Q29" s="41">
        <f t="shared" si="4"/>
        <v>1387224</v>
      </c>
      <c r="R29" s="44"/>
      <c r="S29" s="44">
        <f>IF(I29&lt;&gt;"",_xlfn.XLOOKUP(D$4+I29,A$26:A$145,$C$26:$C$145,0) * 1000,"")</f>
        <v>132.59161671932102</v>
      </c>
      <c r="T29" s="52">
        <f t="shared" si="29"/>
        <v>0</v>
      </c>
      <c r="U29" s="53">
        <f t="shared" si="15"/>
        <v>0.33499164797231673</v>
      </c>
      <c r="V29" s="53">
        <f t="shared" si="16"/>
        <v>4.4417084192119136E-2</v>
      </c>
      <c r="W29" s="53">
        <f t="shared" si="17"/>
        <v>0</v>
      </c>
      <c r="X29" s="46">
        <f t="shared" si="5"/>
        <v>0.29057456378019758</v>
      </c>
      <c r="Y29" s="54"/>
      <c r="Z29" s="41">
        <f t="shared" si="18"/>
        <v>453260.44928894314</v>
      </c>
      <c r="AA29" s="41">
        <f t="shared" si="19"/>
        <v>6699.8329594463348</v>
      </c>
      <c r="AB29" s="41">
        <f t="shared" si="6"/>
        <v>403092.00866542081</v>
      </c>
      <c r="AC29" s="41">
        <f t="shared" si="7"/>
        <v>5811.4912756039512</v>
      </c>
      <c r="AD29" s="54"/>
      <c r="AE29" s="41">
        <f t="shared" si="8"/>
        <v>0</v>
      </c>
      <c r="AF29" s="41"/>
      <c r="AG29" s="41">
        <f t="shared" si="9"/>
        <v>-7.2643640945049395</v>
      </c>
      <c r="AH29" s="41">
        <f t="shared" si="20"/>
        <v>-88834.168384238277</v>
      </c>
      <c r="AI29" s="41">
        <f t="shared" si="21"/>
        <v>0</v>
      </c>
      <c r="AJ29" s="41">
        <f t="shared" si="10"/>
        <v>-88841.43274833278</v>
      </c>
      <c r="AK29" s="41">
        <f t="shared" si="11"/>
        <v>50168.440623522329</v>
      </c>
      <c r="AL29" s="41">
        <f t="shared" si="22"/>
        <v>18398.411289935579</v>
      </c>
      <c r="AM29" s="41">
        <f t="shared" si="12"/>
        <v>-20274.580834874872</v>
      </c>
      <c r="AN29" s="41">
        <f t="shared" si="13"/>
        <v>888.34168384238365</v>
      </c>
      <c r="AO29" s="41">
        <f t="shared" si="14"/>
        <v>-19386.239151032489</v>
      </c>
      <c r="AP29" s="45"/>
      <c r="AQ29" s="55"/>
      <c r="AR29" s="48"/>
      <c r="AS29" s="48"/>
      <c r="AT29" s="51">
        <f t="shared" si="23"/>
        <v>25</v>
      </c>
      <c r="AU29" s="49">
        <f t="shared" si="24"/>
        <v>0.33499164797231673</v>
      </c>
      <c r="AV29" s="49">
        <f t="shared" si="25"/>
        <v>4.4417084192119136E-2</v>
      </c>
      <c r="AW29" s="50">
        <f xml:space="preserve"> IF(ISERROR(ROUND((1000*NPV($AT$1,$AV30:$AV$124)-$AW$1*($AU30+NPV($AT$1,$AU31:$AU$124)))/AU30,3)), 0, ROUND((1000*NPV($AT$1,$AV30:$AV$124)-$AW$1*($AU30+NPV($AT$1,$AU31:$AU$124)))/AU30,3))</f>
        <v>693.61199999999997</v>
      </c>
      <c r="AX29" s="50">
        <f>IF(ISERROR(ROUND(MAX(0,1000*NPV($AT$2,$AV30:$AV$124)-$AW$2*($AU30+NPV($AT$2,$AU31:$AU$124)))/AU30,3)), 0, ROUND(MAX(0,1000*NPV($AT$2,$AV30:$AV$124)-$AW$2*($AU30+NPV($AT$2,$AU31:$AU$124)))/AU30,3))</f>
        <v>612.75699999999995</v>
      </c>
    </row>
    <row r="30" spans="1:50" ht="15" x14ac:dyDescent="0.25">
      <c r="A30">
        <v>5</v>
      </c>
      <c r="B30">
        <v>1.3940797345623999E-4</v>
      </c>
      <c r="C30">
        <f t="shared" si="30"/>
        <v>1.3104349504886557E-4</v>
      </c>
      <c r="D30" s="60">
        <v>40</v>
      </c>
      <c r="E30" s="5">
        <v>734524.90327313682</v>
      </c>
      <c r="F30" s="5">
        <v>31389.616489414708</v>
      </c>
      <c r="G30" s="8"/>
      <c r="H30" s="4"/>
      <c r="I30" s="51">
        <v>26</v>
      </c>
      <c r="J30" s="41"/>
      <c r="K30" s="41" t="str">
        <f t="shared" si="26"/>
        <v/>
      </c>
      <c r="L30" s="42">
        <f t="shared" si="27"/>
        <v>25</v>
      </c>
      <c r="M30" s="41">
        <f t="shared" si="28"/>
        <v>2000000</v>
      </c>
      <c r="N30" s="43">
        <f t="shared" si="1"/>
        <v>632.10199999999998</v>
      </c>
      <c r="O30" s="44">
        <f t="shared" si="2"/>
        <v>709.84</v>
      </c>
      <c r="P30" s="41">
        <f t="shared" si="3"/>
        <v>1264204</v>
      </c>
      <c r="Q30" s="41">
        <f t="shared" si="4"/>
        <v>1419680</v>
      </c>
      <c r="R30" s="44"/>
      <c r="S30" s="44">
        <f>IF(I30&lt;&gt;"",_xlfn.XLOOKUP(D$4+I30,A$26:A$145,$C$26:$C$145,0) * 1000,"")</f>
        <v>145.32086323391385</v>
      </c>
      <c r="T30" s="52">
        <f t="shared" si="29"/>
        <v>0</v>
      </c>
      <c r="U30" s="53">
        <f t="shared" si="15"/>
        <v>0.29057456378019758</v>
      </c>
      <c r="V30" s="53">
        <f t="shared" si="16"/>
        <v>4.2226546442356273E-2</v>
      </c>
      <c r="W30" s="53">
        <f t="shared" si="17"/>
        <v>0</v>
      </c>
      <c r="X30" s="46">
        <f t="shared" si="5"/>
        <v>0.24834801733784131</v>
      </c>
      <c r="Y30" s="54"/>
      <c r="Z30" s="41">
        <f t="shared" si="18"/>
        <v>403092.00866542081</v>
      </c>
      <c r="AA30" s="41">
        <f t="shared" si="19"/>
        <v>5811.4912756039512</v>
      </c>
      <c r="AB30" s="41">
        <f t="shared" si="6"/>
        <v>352574.71325418656</v>
      </c>
      <c r="AC30" s="41">
        <f t="shared" si="7"/>
        <v>4966.9603467568259</v>
      </c>
      <c r="AD30" s="54"/>
      <c r="AE30" s="41">
        <f t="shared" si="8"/>
        <v>0</v>
      </c>
      <c r="AF30" s="41"/>
      <c r="AG30" s="41">
        <f t="shared" si="9"/>
        <v>-6.2087004334460332</v>
      </c>
      <c r="AH30" s="41">
        <f t="shared" si="20"/>
        <v>-84453.092884712547</v>
      </c>
      <c r="AI30" s="41">
        <f t="shared" si="21"/>
        <v>0</v>
      </c>
      <c r="AJ30" s="41">
        <f t="shared" si="10"/>
        <v>-84459.301585145993</v>
      </c>
      <c r="AK30" s="41">
        <f t="shared" si="11"/>
        <v>50517.295411234256</v>
      </c>
      <c r="AL30" s="41">
        <f t="shared" si="22"/>
        <v>16356.13999764099</v>
      </c>
      <c r="AM30" s="41">
        <f t="shared" si="12"/>
        <v>-17585.866176270749</v>
      </c>
      <c r="AN30" s="41">
        <f t="shared" si="13"/>
        <v>844.53092884712532</v>
      </c>
      <c r="AO30" s="41">
        <f t="shared" si="14"/>
        <v>-16741.335247423624</v>
      </c>
      <c r="AP30" s="45"/>
      <c r="AQ30" s="55"/>
      <c r="AR30" s="48"/>
      <c r="AS30" s="48"/>
      <c r="AT30" s="51">
        <f t="shared" si="23"/>
        <v>26</v>
      </c>
      <c r="AU30" s="49">
        <f t="shared" si="24"/>
        <v>0.29057456378019758</v>
      </c>
      <c r="AV30" s="49">
        <f t="shared" si="25"/>
        <v>4.2226546442356273E-2</v>
      </c>
      <c r="AW30" s="50">
        <f xml:space="preserve"> IF(ISERROR(ROUND((1000*NPV($AT$1,$AV31:$AV$124)-$AW$1*($AU31+NPV($AT$1,$AU32:$AU$124)))/AU31,3)), 0, ROUND((1000*NPV($AT$1,$AV31:$AV$124)-$AW$1*($AU31+NPV($AT$1,$AU32:$AU$124)))/AU31,3))</f>
        <v>709.84</v>
      </c>
      <c r="AX30" s="50">
        <f>IF(ISERROR(ROUND(MAX(0,1000*NPV($AT$2,$AV31:$AV$124)-$AW$2*($AU31+NPV($AT$2,$AU32:$AU$124)))/AU31,3)), 0, ROUND(MAX(0,1000*NPV($AT$2,$AV31:$AV$124)-$AW$2*($AU31+NPV($AT$2,$AU32:$AU$124)))/AU31,3))</f>
        <v>632.10199999999998</v>
      </c>
    </row>
    <row r="31" spans="1:50" ht="15" x14ac:dyDescent="0.25">
      <c r="A31">
        <v>6</v>
      </c>
      <c r="B31">
        <v>1.3036603463068E-4</v>
      </c>
      <c r="C31">
        <f t="shared" si="30"/>
        <v>1.2254407255283918E-4</v>
      </c>
      <c r="D31" s="60">
        <v>41</v>
      </c>
      <c r="E31" s="5">
        <v>761278.19861308823</v>
      </c>
      <c r="F31" s="5">
        <v>32454.735769915394</v>
      </c>
      <c r="G31" s="8"/>
      <c r="H31" s="4"/>
      <c r="I31" s="51">
        <v>27</v>
      </c>
      <c r="J31" s="41"/>
      <c r="K31" s="41" t="str">
        <f t="shared" si="26"/>
        <v/>
      </c>
      <c r="L31" s="42">
        <f t="shared" si="27"/>
        <v>25</v>
      </c>
      <c r="M31" s="41">
        <f t="shared" si="28"/>
        <v>2000000</v>
      </c>
      <c r="N31" s="43">
        <f t="shared" si="1"/>
        <v>650.452</v>
      </c>
      <c r="O31" s="44">
        <f t="shared" si="2"/>
        <v>725.15</v>
      </c>
      <c r="P31" s="41">
        <f t="shared" si="3"/>
        <v>1300904</v>
      </c>
      <c r="Q31" s="41">
        <f t="shared" si="4"/>
        <v>1450300</v>
      </c>
      <c r="R31" s="44"/>
      <c r="S31" s="44">
        <f>IF(I31&lt;&gt;"",_xlfn.XLOOKUP(D$4+I31,A$26:A$145,$C$26:$C$145,0) * 1000,"")</f>
        <v>159.1170581725776</v>
      </c>
      <c r="T31" s="52">
        <f t="shared" si="29"/>
        <v>0</v>
      </c>
      <c r="U31" s="53">
        <f t="shared" si="15"/>
        <v>0.24834801733784131</v>
      </c>
      <c r="V31" s="53">
        <f t="shared" si="16"/>
        <v>3.9516405921789607E-2</v>
      </c>
      <c r="W31" s="53">
        <f t="shared" si="17"/>
        <v>0</v>
      </c>
      <c r="X31" s="46">
        <f t="shared" si="5"/>
        <v>0.20883161141605172</v>
      </c>
      <c r="Y31" s="54"/>
      <c r="Z31" s="41">
        <f t="shared" si="18"/>
        <v>352574.71325418656</v>
      </c>
      <c r="AA31" s="41">
        <f t="shared" si="19"/>
        <v>4966.9603467568259</v>
      </c>
      <c r="AB31" s="41">
        <f t="shared" si="6"/>
        <v>302868.48603669979</v>
      </c>
      <c r="AC31" s="41">
        <f t="shared" si="7"/>
        <v>4176.6322283210347</v>
      </c>
      <c r="AD31" s="54"/>
      <c r="AE31" s="41">
        <f t="shared" si="8"/>
        <v>0</v>
      </c>
      <c r="AF31" s="41"/>
      <c r="AG31" s="41">
        <f t="shared" si="9"/>
        <v>-5.2207902854012929</v>
      </c>
      <c r="AH31" s="41">
        <f t="shared" si="20"/>
        <v>-79032.811843579213</v>
      </c>
      <c r="AI31" s="41">
        <f t="shared" si="21"/>
        <v>0</v>
      </c>
      <c r="AJ31" s="41">
        <f t="shared" si="10"/>
        <v>-79038.032633864612</v>
      </c>
      <c r="AK31" s="41">
        <f t="shared" si="11"/>
        <v>49706.227217486768</v>
      </c>
      <c r="AL31" s="41">
        <f t="shared" si="22"/>
        <v>14301.666944037737</v>
      </c>
      <c r="AM31" s="41">
        <f t="shared" si="12"/>
        <v>-15030.138472340106</v>
      </c>
      <c r="AN31" s="41">
        <f t="shared" si="13"/>
        <v>790.32811843579111</v>
      </c>
      <c r="AO31" s="41">
        <f t="shared" si="14"/>
        <v>-14239.810353904315</v>
      </c>
      <c r="AP31" s="45"/>
      <c r="AQ31" s="55"/>
      <c r="AR31" s="48"/>
      <c r="AS31" s="48"/>
      <c r="AT31" s="51">
        <f t="shared" si="23"/>
        <v>27</v>
      </c>
      <c r="AU31" s="49">
        <f t="shared" si="24"/>
        <v>0.24834801733784131</v>
      </c>
      <c r="AV31" s="49">
        <f t="shared" si="25"/>
        <v>3.9516405921789607E-2</v>
      </c>
      <c r="AW31" s="50">
        <f xml:space="preserve"> IF(ISERROR(ROUND((1000*NPV($AT$1,$AV32:$AV$124)-$AW$1*($AU32+NPV($AT$1,$AU33:$AU$124)))/AU32,3)), 0, ROUND((1000*NPV($AT$1,$AV32:$AV$124)-$AW$1*($AU32+NPV($AT$1,$AU33:$AU$124)))/AU32,3))</f>
        <v>725.15</v>
      </c>
      <c r="AX31" s="50">
        <f>IF(ISERROR(ROUND(MAX(0,1000*NPV($AT$2,$AV32:$AV$124)-$AW$2*($AU32+NPV($AT$2,$AU33:$AU$124)))/AU32,3)), 0, ROUND(MAX(0,1000*NPV($AT$2,$AV32:$AV$124)-$AW$2*($AU32+NPV($AT$2,$AU33:$AU$124)))/AU32,3))</f>
        <v>650.452</v>
      </c>
    </row>
    <row r="32" spans="1:50" ht="15" x14ac:dyDescent="0.25">
      <c r="A32">
        <v>7</v>
      </c>
      <c r="B32">
        <v>1.2214515503805601E-4</v>
      </c>
      <c r="C32">
        <f t="shared" si="30"/>
        <v>1.1481644573577264E-4</v>
      </c>
      <c r="D32" s="60">
        <v>42</v>
      </c>
      <c r="E32" s="5">
        <v>788844.71872421389</v>
      </c>
      <c r="F32" s="5">
        <v>33548.295619130367</v>
      </c>
      <c r="G32" s="8"/>
      <c r="H32" s="4"/>
      <c r="I32" s="51">
        <v>28</v>
      </c>
      <c r="J32" s="41"/>
      <c r="K32" s="41" t="str">
        <f t="shared" si="26"/>
        <v/>
      </c>
      <c r="L32" s="42">
        <f t="shared" si="27"/>
        <v>25</v>
      </c>
      <c r="M32" s="41">
        <f t="shared" si="28"/>
        <v>2000000</v>
      </c>
      <c r="N32" s="43">
        <f t="shared" si="1"/>
        <v>667.85199999999998</v>
      </c>
      <c r="O32" s="44">
        <f t="shared" si="2"/>
        <v>739.59199999999998</v>
      </c>
      <c r="P32" s="41">
        <f t="shared" si="3"/>
        <v>1335704</v>
      </c>
      <c r="Q32" s="41">
        <f t="shared" si="4"/>
        <v>1479184</v>
      </c>
      <c r="R32" s="44"/>
      <c r="S32" s="44">
        <f>IF(I32&lt;&gt;"",_xlfn.XLOOKUP(D$4+I32,A$26:A$145,$C$26:$C$145,0) * 1000,"")</f>
        <v>173.62946194590648</v>
      </c>
      <c r="T32" s="52">
        <f t="shared" si="29"/>
        <v>0</v>
      </c>
      <c r="U32" s="53">
        <f t="shared" si="15"/>
        <v>0.20883161141605172</v>
      </c>
      <c r="V32" s="53">
        <f t="shared" si="16"/>
        <v>3.6259320327465677E-2</v>
      </c>
      <c r="W32" s="53">
        <f t="shared" si="17"/>
        <v>0</v>
      </c>
      <c r="X32" s="46">
        <f t="shared" si="5"/>
        <v>0.17257229108858604</v>
      </c>
      <c r="Y32" s="54"/>
      <c r="Z32" s="41">
        <f t="shared" si="18"/>
        <v>302868.48603669979</v>
      </c>
      <c r="AA32" s="41">
        <f t="shared" si="19"/>
        <v>4176.6322283210347</v>
      </c>
      <c r="AB32" s="41">
        <f t="shared" si="6"/>
        <v>255266.17182157905</v>
      </c>
      <c r="AC32" s="41">
        <f t="shared" si="7"/>
        <v>3451.4458217717211</v>
      </c>
      <c r="AD32" s="54"/>
      <c r="AE32" s="41">
        <f t="shared" si="8"/>
        <v>0</v>
      </c>
      <c r="AF32" s="41"/>
      <c r="AG32" s="41">
        <f t="shared" si="9"/>
        <v>-4.3143072772146507</v>
      </c>
      <c r="AH32" s="41">
        <f t="shared" si="20"/>
        <v>-72518.640654931354</v>
      </c>
      <c r="AI32" s="41">
        <f t="shared" si="21"/>
        <v>0</v>
      </c>
      <c r="AJ32" s="41">
        <f t="shared" si="10"/>
        <v>-72522.954962208576</v>
      </c>
      <c r="AK32" s="41">
        <f t="shared" si="11"/>
        <v>47602.314215120743</v>
      </c>
      <c r="AL32" s="41">
        <f t="shared" si="22"/>
        <v>12281.804730600834</v>
      </c>
      <c r="AM32" s="41">
        <f t="shared" si="12"/>
        <v>-12638.836016486999</v>
      </c>
      <c r="AN32" s="41">
        <f t="shared" si="13"/>
        <v>725.18640654931369</v>
      </c>
      <c r="AO32" s="41">
        <f t="shared" si="14"/>
        <v>-11913.649609937685</v>
      </c>
      <c r="AP32" s="45"/>
      <c r="AQ32" s="55"/>
      <c r="AR32" s="48"/>
      <c r="AS32" s="48"/>
      <c r="AT32" s="51">
        <f t="shared" si="23"/>
        <v>28</v>
      </c>
      <c r="AU32" s="49">
        <f t="shared" si="24"/>
        <v>0.20883161141605172</v>
      </c>
      <c r="AV32" s="49">
        <f t="shared" si="25"/>
        <v>3.6259320327465677E-2</v>
      </c>
      <c r="AW32" s="50">
        <f xml:space="preserve"> IF(ISERROR(ROUND((1000*NPV($AT$1,$AV33:$AV$124)-$AW$1*($AU33+NPV($AT$1,$AU34:$AU$124)))/AU33,3)), 0, ROUND((1000*NPV($AT$1,$AV33:$AV$124)-$AW$1*($AU33+NPV($AT$1,$AU34:$AU$124)))/AU33,3))</f>
        <v>739.59199999999998</v>
      </c>
      <c r="AX32" s="50">
        <f>IF(ISERROR(ROUND(MAX(0,1000*NPV($AT$2,$AV33:$AV$124)-$AW$2*($AU33+NPV($AT$2,$AU34:$AU$124)))/AU33,3)), 0, ROUND(MAX(0,1000*NPV($AT$2,$AV33:$AV$124)-$AW$2*($AU33+NPV($AT$2,$AU34:$AU$124)))/AU33,3))</f>
        <v>667.85199999999998</v>
      </c>
    </row>
    <row r="33" spans="1:50" ht="15" x14ac:dyDescent="0.25">
      <c r="A33">
        <v>8</v>
      </c>
      <c r="B33">
        <v>1.1371352429201401E-4</v>
      </c>
      <c r="C33">
        <f t="shared" si="30"/>
        <v>1.0689071283449316E-4</v>
      </c>
      <c r="D33" s="60">
        <v>43</v>
      </c>
      <c r="E33" s="5">
        <v>817231.30908681417</v>
      </c>
      <c r="F33" s="5">
        <v>34669.893086688826</v>
      </c>
      <c r="G33" s="8"/>
      <c r="H33" s="4"/>
      <c r="I33" s="51">
        <v>29</v>
      </c>
      <c r="J33" s="41"/>
      <c r="K33" s="41" t="str">
        <f t="shared" si="26"/>
        <v/>
      </c>
      <c r="L33" s="42">
        <f t="shared" si="27"/>
        <v>25</v>
      </c>
      <c r="M33" s="41">
        <f t="shared" si="28"/>
        <v>2000000</v>
      </c>
      <c r="N33" s="43">
        <f t="shared" si="1"/>
        <v>684.42</v>
      </c>
      <c r="O33" s="44">
        <f t="shared" si="2"/>
        <v>753.27200000000005</v>
      </c>
      <c r="P33" s="41">
        <f t="shared" si="3"/>
        <v>1368840</v>
      </c>
      <c r="Q33" s="41">
        <f t="shared" si="4"/>
        <v>1506544</v>
      </c>
      <c r="R33" s="44"/>
      <c r="S33" s="44">
        <f>IF(I33&lt;&gt;"",_xlfn.XLOOKUP(D$4+I33,A$26:A$145,$C$26:$C$145,0) * 1000,"")</f>
        <v>188.68559347837902</v>
      </c>
      <c r="T33" s="52">
        <f t="shared" si="29"/>
        <v>0</v>
      </c>
      <c r="U33" s="53">
        <f t="shared" si="15"/>
        <v>0.17257229108858604</v>
      </c>
      <c r="V33" s="53">
        <f t="shared" si="16"/>
        <v>3.2561905161973437E-2</v>
      </c>
      <c r="W33" s="53">
        <f t="shared" si="17"/>
        <v>0</v>
      </c>
      <c r="X33" s="46">
        <f t="shared" si="5"/>
        <v>0.14001038592661261</v>
      </c>
      <c r="Y33" s="54"/>
      <c r="Z33" s="41">
        <f t="shared" si="18"/>
        <v>255266.17182157905</v>
      </c>
      <c r="AA33" s="41">
        <f t="shared" si="19"/>
        <v>3451.4458217717211</v>
      </c>
      <c r="AB33" s="41">
        <f t="shared" si="6"/>
        <v>210931.80685542268</v>
      </c>
      <c r="AC33" s="41">
        <f t="shared" si="7"/>
        <v>2800.2077185322523</v>
      </c>
      <c r="AD33" s="54"/>
      <c r="AE33" s="41">
        <f t="shared" si="8"/>
        <v>0</v>
      </c>
      <c r="AF33" s="41"/>
      <c r="AG33" s="41">
        <f t="shared" si="9"/>
        <v>-3.500259648165315</v>
      </c>
      <c r="AH33" s="41">
        <f t="shared" si="20"/>
        <v>-65123.810323946876</v>
      </c>
      <c r="AI33" s="41">
        <f t="shared" si="21"/>
        <v>0</v>
      </c>
      <c r="AJ33" s="41">
        <f t="shared" si="10"/>
        <v>-65127.310583595041</v>
      </c>
      <c r="AK33" s="41">
        <f t="shared" si="11"/>
        <v>44334.364966156369</v>
      </c>
      <c r="AL33" s="41">
        <f t="shared" si="22"/>
        <v>10348.704705734031</v>
      </c>
      <c r="AM33" s="41">
        <f t="shared" si="12"/>
        <v>-10444.240911704641</v>
      </c>
      <c r="AN33" s="41">
        <f t="shared" si="13"/>
        <v>651.23810323946873</v>
      </c>
      <c r="AO33" s="41">
        <f t="shared" si="14"/>
        <v>-9793.0028084651713</v>
      </c>
      <c r="AP33" s="45"/>
      <c r="AQ33" s="55"/>
      <c r="AR33" s="48"/>
      <c r="AS33" s="48"/>
      <c r="AT33" s="51">
        <f t="shared" si="23"/>
        <v>29</v>
      </c>
      <c r="AU33" s="49">
        <f t="shared" si="24"/>
        <v>0.17257229108858604</v>
      </c>
      <c r="AV33" s="49">
        <f t="shared" si="25"/>
        <v>3.2561905161973437E-2</v>
      </c>
      <c r="AW33" s="50">
        <f xml:space="preserve"> IF(ISERROR(ROUND((1000*NPV($AT$1,$AV34:$AV$124)-$AW$1*($AU34+NPV($AT$1,$AU35:$AU$124)))/AU34,3)), 0, ROUND((1000*NPV($AT$1,$AV34:$AV$124)-$AW$1*($AU34+NPV($AT$1,$AU35:$AU$124)))/AU34,3))</f>
        <v>753.27200000000005</v>
      </c>
      <c r="AX33" s="50">
        <f>IF(ISERROR(ROUND(MAX(0,1000*NPV($AT$2,$AV34:$AV$124)-$AW$2*($AU34+NPV($AT$2,$AU35:$AU$124)))/AU34,3)), 0, ROUND(MAX(0,1000*NPV($AT$2,$AV34:$AV$124)-$AW$2*($AU34+NPV($AT$2,$AU35:$AU$124)))/AU34,3))</f>
        <v>684.42</v>
      </c>
    </row>
    <row r="34" spans="1:50" ht="15" x14ac:dyDescent="0.25">
      <c r="A34">
        <v>9</v>
      </c>
      <c r="B34">
        <v>1.1165540732793701E-4</v>
      </c>
      <c r="C34">
        <f t="shared" si="30"/>
        <v>1.0495608288826078E-4</v>
      </c>
      <c r="D34" s="60">
        <v>44</v>
      </c>
      <c r="E34" s="5">
        <v>846456.68884031905</v>
      </c>
      <c r="F34" s="5">
        <v>35819.917609306111</v>
      </c>
      <c r="G34" s="8"/>
      <c r="H34" s="4"/>
      <c r="I34" s="51">
        <v>30</v>
      </c>
      <c r="J34" s="41"/>
      <c r="K34" s="41" t="str">
        <f t="shared" si="26"/>
        <v/>
      </c>
      <c r="L34" s="42">
        <f t="shared" si="27"/>
        <v>25</v>
      </c>
      <c r="M34" s="41">
        <f t="shared" si="28"/>
        <v>2000000</v>
      </c>
      <c r="N34" s="43">
        <f t="shared" si="1"/>
        <v>700.06899999999996</v>
      </c>
      <c r="O34" s="44">
        <f t="shared" si="2"/>
        <v>766.13099999999997</v>
      </c>
      <c r="P34" s="41">
        <f t="shared" si="3"/>
        <v>1400138</v>
      </c>
      <c r="Q34" s="41">
        <f t="shared" si="4"/>
        <v>1532262</v>
      </c>
      <c r="R34" s="44"/>
      <c r="S34" s="44">
        <f>IF(I34&lt;&gt;"",_xlfn.XLOOKUP(D$4+I34,A$26:A$145,$C$26:$C$145,0) * 1000,"")</f>
        <v>204.91160932892356</v>
      </c>
      <c r="T34" s="52">
        <f t="shared" si="29"/>
        <v>0</v>
      </c>
      <c r="U34" s="53">
        <f t="shared" si="15"/>
        <v>0.14001038592661261</v>
      </c>
      <c r="V34" s="53">
        <f t="shared" si="16"/>
        <v>2.868975350298586E-2</v>
      </c>
      <c r="W34" s="53">
        <f t="shared" si="17"/>
        <v>0</v>
      </c>
      <c r="X34" s="46">
        <f t="shared" si="5"/>
        <v>0.11132063242362675</v>
      </c>
      <c r="Y34" s="54"/>
      <c r="Z34" s="41">
        <f t="shared" si="18"/>
        <v>210931.80685542268</v>
      </c>
      <c r="AA34" s="41">
        <f t="shared" si="19"/>
        <v>2800.2077185322523</v>
      </c>
      <c r="AB34" s="41">
        <f t="shared" si="6"/>
        <v>170572.37487869116</v>
      </c>
      <c r="AC34" s="41">
        <f t="shared" si="7"/>
        <v>2226.4126484725348</v>
      </c>
      <c r="AD34" s="54"/>
      <c r="AE34" s="41">
        <f t="shared" si="8"/>
        <v>0</v>
      </c>
      <c r="AF34" s="41"/>
      <c r="AG34" s="41">
        <f t="shared" si="9"/>
        <v>-2.7830158105906686</v>
      </c>
      <c r="AH34" s="41">
        <f t="shared" si="20"/>
        <v>-57379.507005971718</v>
      </c>
      <c r="AI34" s="41">
        <f t="shared" si="21"/>
        <v>0</v>
      </c>
      <c r="AJ34" s="41">
        <f t="shared" si="10"/>
        <v>-57382.290021782312</v>
      </c>
      <c r="AK34" s="41">
        <f t="shared" si="11"/>
        <v>40359.431976731517</v>
      </c>
      <c r="AL34" s="41">
        <f t="shared" si="22"/>
        <v>8549.2805829581976</v>
      </c>
      <c r="AM34" s="41">
        <f t="shared" si="12"/>
        <v>-8473.5774620925968</v>
      </c>
      <c r="AN34" s="41">
        <f t="shared" si="13"/>
        <v>573.79507005971755</v>
      </c>
      <c r="AO34" s="41">
        <f t="shared" si="14"/>
        <v>-7899.7823920328792</v>
      </c>
      <c r="AP34" s="45"/>
      <c r="AQ34" s="55"/>
      <c r="AR34" s="48"/>
      <c r="AS34" s="48"/>
      <c r="AT34" s="51">
        <f t="shared" si="23"/>
        <v>30</v>
      </c>
      <c r="AU34" s="49">
        <f t="shared" si="24"/>
        <v>0.14001038592661261</v>
      </c>
      <c r="AV34" s="49">
        <f t="shared" si="25"/>
        <v>2.868975350298586E-2</v>
      </c>
      <c r="AW34" s="50">
        <f xml:space="preserve"> IF(ISERROR(ROUND((1000*NPV($AT$1,$AV35:$AV$124)-$AW$1*($AU35+NPV($AT$1,$AU36:$AU$124)))/AU35,3)), 0, ROUND((1000*NPV($AT$1,$AV35:$AV$124)-$AW$1*($AU35+NPV($AT$1,$AU36:$AU$124)))/AU35,3))</f>
        <v>766.13099999999997</v>
      </c>
      <c r="AX34" s="50">
        <f>IF(ISERROR(ROUND(MAX(0,1000*NPV($AT$2,$AV35:$AV$124)-$AW$2*($AU35+NPV($AT$2,$AU36:$AU$124)))/AU35,3)), 0, ROUND(MAX(0,1000*NPV($AT$2,$AV35:$AV$124)-$AW$2*($AU35+NPV($AT$2,$AU36:$AU$124)))/AU35,3))</f>
        <v>700.06899999999996</v>
      </c>
    </row>
    <row r="35" spans="1:50" ht="15" x14ac:dyDescent="0.25">
      <c r="A35">
        <v>10</v>
      </c>
      <c r="B35">
        <v>1.10529216223121E-4</v>
      </c>
      <c r="C35">
        <f t="shared" si="30"/>
        <v>1.0389746324973374E-4</v>
      </c>
      <c r="D35" s="60">
        <v>45</v>
      </c>
      <c r="E35" s="5">
        <v>876537.26019768638</v>
      </c>
      <c r="F35" s="5">
        <v>36998.791441750654</v>
      </c>
      <c r="G35" s="8"/>
      <c r="H35" s="4"/>
      <c r="I35" s="51">
        <v>31</v>
      </c>
      <c r="J35" s="41"/>
      <c r="K35" s="41" t="str">
        <f t="shared" si="26"/>
        <v/>
      </c>
      <c r="L35" s="42">
        <f t="shared" si="27"/>
        <v>25</v>
      </c>
      <c r="M35" s="41">
        <f t="shared" si="28"/>
        <v>2000000</v>
      </c>
      <c r="N35" s="43">
        <f t="shared" si="1"/>
        <v>714.92</v>
      </c>
      <c r="O35" s="44">
        <f t="shared" si="2"/>
        <v>778.274</v>
      </c>
      <c r="P35" s="41">
        <f t="shared" si="3"/>
        <v>1429840</v>
      </c>
      <c r="Q35" s="41">
        <f t="shared" si="4"/>
        <v>1556548</v>
      </c>
      <c r="R35" s="44"/>
      <c r="S35" s="44">
        <f>IF(I35&lt;&gt;"",_xlfn.XLOOKUP(D$4+I35,A$26:A$145,$C$26:$C$145,0) * 1000,"")</f>
        <v>221.68020024521121</v>
      </c>
      <c r="T35" s="52">
        <f t="shared" si="29"/>
        <v>0</v>
      </c>
      <c r="U35" s="53">
        <f t="shared" si="15"/>
        <v>0.11132063242362675</v>
      </c>
      <c r="V35" s="53">
        <f t="shared" si="16"/>
        <v>2.4677580087093129E-2</v>
      </c>
      <c r="W35" s="53">
        <f t="shared" si="17"/>
        <v>0</v>
      </c>
      <c r="X35" s="46">
        <f t="shared" si="5"/>
        <v>8.6643052336533619E-2</v>
      </c>
      <c r="Y35" s="54"/>
      <c r="Z35" s="41">
        <f t="shared" si="18"/>
        <v>170572.37487869116</v>
      </c>
      <c r="AA35" s="41">
        <f t="shared" si="19"/>
        <v>2226.4126484725348</v>
      </c>
      <c r="AB35" s="41">
        <f t="shared" si="6"/>
        <v>134864.06982832673</v>
      </c>
      <c r="AC35" s="41">
        <f t="shared" si="7"/>
        <v>1732.8610467306723</v>
      </c>
      <c r="AD35" s="54"/>
      <c r="AE35" s="41">
        <f t="shared" si="8"/>
        <v>0</v>
      </c>
      <c r="AF35" s="41"/>
      <c r="AG35" s="41">
        <f t="shared" si="9"/>
        <v>-2.1660763084133405</v>
      </c>
      <c r="AH35" s="41">
        <f t="shared" si="20"/>
        <v>-49355.160174186254</v>
      </c>
      <c r="AI35" s="41">
        <f t="shared" si="21"/>
        <v>0</v>
      </c>
      <c r="AJ35" s="41">
        <f t="shared" si="10"/>
        <v>-49357.326250494669</v>
      </c>
      <c r="AK35" s="41">
        <f t="shared" si="11"/>
        <v>35708.305050364434</v>
      </c>
      <c r="AL35" s="41">
        <f t="shared" si="22"/>
        <v>6911.951501086548</v>
      </c>
      <c r="AM35" s="41">
        <f t="shared" si="12"/>
        <v>-6737.0696990436873</v>
      </c>
      <c r="AN35" s="41">
        <f t="shared" si="13"/>
        <v>493.55160174186244</v>
      </c>
      <c r="AO35" s="41">
        <f t="shared" si="14"/>
        <v>-6243.518097301825</v>
      </c>
      <c r="AP35" s="45"/>
      <c r="AQ35" s="55"/>
      <c r="AR35" s="48"/>
      <c r="AS35" s="48"/>
      <c r="AT35" s="51">
        <f t="shared" si="23"/>
        <v>31</v>
      </c>
      <c r="AU35" s="49">
        <f t="shared" si="24"/>
        <v>0.11132063242362675</v>
      </c>
      <c r="AV35" s="49">
        <f t="shared" si="25"/>
        <v>2.4677580087093129E-2</v>
      </c>
      <c r="AW35" s="50">
        <f xml:space="preserve"> IF(ISERROR(ROUND((1000*NPV($AT$1,$AV36:$AV$124)-$AW$1*($AU36+NPV($AT$1,$AU37:$AU$124)))/AU36,3)), 0, ROUND((1000*NPV($AT$1,$AV36:$AV$124)-$AW$1*($AU36+NPV($AT$1,$AU37:$AU$124)))/AU36,3))</f>
        <v>778.274</v>
      </c>
      <c r="AX35" s="50">
        <f>IF(ISERROR(ROUND(MAX(0,1000*NPV($AT$2,$AV36:$AV$124)-$AW$2*($AU36+NPV($AT$2,$AU37:$AU$124)))/AU36,3)), 0, ROUND(MAX(0,1000*NPV($AT$2,$AV36:$AV$124)-$AW$2*($AU36+NPV($AT$2,$AU37:$AU$124)))/AU36,3))</f>
        <v>714.92</v>
      </c>
    </row>
    <row r="36" spans="1:50" ht="15" x14ac:dyDescent="0.25">
      <c r="A36">
        <v>11</v>
      </c>
      <c r="B36">
        <v>1.2110724150693501E-4</v>
      </c>
      <c r="C36">
        <f t="shared" si="30"/>
        <v>1.138408070165189E-4</v>
      </c>
      <c r="D36" s="60">
        <v>46</v>
      </c>
      <c r="E36" s="5">
        <v>907583.03614578105</v>
      </c>
      <c r="F36" s="5">
        <v>38212.435053362919</v>
      </c>
      <c r="G36" s="8"/>
      <c r="H36" s="4"/>
      <c r="I36" s="51">
        <v>32</v>
      </c>
      <c r="J36" s="41"/>
      <c r="K36" s="41" t="str">
        <f t="shared" si="26"/>
        <v/>
      </c>
      <c r="L36" s="42">
        <f t="shared" si="27"/>
        <v>25</v>
      </c>
      <c r="M36" s="41">
        <f t="shared" si="28"/>
        <v>2000000</v>
      </c>
      <c r="N36" s="43">
        <f t="shared" si="1"/>
        <v>728.928</v>
      </c>
      <c r="O36" s="44">
        <f t="shared" si="2"/>
        <v>789.67600000000004</v>
      </c>
      <c r="P36" s="41">
        <f t="shared" si="3"/>
        <v>1457856</v>
      </c>
      <c r="Q36" s="41">
        <f t="shared" si="4"/>
        <v>1579352</v>
      </c>
      <c r="R36" s="44"/>
      <c r="S36" s="44">
        <f>IF(I36&lt;&gt;"",_xlfn.XLOOKUP(D$4+I36,A$26:A$145,$C$26:$C$145,0) * 1000,"")</f>
        <v>239.53134969174391</v>
      </c>
      <c r="T36" s="52">
        <f t="shared" si="29"/>
        <v>0</v>
      </c>
      <c r="U36" s="53">
        <f t="shared" si="15"/>
        <v>8.6643052336533619E-2</v>
      </c>
      <c r="V36" s="53">
        <f t="shared" si="16"/>
        <v>2.0753727267582303E-2</v>
      </c>
      <c r="W36" s="53">
        <f t="shared" si="17"/>
        <v>0</v>
      </c>
      <c r="X36" s="46">
        <f t="shared" si="5"/>
        <v>6.5889325068951315E-2</v>
      </c>
      <c r="Y36" s="54"/>
      <c r="Z36" s="41">
        <f t="shared" si="18"/>
        <v>134864.06982832673</v>
      </c>
      <c r="AA36" s="41">
        <f t="shared" si="19"/>
        <v>1732.8610467306723</v>
      </c>
      <c r="AB36" s="41">
        <f t="shared" si="6"/>
        <v>104062.4373262984</v>
      </c>
      <c r="AC36" s="41">
        <f t="shared" si="7"/>
        <v>1317.7865013790263</v>
      </c>
      <c r="AD36" s="54"/>
      <c r="AE36" s="41">
        <f t="shared" si="8"/>
        <v>0</v>
      </c>
      <c r="AF36" s="41"/>
      <c r="AG36" s="41">
        <f t="shared" si="9"/>
        <v>-1.647233126723783</v>
      </c>
      <c r="AH36" s="41">
        <f t="shared" si="20"/>
        <v>-41507.454535164608</v>
      </c>
      <c r="AI36" s="41">
        <f t="shared" si="21"/>
        <v>0</v>
      </c>
      <c r="AJ36" s="41">
        <f t="shared" si="10"/>
        <v>-41509.10176829133</v>
      </c>
      <c r="AK36" s="41">
        <f t="shared" si="11"/>
        <v>30801.632502028326</v>
      </c>
      <c r="AL36" s="41">
        <f t="shared" si="22"/>
        <v>5463.8772350022964</v>
      </c>
      <c r="AM36" s="41">
        <f t="shared" si="12"/>
        <v>-5243.5920312607077</v>
      </c>
      <c r="AN36" s="41">
        <f t="shared" si="13"/>
        <v>415.07454535164607</v>
      </c>
      <c r="AO36" s="41">
        <f t="shared" si="14"/>
        <v>-4828.5174859090621</v>
      </c>
      <c r="AP36" s="45"/>
      <c r="AQ36" s="55"/>
      <c r="AR36" s="48"/>
      <c r="AS36" s="48"/>
      <c r="AT36" s="51">
        <f t="shared" si="23"/>
        <v>32</v>
      </c>
      <c r="AU36" s="49">
        <f t="shared" si="24"/>
        <v>8.6643052336533619E-2</v>
      </c>
      <c r="AV36" s="49">
        <f t="shared" si="25"/>
        <v>2.0753727267582303E-2</v>
      </c>
      <c r="AW36" s="50">
        <f xml:space="preserve"> IF(ISERROR(ROUND((1000*NPV($AT$1,$AV37:$AV$124)-$AW$1*($AU37+NPV($AT$1,$AU38:$AU$124)))/AU37,3)), 0, ROUND((1000*NPV($AT$1,$AV37:$AV$124)-$AW$1*($AU37+NPV($AT$1,$AU38:$AU$124)))/AU37,3))</f>
        <v>789.67600000000004</v>
      </c>
      <c r="AX36" s="50">
        <f>IF(ISERROR(ROUND(MAX(0,1000*NPV($AT$2,$AV37:$AV$124)-$AW$2*($AU37+NPV($AT$2,$AU38:$AU$124)))/AU37,3)), 0, ROUND(MAX(0,1000*NPV($AT$2,$AV37:$AV$124)-$AW$2*($AU37+NPV($AT$2,$AU38:$AU$124)))/AU37,3))</f>
        <v>728.928</v>
      </c>
    </row>
    <row r="37" spans="1:50" ht="15" x14ac:dyDescent="0.25">
      <c r="A37">
        <v>12</v>
      </c>
      <c r="B37">
        <v>1.2840169048056199E-4</v>
      </c>
      <c r="C37">
        <f t="shared" si="30"/>
        <v>1.2069758905172827E-4</v>
      </c>
      <c r="D37" s="60">
        <v>47</v>
      </c>
      <c r="E37" s="5">
        <v>939510.47982304811</v>
      </c>
      <c r="F37" s="5">
        <v>39454.781448716705</v>
      </c>
      <c r="G37" s="8"/>
      <c r="H37" s="4"/>
      <c r="I37" s="51">
        <v>33</v>
      </c>
      <c r="J37" s="41"/>
      <c r="K37" s="41" t="str">
        <f t="shared" si="26"/>
        <v/>
      </c>
      <c r="L37" s="42">
        <f t="shared" si="27"/>
        <v>25</v>
      </c>
      <c r="M37" s="41">
        <f t="shared" si="28"/>
        <v>2000000</v>
      </c>
      <c r="N37" s="43">
        <f t="shared" si="1"/>
        <v>742.00599999999997</v>
      </c>
      <c r="O37" s="44">
        <f t="shared" si="2"/>
        <v>800.27800000000002</v>
      </c>
      <c r="P37" s="41">
        <f t="shared" si="3"/>
        <v>1484012</v>
      </c>
      <c r="Q37" s="41">
        <f t="shared" si="4"/>
        <v>1600556</v>
      </c>
      <c r="R37" s="44"/>
      <c r="S37" s="44">
        <f>IF(I37&lt;&gt;"",_xlfn.XLOOKUP(D$4+I37,A$26:A$145,$C$26:$C$145,0) * 1000,"")</f>
        <v>258.53534314533135</v>
      </c>
      <c r="T37" s="52">
        <f t="shared" si="29"/>
        <v>0</v>
      </c>
      <c r="U37" s="53">
        <f t="shared" si="15"/>
        <v>6.5889325068951315E-2</v>
      </c>
      <c r="V37" s="53">
        <f t="shared" si="16"/>
        <v>1.7034719266315612E-2</v>
      </c>
      <c r="W37" s="53">
        <f t="shared" si="17"/>
        <v>0</v>
      </c>
      <c r="X37" s="46">
        <f t="shared" si="5"/>
        <v>4.8854605802635703E-2</v>
      </c>
      <c r="Y37" s="54"/>
      <c r="Z37" s="41">
        <f t="shared" si="18"/>
        <v>104062.4373262984</v>
      </c>
      <c r="AA37" s="41">
        <f t="shared" si="19"/>
        <v>1317.7865013790263</v>
      </c>
      <c r="AB37" s="41">
        <f t="shared" si="6"/>
        <v>78194.532445043384</v>
      </c>
      <c r="AC37" s="41">
        <f t="shared" si="7"/>
        <v>977.09211605271412</v>
      </c>
      <c r="AD37" s="54"/>
      <c r="AE37" s="41">
        <f t="shared" si="8"/>
        <v>0</v>
      </c>
      <c r="AF37" s="41"/>
      <c r="AG37" s="41">
        <f t="shared" si="9"/>
        <v>-1.2213651450658927</v>
      </c>
      <c r="AH37" s="41">
        <f t="shared" si="20"/>
        <v>-34069.438532631226</v>
      </c>
      <c r="AI37" s="41">
        <f t="shared" si="21"/>
        <v>0</v>
      </c>
      <c r="AJ37" s="41">
        <f t="shared" si="10"/>
        <v>-34070.659897776291</v>
      </c>
      <c r="AK37" s="41">
        <f t="shared" si="11"/>
        <v>25867.904881255017</v>
      </c>
      <c r="AL37" s="41">
        <f t="shared" si="22"/>
        <v>4215.2089531070969</v>
      </c>
      <c r="AM37" s="41">
        <f t="shared" si="12"/>
        <v>-3987.5460634141773</v>
      </c>
      <c r="AN37" s="41">
        <f t="shared" si="13"/>
        <v>340.69438532631216</v>
      </c>
      <c r="AO37" s="41">
        <f t="shared" si="14"/>
        <v>-3646.8516780878654</v>
      </c>
      <c r="AP37" s="45"/>
      <c r="AQ37" s="55"/>
      <c r="AR37" s="48"/>
      <c r="AS37" s="48"/>
      <c r="AT37" s="51">
        <f t="shared" si="23"/>
        <v>33</v>
      </c>
      <c r="AU37" s="49">
        <f t="shared" si="24"/>
        <v>6.5889325068951315E-2</v>
      </c>
      <c r="AV37" s="49">
        <f t="shared" si="25"/>
        <v>1.7034719266315612E-2</v>
      </c>
      <c r="AW37" s="50">
        <f xml:space="preserve"> IF(ISERROR(ROUND((1000*NPV($AT$1,$AV38:$AV$124)-$AW$1*($AU38+NPV($AT$1,$AU39:$AU$124)))/AU38,3)), 0, ROUND((1000*NPV($AT$1,$AV38:$AV$124)-$AW$1*($AU38+NPV($AT$1,$AU39:$AU$124)))/AU38,3))</f>
        <v>800.27800000000002</v>
      </c>
      <c r="AX37" s="50">
        <f>IF(ISERROR(ROUND(MAX(0,1000*NPV($AT$2,$AV38:$AV$124)-$AW$2*($AU38+NPV($AT$2,$AU39:$AU$124)))/AU38,3)), 0, ROUND(MAX(0,1000*NPV($AT$2,$AV38:$AV$124)-$AW$2*($AU38+NPV($AT$2,$AU39:$AU$124)))/AU38,3))</f>
        <v>742.00599999999997</v>
      </c>
    </row>
    <row r="38" spans="1:50" ht="15" x14ac:dyDescent="0.25">
      <c r="A38">
        <v>13</v>
      </c>
      <c r="B38">
        <v>1.42524644688113E-4</v>
      </c>
      <c r="C38">
        <f t="shared" si="30"/>
        <v>1.3397316600682622E-4</v>
      </c>
      <c r="D38" s="60">
        <v>48</v>
      </c>
      <c r="E38" s="5">
        <v>972316.17288710305</v>
      </c>
      <c r="F38" s="5">
        <v>40724.915621253254</v>
      </c>
      <c r="G38" s="8"/>
      <c r="H38" s="4"/>
      <c r="I38" s="51">
        <v>34</v>
      </c>
      <c r="J38" s="41"/>
      <c r="K38" s="41" t="str">
        <f t="shared" si="26"/>
        <v/>
      </c>
      <c r="L38" s="42">
        <f t="shared" si="27"/>
        <v>25</v>
      </c>
      <c r="M38" s="41">
        <f t="shared" si="28"/>
        <v>2000000</v>
      </c>
      <c r="N38" s="43">
        <f t="shared" si="1"/>
        <v>754.24900000000002</v>
      </c>
      <c r="O38" s="44">
        <f t="shared" si="2"/>
        <v>810.16300000000001</v>
      </c>
      <c r="P38" s="41">
        <f t="shared" si="3"/>
        <v>1508498</v>
      </c>
      <c r="Q38" s="41">
        <f t="shared" si="4"/>
        <v>1620326</v>
      </c>
      <c r="R38" s="44"/>
      <c r="S38" s="44">
        <f>IF(I38&lt;&gt;"",_xlfn.XLOOKUP(D$4+I38,A$26:A$145,$C$26:$C$145,0) * 1000,"")</f>
        <v>278.00750352746456</v>
      </c>
      <c r="T38" s="52">
        <f t="shared" si="29"/>
        <v>0</v>
      </c>
      <c r="U38" s="53">
        <f t="shared" si="15"/>
        <v>4.8854605802635703E-2</v>
      </c>
      <c r="V38" s="53">
        <f t="shared" si="16"/>
        <v>1.3581946995009137E-2</v>
      </c>
      <c r="W38" s="53">
        <f t="shared" si="17"/>
        <v>0</v>
      </c>
      <c r="X38" s="46">
        <f t="shared" si="5"/>
        <v>3.5272658807626568E-2</v>
      </c>
      <c r="Y38" s="54"/>
      <c r="Z38" s="41">
        <f t="shared" si="18"/>
        <v>78194.532445043384</v>
      </c>
      <c r="AA38" s="41">
        <f t="shared" si="19"/>
        <v>977.09211605271412</v>
      </c>
      <c r="AB38" s="41">
        <f t="shared" si="6"/>
        <v>57153.206155126325</v>
      </c>
      <c r="AC38" s="41">
        <f t="shared" si="7"/>
        <v>705.45317615253134</v>
      </c>
      <c r="AD38" s="54"/>
      <c r="AE38" s="41">
        <f t="shared" si="8"/>
        <v>0</v>
      </c>
      <c r="AF38" s="41"/>
      <c r="AG38" s="41">
        <f t="shared" si="9"/>
        <v>-0.88181647019066423</v>
      </c>
      <c r="AH38" s="41">
        <f t="shared" si="20"/>
        <v>-27163.893990018274</v>
      </c>
      <c r="AI38" s="41">
        <f t="shared" si="21"/>
        <v>0</v>
      </c>
      <c r="AJ38" s="41">
        <f t="shared" si="10"/>
        <v>-27164.775806488466</v>
      </c>
      <c r="AK38" s="41">
        <f t="shared" si="11"/>
        <v>21041.326289917059</v>
      </c>
      <c r="AL38" s="41">
        <f t="shared" si="22"/>
        <v>3166.8649824438444</v>
      </c>
      <c r="AM38" s="41">
        <f t="shared" si="12"/>
        <v>-2956.5845341275626</v>
      </c>
      <c r="AN38" s="41">
        <f t="shared" si="13"/>
        <v>271.63893990018278</v>
      </c>
      <c r="AO38" s="41">
        <f t="shared" si="14"/>
        <v>-2684.9455942273798</v>
      </c>
      <c r="AP38" s="45"/>
      <c r="AQ38" s="55"/>
      <c r="AR38" s="48"/>
      <c r="AS38" s="48"/>
      <c r="AT38" s="51">
        <f t="shared" si="23"/>
        <v>34</v>
      </c>
      <c r="AU38" s="49">
        <f t="shared" si="24"/>
        <v>4.8854605802635703E-2</v>
      </c>
      <c r="AV38" s="49">
        <f t="shared" si="25"/>
        <v>1.3581946995009137E-2</v>
      </c>
      <c r="AW38" s="50">
        <f xml:space="preserve"> IF(ISERROR(ROUND((1000*NPV($AT$1,$AV39:$AV$124)-$AW$1*($AU39+NPV($AT$1,$AU40:$AU$124)))/AU39,3)), 0, ROUND((1000*NPV($AT$1,$AV39:$AV$124)-$AW$1*($AU39+NPV($AT$1,$AU40:$AU$124)))/AU39,3))</f>
        <v>810.16300000000001</v>
      </c>
      <c r="AX38" s="50">
        <f>IF(ISERROR(ROUND(MAX(0,1000*NPV($AT$2,$AV39:$AV$124)-$AW$2*($AU39+NPV($AT$2,$AU40:$AU$124)))/AU39,3)), 0, ROUND(MAX(0,1000*NPV($AT$2,$AV39:$AV$124)-$AW$2*($AU39+NPV($AT$2,$AU40:$AU$124)))/AU39,3))</f>
        <v>754.24900000000002</v>
      </c>
    </row>
    <row r="39" spans="1:50" ht="15" x14ac:dyDescent="0.25">
      <c r="A39">
        <v>14</v>
      </c>
      <c r="B39">
        <v>1.6004271360370301E-4</v>
      </c>
      <c r="C39">
        <f t="shared" si="30"/>
        <v>1.5044015078748081E-4</v>
      </c>
      <c r="D39" s="60">
        <v>49</v>
      </c>
      <c r="E39" s="5">
        <v>1006023.4275069686</v>
      </c>
      <c r="F39" s="5">
        <v>42023.348638028023</v>
      </c>
      <c r="G39" s="8"/>
      <c r="H39" s="4"/>
      <c r="I39" s="51">
        <v>35</v>
      </c>
      <c r="J39" s="41"/>
      <c r="K39" s="41" t="str">
        <f t="shared" si="26"/>
        <v/>
      </c>
      <c r="L39" s="42">
        <f t="shared" si="27"/>
        <v>25</v>
      </c>
      <c r="M39" s="41">
        <f t="shared" si="28"/>
        <v>2000000</v>
      </c>
      <c r="N39" s="43">
        <f t="shared" si="1"/>
        <v>765.57299999999998</v>
      </c>
      <c r="O39" s="44">
        <f t="shared" si="2"/>
        <v>819.27499999999998</v>
      </c>
      <c r="P39" s="41">
        <f t="shared" si="3"/>
        <v>1531146</v>
      </c>
      <c r="Q39" s="41">
        <f t="shared" si="4"/>
        <v>1638550</v>
      </c>
      <c r="R39" s="44"/>
      <c r="S39" s="44">
        <f>IF(I39&lt;&gt;"",_xlfn.XLOOKUP(D$4+I39,A$26:A$145,$C$26:$C$145,0) * 1000,"")</f>
        <v>298.48871947517199</v>
      </c>
      <c r="T39" s="52">
        <f t="shared" si="29"/>
        <v>0</v>
      </c>
      <c r="U39" s="53">
        <f t="shared" si="15"/>
        <v>3.5272658807626568E-2</v>
      </c>
      <c r="V39" s="53">
        <f t="shared" si="16"/>
        <v>1.0528490759973102E-2</v>
      </c>
      <c r="W39" s="53">
        <f t="shared" si="17"/>
        <v>0</v>
      </c>
      <c r="X39" s="46">
        <f t="shared" si="5"/>
        <v>2.4744168047653468E-2</v>
      </c>
      <c r="Y39" s="54"/>
      <c r="Z39" s="41">
        <f t="shared" si="18"/>
        <v>57153.206155126325</v>
      </c>
      <c r="AA39" s="41">
        <f t="shared" si="19"/>
        <v>705.45317615253134</v>
      </c>
      <c r="AB39" s="41">
        <f t="shared" si="6"/>
        <v>40544.556554482588</v>
      </c>
      <c r="AC39" s="41">
        <f t="shared" si="7"/>
        <v>494.88336095306937</v>
      </c>
      <c r="AD39" s="54"/>
      <c r="AE39" s="41">
        <f t="shared" si="8"/>
        <v>0</v>
      </c>
      <c r="AF39" s="41"/>
      <c r="AG39" s="41">
        <f t="shared" si="9"/>
        <v>-0.61860420119133674</v>
      </c>
      <c r="AH39" s="41">
        <f t="shared" si="20"/>
        <v>-21056.981519946203</v>
      </c>
      <c r="AI39" s="41">
        <f t="shared" si="21"/>
        <v>0</v>
      </c>
      <c r="AJ39" s="41">
        <f t="shared" si="10"/>
        <v>-21057.600124147393</v>
      </c>
      <c r="AK39" s="41">
        <f t="shared" si="11"/>
        <v>16608.649600643737</v>
      </c>
      <c r="AL39" s="41">
        <f t="shared" si="22"/>
        <v>2314.3463732511541</v>
      </c>
      <c r="AM39" s="41">
        <f t="shared" si="12"/>
        <v>-2134.6041502525018</v>
      </c>
      <c r="AN39" s="41">
        <f t="shared" si="13"/>
        <v>210.56981519946197</v>
      </c>
      <c r="AO39" s="41">
        <f t="shared" si="14"/>
        <v>-1924.0343350530397</v>
      </c>
      <c r="AP39" s="45"/>
      <c r="AQ39" s="55"/>
      <c r="AR39" s="48"/>
      <c r="AS39" s="48"/>
      <c r="AT39" s="51">
        <f t="shared" si="23"/>
        <v>35</v>
      </c>
      <c r="AU39" s="49">
        <f t="shared" si="24"/>
        <v>3.5272658807626568E-2</v>
      </c>
      <c r="AV39" s="49">
        <f t="shared" si="25"/>
        <v>1.0528490759973102E-2</v>
      </c>
      <c r="AW39" s="50">
        <f xml:space="preserve"> IF(ISERROR(ROUND((1000*NPV($AT$1,$AV40:$AV$124)-$AW$1*($AU40+NPV($AT$1,$AU41:$AU$124)))/AU40,3)), 0, ROUND((1000*NPV($AT$1,$AV40:$AV$124)-$AW$1*($AU40+NPV($AT$1,$AU41:$AU$124)))/AU40,3))</f>
        <v>819.27499999999998</v>
      </c>
      <c r="AX39" s="50">
        <f>IF(ISERROR(ROUND(MAX(0,1000*NPV($AT$2,$AV40:$AV$124)-$AW$2*($AU40+NPV($AT$2,$AU41:$AU$124)))/AU40,3)), 0, ROUND(MAX(0,1000*NPV($AT$2,$AV40:$AV$124)-$AW$2*($AU40+NPV($AT$2,$AU41:$AU$124)))/AU40,3))</f>
        <v>765.57299999999998</v>
      </c>
    </row>
    <row r="40" spans="1:50" ht="15" x14ac:dyDescent="0.25">
      <c r="A40">
        <v>15</v>
      </c>
      <c r="B40">
        <v>1.9260754633443301E-4</v>
      </c>
      <c r="C40">
        <f t="shared" si="30"/>
        <v>1.8105109355436702E-4</v>
      </c>
      <c r="D40" s="60">
        <v>50</v>
      </c>
      <c r="E40" s="5">
        <v>1040643.6692818254</v>
      </c>
      <c r="F40" s="5">
        <v>43349.926869435003</v>
      </c>
      <c r="G40" s="8"/>
      <c r="H40" s="4"/>
      <c r="I40" s="51">
        <v>36</v>
      </c>
      <c r="J40" s="41"/>
      <c r="K40" s="41" t="str">
        <f t="shared" si="26"/>
        <v/>
      </c>
      <c r="L40" s="42">
        <f t="shared" si="27"/>
        <v>25</v>
      </c>
      <c r="M40" s="41">
        <f t="shared" si="28"/>
        <v>2000000</v>
      </c>
      <c r="N40" s="43">
        <f t="shared" si="1"/>
        <v>776.05600000000004</v>
      </c>
      <c r="O40" s="44">
        <f t="shared" si="2"/>
        <v>827.68499999999995</v>
      </c>
      <c r="P40" s="41">
        <f t="shared" si="3"/>
        <v>1552112</v>
      </c>
      <c r="Q40" s="41">
        <f t="shared" si="4"/>
        <v>1655370</v>
      </c>
      <c r="R40" s="44"/>
      <c r="S40" s="44">
        <f>IF(I40&lt;&gt;"",_xlfn.XLOOKUP(D$4+I40,A$26:A$145,$C$26:$C$145,0) * 1000,"")</f>
        <v>319.249339319385</v>
      </c>
      <c r="T40" s="52">
        <f t="shared" si="29"/>
        <v>0</v>
      </c>
      <c r="U40" s="53">
        <f t="shared" si="15"/>
        <v>2.4744168047653468E-2</v>
      </c>
      <c r="V40" s="53">
        <f t="shared" si="16"/>
        <v>7.8995593012212064E-3</v>
      </c>
      <c r="W40" s="53">
        <f t="shared" si="17"/>
        <v>0</v>
      </c>
      <c r="X40" s="46">
        <f t="shared" si="5"/>
        <v>1.684460874643226E-2</v>
      </c>
      <c r="Y40" s="54"/>
      <c r="Z40" s="41">
        <f t="shared" si="18"/>
        <v>40544.556554482588</v>
      </c>
      <c r="AA40" s="41">
        <f t="shared" si="19"/>
        <v>494.88336095306937</v>
      </c>
      <c r="AB40" s="41">
        <f t="shared" si="6"/>
        <v>27884.059980581569</v>
      </c>
      <c r="AC40" s="41">
        <f t="shared" si="7"/>
        <v>336.8921749286452</v>
      </c>
      <c r="AD40" s="54"/>
      <c r="AE40" s="41">
        <f t="shared" si="8"/>
        <v>0</v>
      </c>
      <c r="AF40" s="41"/>
      <c r="AG40" s="41">
        <f t="shared" si="9"/>
        <v>-0.42111521866080648</v>
      </c>
      <c r="AH40" s="41">
        <f t="shared" si="20"/>
        <v>-15799.118602442413</v>
      </c>
      <c r="AI40" s="41">
        <f t="shared" si="21"/>
        <v>0</v>
      </c>
      <c r="AJ40" s="41">
        <f t="shared" si="10"/>
        <v>-15799.539717661073</v>
      </c>
      <c r="AK40" s="41">
        <f t="shared" si="11"/>
        <v>12660.496573901019</v>
      </c>
      <c r="AL40" s="41">
        <f t="shared" si="22"/>
        <v>1641.5775966174263</v>
      </c>
      <c r="AM40" s="41">
        <f t="shared" si="12"/>
        <v>-1497.4655471426283</v>
      </c>
      <c r="AN40" s="41">
        <f t="shared" si="13"/>
        <v>157.99118602442417</v>
      </c>
      <c r="AO40" s="41">
        <f t="shared" si="14"/>
        <v>-1339.4743611182041</v>
      </c>
      <c r="AP40" s="45"/>
      <c r="AQ40" s="55"/>
      <c r="AR40" s="48"/>
      <c r="AS40" s="48"/>
      <c r="AT40" s="51">
        <f t="shared" si="23"/>
        <v>36</v>
      </c>
      <c r="AU40" s="49">
        <f t="shared" si="24"/>
        <v>2.4744168047653468E-2</v>
      </c>
      <c r="AV40" s="49">
        <f t="shared" si="25"/>
        <v>7.8995593012212064E-3</v>
      </c>
      <c r="AW40" s="50">
        <f xml:space="preserve"> IF(ISERROR(ROUND((1000*NPV($AT$1,$AV41:$AV$124)-$AW$1*($AU41+NPV($AT$1,$AU42:$AU$124)))/AU41,3)), 0, ROUND((1000*NPV($AT$1,$AV41:$AV$124)-$AW$1*($AU41+NPV($AT$1,$AU42:$AU$124)))/AU41,3))</f>
        <v>827.68499999999995</v>
      </c>
      <c r="AX40" s="50">
        <f>IF(ISERROR(ROUND(MAX(0,1000*NPV($AT$2,$AV41:$AV$124)-$AW$2*($AU41+NPV($AT$2,$AU42:$AU$124)))/AU41,3)), 0, ROUND(MAX(0,1000*NPV($AT$2,$AV41:$AV$124)-$AW$2*($AU41+NPV($AT$2,$AU42:$AU$124)))/AU41,3))</f>
        <v>776.05600000000004</v>
      </c>
    </row>
    <row r="41" spans="1:50" ht="15" x14ac:dyDescent="0.25">
      <c r="A41">
        <v>16</v>
      </c>
      <c r="B41">
        <v>2.3312767864480701E-4</v>
      </c>
      <c r="C41">
        <f t="shared" si="30"/>
        <v>2.1914001792611859E-4</v>
      </c>
      <c r="D41" s="60">
        <v>51</v>
      </c>
      <c r="E41" s="5">
        <v>1076197.3865129689</v>
      </c>
      <c r="F41" s="5">
        <v>44705.163553170976</v>
      </c>
      <c r="G41" s="8"/>
      <c r="H41" s="4"/>
      <c r="I41" s="51">
        <v>37</v>
      </c>
      <c r="J41" s="41"/>
      <c r="K41" s="41" t="str">
        <f t="shared" si="26"/>
        <v/>
      </c>
      <c r="L41" s="42">
        <f t="shared" si="27"/>
        <v>25</v>
      </c>
      <c r="M41" s="41">
        <f t="shared" si="28"/>
        <v>2000000</v>
      </c>
      <c r="N41" s="43">
        <f t="shared" si="1"/>
        <v>785.91200000000003</v>
      </c>
      <c r="O41" s="44">
        <f t="shared" si="2"/>
        <v>835.56500000000005</v>
      </c>
      <c r="P41" s="41">
        <f t="shared" si="3"/>
        <v>1571824</v>
      </c>
      <c r="Q41" s="41">
        <f t="shared" si="4"/>
        <v>1671130</v>
      </c>
      <c r="R41" s="44"/>
      <c r="S41" s="44">
        <f>IF(I41&lt;&gt;"",_xlfn.XLOOKUP(D$4+I41,A$26:A$145,$C$26:$C$145,0) * 1000,"")</f>
        <v>339.81642302894215</v>
      </c>
      <c r="T41" s="52">
        <f t="shared" si="29"/>
        <v>0</v>
      </c>
      <c r="U41" s="53">
        <f t="shared" si="15"/>
        <v>1.684460874643226E-2</v>
      </c>
      <c r="V41" s="53">
        <f t="shared" si="16"/>
        <v>5.7240746915346438E-3</v>
      </c>
      <c r="W41" s="53">
        <f t="shared" si="17"/>
        <v>0</v>
      </c>
      <c r="X41" s="46">
        <f t="shared" si="5"/>
        <v>1.1120534054897616E-2</v>
      </c>
      <c r="Y41" s="54"/>
      <c r="Z41" s="41">
        <f t="shared" si="18"/>
        <v>27884.059980581569</v>
      </c>
      <c r="AA41" s="41">
        <f t="shared" si="19"/>
        <v>336.8921749286452</v>
      </c>
      <c r="AB41" s="41">
        <f t="shared" si="6"/>
        <v>18583.858075161053</v>
      </c>
      <c r="AC41" s="41">
        <f t="shared" si="7"/>
        <v>222.41068109795231</v>
      </c>
      <c r="AD41" s="54"/>
      <c r="AE41" s="41">
        <f t="shared" si="8"/>
        <v>0</v>
      </c>
      <c r="AF41" s="41"/>
      <c r="AG41" s="41">
        <f t="shared" si="9"/>
        <v>-0.27801335137244038</v>
      </c>
      <c r="AH41" s="41">
        <f t="shared" si="20"/>
        <v>-11448.149383069287</v>
      </c>
      <c r="AI41" s="41">
        <f t="shared" si="21"/>
        <v>0</v>
      </c>
      <c r="AJ41" s="41">
        <f t="shared" si="10"/>
        <v>-11448.427396420659</v>
      </c>
      <c r="AK41" s="41">
        <f t="shared" si="11"/>
        <v>9300.2019054205157</v>
      </c>
      <c r="AL41" s="41">
        <f t="shared" si="22"/>
        <v>1128.8380862204085</v>
      </c>
      <c r="AM41" s="41">
        <f t="shared" si="12"/>
        <v>-1019.3874047797344</v>
      </c>
      <c r="AN41" s="41">
        <f t="shared" si="13"/>
        <v>114.4814938306929</v>
      </c>
      <c r="AO41" s="41">
        <f t="shared" si="14"/>
        <v>-904.90591094904153</v>
      </c>
      <c r="AP41" s="45"/>
      <c r="AQ41" s="55"/>
      <c r="AR41" s="48"/>
      <c r="AS41" s="48"/>
      <c r="AT41" s="51">
        <f t="shared" si="23"/>
        <v>37</v>
      </c>
      <c r="AU41" s="49">
        <f t="shared" si="24"/>
        <v>1.684460874643226E-2</v>
      </c>
      <c r="AV41" s="49">
        <f t="shared" si="25"/>
        <v>5.7240746915346438E-3</v>
      </c>
      <c r="AW41" s="50">
        <f xml:space="preserve"> IF(ISERROR(ROUND((1000*NPV($AT$1,$AV42:$AV$124)-$AW$1*($AU42+NPV($AT$1,$AU43:$AU$124)))/AU42,3)), 0, ROUND((1000*NPV($AT$1,$AV42:$AV$124)-$AW$1*($AU42+NPV($AT$1,$AU43:$AU$124)))/AU42,3))</f>
        <v>835.56500000000005</v>
      </c>
      <c r="AX41" s="50">
        <f>IF(ISERROR(ROUND(MAX(0,1000*NPV($AT$2,$AV42:$AV$124)-$AW$2*($AU42+NPV($AT$2,$AU43:$AU$124)))/AU42,3)), 0, ROUND(MAX(0,1000*NPV($AT$2,$AV42:$AV$124)-$AW$2*($AU42+NPV($AT$2,$AU43:$AU$124)))/AU42,3))</f>
        <v>785.91200000000003</v>
      </c>
    </row>
    <row r="42" spans="1:50" ht="15" x14ac:dyDescent="0.25">
      <c r="A42">
        <v>17</v>
      </c>
      <c r="B42">
        <v>2.79267776338687E-4</v>
      </c>
      <c r="C42">
        <f t="shared" si="30"/>
        <v>2.6251170975836579E-4</v>
      </c>
      <c r="D42" s="60">
        <v>52</v>
      </c>
      <c r="E42" s="5">
        <v>1112672.4902747644</v>
      </c>
      <c r="F42" s="5">
        <v>46087.49673847435</v>
      </c>
      <c r="G42" s="8"/>
      <c r="H42" s="4"/>
      <c r="I42" s="51">
        <v>38</v>
      </c>
      <c r="J42" s="41"/>
      <c r="K42" s="41" t="str">
        <f t="shared" si="26"/>
        <v/>
      </c>
      <c r="L42" s="42">
        <f t="shared" si="27"/>
        <v>25</v>
      </c>
      <c r="M42" s="41">
        <f t="shared" si="28"/>
        <v>2000000</v>
      </c>
      <c r="N42" s="43">
        <f t="shared" si="1"/>
        <v>795.15300000000002</v>
      </c>
      <c r="O42" s="44">
        <f t="shared" si="2"/>
        <v>842.93200000000002</v>
      </c>
      <c r="P42" s="41">
        <f t="shared" si="3"/>
        <v>1590306</v>
      </c>
      <c r="Q42" s="41">
        <f t="shared" si="4"/>
        <v>1685864</v>
      </c>
      <c r="R42" s="44"/>
      <c r="S42" s="44">
        <f>IF(I42&lt;&gt;"",_xlfn.XLOOKUP(D$4+I42,A$26:A$145,$C$26:$C$145,0) * 1000,"")</f>
        <v>361.03175669856495</v>
      </c>
      <c r="T42" s="52">
        <f t="shared" si="29"/>
        <v>0</v>
      </c>
      <c r="U42" s="53">
        <f t="shared" si="15"/>
        <v>1.1120534054897616E-2</v>
      </c>
      <c r="V42" s="53">
        <f t="shared" si="16"/>
        <v>4.0148659452659014E-3</v>
      </c>
      <c r="W42" s="53">
        <f t="shared" si="17"/>
        <v>0</v>
      </c>
      <c r="X42" s="46">
        <f t="shared" si="5"/>
        <v>7.1056681096317142E-3</v>
      </c>
      <c r="Y42" s="54"/>
      <c r="Z42" s="41">
        <f t="shared" si="18"/>
        <v>18583.858075161053</v>
      </c>
      <c r="AA42" s="41">
        <f t="shared" si="19"/>
        <v>222.41068109795231</v>
      </c>
      <c r="AB42" s="41">
        <f t="shared" si="6"/>
        <v>11979.19006197616</v>
      </c>
      <c r="AC42" s="41">
        <f t="shared" si="7"/>
        <v>142.11336219263427</v>
      </c>
      <c r="AD42" s="54"/>
      <c r="AE42" s="41">
        <f t="shared" si="8"/>
        <v>0</v>
      </c>
      <c r="AF42" s="41"/>
      <c r="AG42" s="41">
        <f t="shared" si="9"/>
        <v>-0.17764170274079286</v>
      </c>
      <c r="AH42" s="41">
        <f t="shared" si="20"/>
        <v>-8029.7318905318025</v>
      </c>
      <c r="AI42" s="41">
        <f t="shared" si="21"/>
        <v>0</v>
      </c>
      <c r="AJ42" s="41">
        <f t="shared" si="10"/>
        <v>-8029.9095322345429</v>
      </c>
      <c r="AK42" s="41">
        <f t="shared" si="11"/>
        <v>6604.6680131848934</v>
      </c>
      <c r="AL42" s="41">
        <f t="shared" si="22"/>
        <v>752.25075025036028</v>
      </c>
      <c r="AM42" s="41">
        <f t="shared" si="12"/>
        <v>-672.99076879928919</v>
      </c>
      <c r="AN42" s="41">
        <f t="shared" si="13"/>
        <v>80.297318905318036</v>
      </c>
      <c r="AO42" s="41">
        <f t="shared" si="14"/>
        <v>-592.69344989397109</v>
      </c>
      <c r="AP42" s="45"/>
      <c r="AQ42" s="55"/>
      <c r="AR42" s="48"/>
      <c r="AS42" s="48"/>
      <c r="AT42" s="51">
        <f t="shared" si="23"/>
        <v>38</v>
      </c>
      <c r="AU42" s="49">
        <f t="shared" si="24"/>
        <v>1.1120534054897616E-2</v>
      </c>
      <c r="AV42" s="49">
        <f t="shared" si="25"/>
        <v>4.0148659452659014E-3</v>
      </c>
      <c r="AW42" s="50">
        <f xml:space="preserve"> IF(ISERROR(ROUND((1000*NPV($AT$1,$AV43:$AV$124)-$AW$1*($AU43+NPV($AT$1,$AU44:$AU$124)))/AU43,3)), 0, ROUND((1000*NPV($AT$1,$AV43:$AV$124)-$AW$1*($AU43+NPV($AT$1,$AU44:$AU$124)))/AU43,3))</f>
        <v>842.93200000000002</v>
      </c>
      <c r="AX42" s="50">
        <f>IF(ISERROR(ROUND(MAX(0,1000*NPV($AT$2,$AV43:$AV$124)-$AW$2*($AU43+NPV($AT$2,$AU44:$AU$124)))/AU43,3)), 0, ROUND(MAX(0,1000*NPV($AT$2,$AV43:$AV$124)-$AW$2*($AU43+NPV($AT$2,$AU44:$AU$124)))/AU43,3))</f>
        <v>795.15300000000002</v>
      </c>
    </row>
    <row r="43" spans="1:50" ht="15" x14ac:dyDescent="0.25">
      <c r="A43">
        <v>18</v>
      </c>
      <c r="B43">
        <v>3.3401304033053901E-4</v>
      </c>
      <c r="C43">
        <f t="shared" si="30"/>
        <v>3.1397225791070666E-4</v>
      </c>
      <c r="D43" s="60">
        <v>53</v>
      </c>
      <c r="E43" s="5">
        <v>1150055.8589264173</v>
      </c>
      <c r="F43" s="5">
        <v>47495.103241449222</v>
      </c>
      <c r="G43" s="8"/>
      <c r="H43" s="4"/>
      <c r="I43" s="51">
        <v>39</v>
      </c>
      <c r="J43" s="41"/>
      <c r="K43" s="41" t="str">
        <f t="shared" si="26"/>
        <v/>
      </c>
      <c r="L43" s="42">
        <f t="shared" si="27"/>
        <v>25</v>
      </c>
      <c r="M43" s="41">
        <f t="shared" si="28"/>
        <v>2000000</v>
      </c>
      <c r="N43" s="43">
        <f t="shared" si="1"/>
        <v>803.803</v>
      </c>
      <c r="O43" s="44">
        <f t="shared" si="2"/>
        <v>849.80600000000004</v>
      </c>
      <c r="P43" s="41">
        <f t="shared" si="3"/>
        <v>1607606</v>
      </c>
      <c r="Q43" s="41">
        <f t="shared" si="4"/>
        <v>1699612</v>
      </c>
      <c r="R43" s="44"/>
      <c r="S43" s="44">
        <f>IF(I43&lt;&gt;"",_xlfn.XLOOKUP(D$4+I43,A$26:A$145,$C$26:$C$145,0) * 1000,"")</f>
        <v>382.79012124015082</v>
      </c>
      <c r="T43" s="52">
        <f t="shared" si="29"/>
        <v>0</v>
      </c>
      <c r="U43" s="53">
        <f t="shared" si="15"/>
        <v>7.1056681096317142E-3</v>
      </c>
      <c r="V43" s="53">
        <f t="shared" si="16"/>
        <v>2.7199795571781972E-3</v>
      </c>
      <c r="W43" s="53">
        <f t="shared" si="17"/>
        <v>0</v>
      </c>
      <c r="X43" s="46">
        <f t="shared" si="5"/>
        <v>4.3856885524535174E-3</v>
      </c>
      <c r="Y43" s="54"/>
      <c r="Z43" s="41">
        <f t="shared" si="18"/>
        <v>11979.19006197616</v>
      </c>
      <c r="AA43" s="41">
        <f t="shared" si="19"/>
        <v>142.11336219263427</v>
      </c>
      <c r="AB43" s="41">
        <f t="shared" si="6"/>
        <v>7453.9688920126273</v>
      </c>
      <c r="AC43" s="41">
        <f t="shared" si="7"/>
        <v>87.713771049070345</v>
      </c>
      <c r="AD43" s="54"/>
      <c r="AE43" s="41">
        <f t="shared" si="8"/>
        <v>0</v>
      </c>
      <c r="AF43" s="41"/>
      <c r="AG43" s="41">
        <f t="shared" si="9"/>
        <v>-0.10964221381133793</v>
      </c>
      <c r="AH43" s="41">
        <f t="shared" si="20"/>
        <v>-5439.9591143563948</v>
      </c>
      <c r="AI43" s="41">
        <f t="shared" si="21"/>
        <v>0</v>
      </c>
      <c r="AJ43" s="41">
        <f t="shared" si="10"/>
        <v>-5440.0687565702065</v>
      </c>
      <c r="AK43" s="41">
        <f t="shared" si="11"/>
        <v>4525.2211699635327</v>
      </c>
      <c r="AL43" s="41">
        <f t="shared" si="22"/>
        <v>484.8521369667518</v>
      </c>
      <c r="AM43" s="41">
        <f t="shared" si="12"/>
        <v>-429.99544963992196</v>
      </c>
      <c r="AN43" s="41">
        <f t="shared" si="13"/>
        <v>54.399591143563924</v>
      </c>
      <c r="AO43" s="41">
        <f t="shared" si="14"/>
        <v>-375.59585849635801</v>
      </c>
      <c r="AP43" s="45"/>
      <c r="AQ43" s="55"/>
      <c r="AR43" s="48"/>
      <c r="AS43" s="48"/>
      <c r="AT43" s="51">
        <f t="shared" si="23"/>
        <v>39</v>
      </c>
      <c r="AU43" s="49">
        <f t="shared" si="24"/>
        <v>7.1056681096317142E-3</v>
      </c>
      <c r="AV43" s="49">
        <f t="shared" si="25"/>
        <v>2.7199795571781972E-3</v>
      </c>
      <c r="AW43" s="50">
        <f xml:space="preserve"> IF(ISERROR(ROUND((1000*NPV($AT$1,$AV44:$AV$124)-$AW$1*($AU44+NPV($AT$1,$AU45:$AU$124)))/AU44,3)), 0, ROUND((1000*NPV($AT$1,$AV44:$AV$124)-$AW$1*($AU44+NPV($AT$1,$AU45:$AU$124)))/AU44,3))</f>
        <v>849.80600000000004</v>
      </c>
      <c r="AX43" s="50">
        <f>IF(ISERROR(ROUND(MAX(0,1000*NPV($AT$2,$AV44:$AV$124)-$AW$2*($AU44+NPV($AT$2,$AU45:$AU$124)))/AU44,3)), 0, ROUND(MAX(0,1000*NPV($AT$2,$AV44:$AV$124)-$AW$2*($AU44+NPV($AT$2,$AU45:$AU$124)))/AU44,3))</f>
        <v>803.803</v>
      </c>
    </row>
    <row r="44" spans="1:50" ht="15" x14ac:dyDescent="0.25">
      <c r="A44">
        <v>19</v>
      </c>
      <c r="B44">
        <v>3.0212039730859202E-4</v>
      </c>
      <c r="C44">
        <f t="shared" si="30"/>
        <v>2.8399317347007648E-4</v>
      </c>
      <c r="D44" s="60">
        <v>54</v>
      </c>
      <c r="E44" s="5">
        <v>1188349.4339270461</v>
      </c>
      <c r="F44" s="5">
        <v>48927.46483530791</v>
      </c>
      <c r="G44" s="8"/>
      <c r="H44" s="4"/>
      <c r="I44" s="51">
        <v>40</v>
      </c>
      <c r="J44" s="41"/>
      <c r="K44" s="41" t="str">
        <f t="shared" si="26"/>
        <v/>
      </c>
      <c r="L44" s="42">
        <f t="shared" si="27"/>
        <v>25</v>
      </c>
      <c r="M44" s="41">
        <f t="shared" si="28"/>
        <v>2000000</v>
      </c>
      <c r="N44" s="43">
        <f t="shared" si="1"/>
        <v>811.9</v>
      </c>
      <c r="O44" s="44">
        <f t="shared" si="2"/>
        <v>856.22400000000005</v>
      </c>
      <c r="P44" s="41">
        <f t="shared" si="3"/>
        <v>1623800</v>
      </c>
      <c r="Q44" s="41">
        <f t="shared" si="4"/>
        <v>1712448</v>
      </c>
      <c r="R44" s="44"/>
      <c r="S44" s="44">
        <f>IF(I44&lt;&gt;"",_xlfn.XLOOKUP(D$4+I44,A$26:A$145,$C$26:$C$145,0) * 1000,"")</f>
        <v>404.96881809360082</v>
      </c>
      <c r="T44" s="52">
        <f t="shared" si="29"/>
        <v>0</v>
      </c>
      <c r="U44" s="53">
        <f t="shared" si="15"/>
        <v>4.3856885524535174E-3</v>
      </c>
      <c r="V44" s="53">
        <f t="shared" si="16"/>
        <v>1.7760671096137359E-3</v>
      </c>
      <c r="W44" s="53">
        <f t="shared" si="17"/>
        <v>0</v>
      </c>
      <c r="X44" s="46">
        <f t="shared" si="5"/>
        <v>2.6096214428397817E-3</v>
      </c>
      <c r="Y44" s="54"/>
      <c r="Z44" s="41">
        <f t="shared" si="18"/>
        <v>7453.9688920126273</v>
      </c>
      <c r="AA44" s="41">
        <f t="shared" si="19"/>
        <v>87.713771049070345</v>
      </c>
      <c r="AB44" s="41">
        <f t="shared" si="6"/>
        <v>4468.8410205480986</v>
      </c>
      <c r="AC44" s="41">
        <f t="shared" si="7"/>
        <v>52.192428856795637</v>
      </c>
      <c r="AD44" s="54"/>
      <c r="AE44" s="41">
        <f t="shared" si="8"/>
        <v>0</v>
      </c>
      <c r="AF44" s="41"/>
      <c r="AG44" s="41">
        <f t="shared" si="9"/>
        <v>-6.5240536070994545E-2</v>
      </c>
      <c r="AH44" s="41">
        <f t="shared" si="20"/>
        <v>-3552.1342192274719</v>
      </c>
      <c r="AI44" s="41">
        <f t="shared" si="21"/>
        <v>0</v>
      </c>
      <c r="AJ44" s="41">
        <f t="shared" si="10"/>
        <v>-3552.199459763543</v>
      </c>
      <c r="AK44" s="41">
        <f t="shared" si="11"/>
        <v>2985.1278714645287</v>
      </c>
      <c r="AL44" s="41">
        <f t="shared" si="22"/>
        <v>301.66730652246792</v>
      </c>
      <c r="AM44" s="41">
        <f t="shared" si="12"/>
        <v>-265.40428177654644</v>
      </c>
      <c r="AN44" s="41">
        <f t="shared" si="13"/>
        <v>35.521342192274709</v>
      </c>
      <c r="AO44" s="41">
        <f t="shared" si="14"/>
        <v>-229.88293958427172</v>
      </c>
      <c r="AP44" s="45"/>
      <c r="AQ44" s="55"/>
      <c r="AR44" s="48"/>
      <c r="AS44" s="48"/>
      <c r="AT44" s="51">
        <f t="shared" si="23"/>
        <v>40</v>
      </c>
      <c r="AU44" s="49">
        <f t="shared" si="24"/>
        <v>4.3856885524535174E-3</v>
      </c>
      <c r="AV44" s="49">
        <f t="shared" si="25"/>
        <v>1.7760671096137359E-3</v>
      </c>
      <c r="AW44" s="50">
        <f xml:space="preserve"> IF(ISERROR(ROUND((1000*NPV($AT$1,$AV45:$AV$124)-$AW$1*($AU45+NPV($AT$1,$AU46:$AU$124)))/AU45,3)), 0, ROUND((1000*NPV($AT$1,$AV45:$AV$124)-$AW$1*($AU45+NPV($AT$1,$AU46:$AU$124)))/AU45,3))</f>
        <v>856.22400000000005</v>
      </c>
      <c r="AX44" s="50">
        <f>IF(ISERROR(ROUND(MAX(0,1000*NPV($AT$2,$AV45:$AV$124)-$AW$2*($AU45+NPV($AT$2,$AU46:$AU$124)))/AU45,3)), 0, ROUND(MAX(0,1000*NPV($AT$2,$AV45:$AV$124)-$AW$2*($AU45+NPV($AT$2,$AU46:$AU$124)))/AU45,3))</f>
        <v>811.9</v>
      </c>
    </row>
    <row r="45" spans="1:50" ht="15" x14ac:dyDescent="0.25">
      <c r="A45">
        <v>20</v>
      </c>
      <c r="B45">
        <v>3.2771843540135799E-4</v>
      </c>
      <c r="C45">
        <f t="shared" si="30"/>
        <v>3.0805532927727651E-4</v>
      </c>
      <c r="D45" s="60">
        <v>55</v>
      </c>
      <c r="E45" s="5">
        <v>1227533.033150496</v>
      </c>
      <c r="F45" s="5">
        <v>50382.423926057643</v>
      </c>
      <c r="G45" s="8"/>
      <c r="H45" s="4"/>
      <c r="I45" s="51">
        <v>41</v>
      </c>
      <c r="J45" s="41"/>
      <c r="K45" s="41" t="str">
        <f t="shared" si="26"/>
        <v/>
      </c>
      <c r="L45" s="42">
        <f t="shared" si="27"/>
        <v>25</v>
      </c>
      <c r="M45" s="41">
        <f t="shared" si="28"/>
        <v>2000000</v>
      </c>
      <c r="N45" s="43">
        <f t="shared" si="1"/>
        <v>819.50599999999997</v>
      </c>
      <c r="O45" s="44">
        <f t="shared" si="2"/>
        <v>862.23800000000006</v>
      </c>
      <c r="P45" s="41">
        <f t="shared" si="3"/>
        <v>1639012</v>
      </c>
      <c r="Q45" s="41">
        <f t="shared" si="4"/>
        <v>1724476</v>
      </c>
      <c r="R45" s="44"/>
      <c r="S45" s="44">
        <f>IF(I45&lt;&gt;"",_xlfn.XLOOKUP(D$4+I45,A$26:A$145,$C$26:$C$145,0) * 1000,"")</f>
        <v>427.44223201740573</v>
      </c>
      <c r="T45" s="52">
        <f t="shared" si="29"/>
        <v>0</v>
      </c>
      <c r="U45" s="53">
        <f t="shared" si="15"/>
        <v>2.6096214428397817E-3</v>
      </c>
      <c r="V45" s="53">
        <f t="shared" si="16"/>
        <v>1.115462414247919E-3</v>
      </c>
      <c r="W45" s="53">
        <f t="shared" si="17"/>
        <v>0</v>
      </c>
      <c r="X45" s="46">
        <f t="shared" si="5"/>
        <v>1.4941590285918627E-3</v>
      </c>
      <c r="Y45" s="54"/>
      <c r="Z45" s="41">
        <f t="shared" si="18"/>
        <v>4468.8410205480986</v>
      </c>
      <c r="AA45" s="41">
        <f t="shared" si="19"/>
        <v>52.192428856795637</v>
      </c>
      <c r="AB45" s="41">
        <f t="shared" si="6"/>
        <v>2576.6413849899809</v>
      </c>
      <c r="AC45" s="41">
        <f t="shared" si="7"/>
        <v>29.883180571837254</v>
      </c>
      <c r="AD45" s="54"/>
      <c r="AE45" s="41">
        <f t="shared" si="8"/>
        <v>0</v>
      </c>
      <c r="AF45" s="41"/>
      <c r="AG45" s="41">
        <f t="shared" si="9"/>
        <v>-3.7353975714796567E-2</v>
      </c>
      <c r="AH45" s="41">
        <f t="shared" si="20"/>
        <v>-2230.924828495838</v>
      </c>
      <c r="AI45" s="41">
        <f t="shared" si="21"/>
        <v>0</v>
      </c>
      <c r="AJ45" s="41">
        <f t="shared" si="10"/>
        <v>-2230.9621824715528</v>
      </c>
      <c r="AK45" s="41">
        <f t="shared" si="11"/>
        <v>1892.1996355581177</v>
      </c>
      <c r="AL45" s="41">
        <f t="shared" si="22"/>
        <v>180.84133797619575</v>
      </c>
      <c r="AM45" s="41">
        <f t="shared" si="12"/>
        <v>-157.92120893723927</v>
      </c>
      <c r="AN45" s="41">
        <f t="shared" si="13"/>
        <v>22.309248284958382</v>
      </c>
      <c r="AO45" s="41">
        <f t="shared" si="14"/>
        <v>-135.61196065228089</v>
      </c>
      <c r="AP45" s="45"/>
      <c r="AQ45" s="55"/>
      <c r="AR45" s="48"/>
      <c r="AS45" s="48"/>
      <c r="AT45" s="51">
        <f t="shared" si="23"/>
        <v>41</v>
      </c>
      <c r="AU45" s="49">
        <f t="shared" si="24"/>
        <v>2.6096214428397817E-3</v>
      </c>
      <c r="AV45" s="49">
        <f t="shared" si="25"/>
        <v>1.115462414247919E-3</v>
      </c>
      <c r="AW45" s="50">
        <f xml:space="preserve"> IF(ISERROR(ROUND((1000*NPV($AT$1,$AV46:$AV$124)-$AW$1*($AU46+NPV($AT$1,$AU47:$AU$124)))/AU46,3)), 0, ROUND((1000*NPV($AT$1,$AV46:$AV$124)-$AW$1*($AU46+NPV($AT$1,$AU47:$AU$124)))/AU46,3))</f>
        <v>862.23800000000006</v>
      </c>
      <c r="AX45" s="50">
        <f>IF(ISERROR(ROUND(MAX(0,1000*NPV($AT$2,$AV46:$AV$124)-$AW$2*($AU46+NPV($AT$2,$AU47:$AU$124)))/AU46,3)), 0, ROUND(MAX(0,1000*NPV($AT$2,$AV46:$AV$124)-$AW$2*($AU46+NPV($AT$2,$AU47:$AU$124)))/AU46,3))</f>
        <v>819.50599999999997</v>
      </c>
    </row>
    <row r="46" spans="1:50" ht="15" x14ac:dyDescent="0.25">
      <c r="A46">
        <v>21</v>
      </c>
      <c r="B46">
        <v>3.5369267327167698E-4</v>
      </c>
      <c r="C46">
        <f t="shared" si="30"/>
        <v>3.3247111287537635E-4</v>
      </c>
      <c r="D46" s="60">
        <v>56</v>
      </c>
      <c r="E46" s="5">
        <v>1267933.9564132337</v>
      </c>
      <c r="F46" s="5">
        <v>51879.031195935211</v>
      </c>
      <c r="G46" s="8"/>
      <c r="H46" s="4"/>
      <c r="I46" s="51">
        <v>42</v>
      </c>
      <c r="J46" s="41"/>
      <c r="K46" s="41" t="str">
        <f t="shared" si="26"/>
        <v/>
      </c>
      <c r="L46" s="42">
        <f t="shared" si="27"/>
        <v>25</v>
      </c>
      <c r="M46" s="41">
        <f t="shared" si="28"/>
        <v>2000000</v>
      </c>
      <c r="N46" s="43">
        <f t="shared" si="1"/>
        <v>826.68399999999997</v>
      </c>
      <c r="O46" s="44">
        <f t="shared" si="2"/>
        <v>867.9</v>
      </c>
      <c r="P46" s="41">
        <f t="shared" si="3"/>
        <v>1653368</v>
      </c>
      <c r="Q46" s="41">
        <f t="shared" si="4"/>
        <v>1735800</v>
      </c>
      <c r="R46" s="44"/>
      <c r="S46" s="44">
        <f>IF(I46&lt;&gt;"",_xlfn.XLOOKUP(D$4+I46,A$26:A$145,$C$26:$C$145,0) * 1000,"")</f>
        <v>450.24863016916413</v>
      </c>
      <c r="T46" s="52">
        <f t="shared" si="29"/>
        <v>0</v>
      </c>
      <c r="U46" s="53">
        <f t="shared" si="15"/>
        <v>1.4941590285918627E-3</v>
      </c>
      <c r="V46" s="53">
        <f t="shared" si="16"/>
        <v>6.7274305587837512E-4</v>
      </c>
      <c r="W46" s="53">
        <f t="shared" si="17"/>
        <v>0</v>
      </c>
      <c r="X46" s="46">
        <f t="shared" si="5"/>
        <v>8.2141597271348759E-4</v>
      </c>
      <c r="Y46" s="54"/>
      <c r="Z46" s="41">
        <f t="shared" si="18"/>
        <v>2576.6413849899809</v>
      </c>
      <c r="AA46" s="41">
        <f t="shared" si="19"/>
        <v>29.883180571837254</v>
      </c>
      <c r="AB46" s="41">
        <f t="shared" si="6"/>
        <v>1425.8138454360717</v>
      </c>
      <c r="AC46" s="41">
        <f t="shared" si="7"/>
        <v>16.428319454269751</v>
      </c>
      <c r="AD46" s="54"/>
      <c r="AE46" s="41">
        <f t="shared" si="8"/>
        <v>0</v>
      </c>
      <c r="AF46" s="41"/>
      <c r="AG46" s="41">
        <f t="shared" si="9"/>
        <v>-2.053539931783719E-2</v>
      </c>
      <c r="AH46" s="41">
        <f t="shared" si="20"/>
        <v>-1345.4861117567502</v>
      </c>
      <c r="AI46" s="41">
        <f t="shared" si="21"/>
        <v>0</v>
      </c>
      <c r="AJ46" s="41">
        <f t="shared" si="10"/>
        <v>-1345.5066471560681</v>
      </c>
      <c r="AK46" s="41">
        <f t="shared" si="11"/>
        <v>1150.8275395539092</v>
      </c>
      <c r="AL46" s="41">
        <f t="shared" si="22"/>
        <v>104.26098262247274</v>
      </c>
      <c r="AM46" s="41">
        <f t="shared" si="12"/>
        <v>-90.418124979686127</v>
      </c>
      <c r="AN46" s="41">
        <f t="shared" si="13"/>
        <v>13.454861117567503</v>
      </c>
      <c r="AO46" s="41">
        <f t="shared" si="14"/>
        <v>-76.963263862118623</v>
      </c>
      <c r="AP46" s="45"/>
      <c r="AQ46" s="55"/>
      <c r="AR46" s="48"/>
      <c r="AS46" s="48"/>
      <c r="AT46" s="51">
        <f t="shared" si="23"/>
        <v>42</v>
      </c>
      <c r="AU46" s="49">
        <f t="shared" si="24"/>
        <v>1.4941590285918627E-3</v>
      </c>
      <c r="AV46" s="49">
        <f t="shared" si="25"/>
        <v>6.7274305587837512E-4</v>
      </c>
      <c r="AW46" s="50">
        <f xml:space="preserve"> IF(ISERROR(ROUND((1000*NPV($AT$1,$AV47:$AV$124)-$AW$1*($AU47+NPV($AT$1,$AU48:$AU$124)))/AU47,3)), 0, ROUND((1000*NPV($AT$1,$AV47:$AV$124)-$AW$1*($AU47+NPV($AT$1,$AU48:$AU$124)))/AU47,3))</f>
        <v>867.9</v>
      </c>
      <c r="AX46" s="50">
        <f>IF(ISERROR(ROUND(MAX(0,1000*NPV($AT$2,$AV47:$AV$124)-$AW$2*($AU47+NPV($AT$2,$AU48:$AU$124)))/AU47,3)), 0, ROUND(MAX(0,1000*NPV($AT$2,$AV47:$AV$124)-$AW$2*($AU47+NPV($AT$2,$AU48:$AU$124)))/AU47,3))</f>
        <v>826.68399999999997</v>
      </c>
    </row>
    <row r="47" spans="1:50" ht="15" x14ac:dyDescent="0.25">
      <c r="A47">
        <v>22</v>
      </c>
      <c r="B47">
        <v>3.7146846353486302E-4</v>
      </c>
      <c r="C47">
        <f t="shared" si="30"/>
        <v>3.4918035572277121E-4</v>
      </c>
      <c r="D47" s="60">
        <v>57</v>
      </c>
      <c r="E47" s="5">
        <v>1309280.4157309553</v>
      </c>
      <c r="F47" s="5">
        <v>53399.987448297907</v>
      </c>
      <c r="G47" s="8"/>
      <c r="H47" s="4"/>
      <c r="I47" s="51">
        <v>43</v>
      </c>
      <c r="J47" s="41"/>
      <c r="K47" s="41" t="str">
        <f t="shared" si="26"/>
        <v/>
      </c>
      <c r="L47" s="42">
        <f t="shared" si="27"/>
        <v>25</v>
      </c>
      <c r="M47" s="41">
        <f t="shared" si="28"/>
        <v>2000000</v>
      </c>
      <c r="N47" s="43">
        <f t="shared" si="1"/>
        <v>833.49699999999996</v>
      </c>
      <c r="O47" s="44">
        <f t="shared" si="2"/>
        <v>873.26300000000003</v>
      </c>
      <c r="P47" s="41">
        <f t="shared" si="3"/>
        <v>1666994</v>
      </c>
      <c r="Q47" s="41">
        <f t="shared" si="4"/>
        <v>1746526</v>
      </c>
      <c r="R47" s="44"/>
      <c r="S47" s="44">
        <f>IF(I47&lt;&gt;"",_xlfn.XLOOKUP(D$4+I47,A$26:A$145,$C$26:$C$145,0) * 1000,"")</f>
        <v>473.44953109471612</v>
      </c>
      <c r="T47" s="52">
        <f t="shared" si="29"/>
        <v>0</v>
      </c>
      <c r="U47" s="53">
        <f t="shared" si="15"/>
        <v>8.2141597271348759E-4</v>
      </c>
      <c r="V47" s="53">
        <f t="shared" si="16"/>
        <v>3.8889900711491082E-4</v>
      </c>
      <c r="W47" s="53">
        <f t="shared" si="17"/>
        <v>0</v>
      </c>
      <c r="X47" s="46">
        <f t="shared" si="5"/>
        <v>4.3251696559857677E-4</v>
      </c>
      <c r="Y47" s="54"/>
      <c r="Z47" s="41">
        <f t="shared" si="18"/>
        <v>1425.8138454360717</v>
      </c>
      <c r="AA47" s="41">
        <f t="shared" si="19"/>
        <v>16.428319454269751</v>
      </c>
      <c r="AB47" s="41">
        <f t="shared" si="6"/>
        <v>755.40212585901986</v>
      </c>
      <c r="AC47" s="41">
        <f t="shared" si="7"/>
        <v>8.6503393119715355</v>
      </c>
      <c r="AD47" s="54"/>
      <c r="AE47" s="41">
        <f t="shared" si="8"/>
        <v>0</v>
      </c>
      <c r="AF47" s="41"/>
      <c r="AG47" s="41">
        <f t="shared" si="9"/>
        <v>-1.081292413996442E-2</v>
      </c>
      <c r="AH47" s="41">
        <f t="shared" si="20"/>
        <v>-777.79801422982166</v>
      </c>
      <c r="AI47" s="41">
        <f t="shared" si="21"/>
        <v>0</v>
      </c>
      <c r="AJ47" s="41">
        <f t="shared" si="10"/>
        <v>-777.8088271539616</v>
      </c>
      <c r="AK47" s="41">
        <f t="shared" si="11"/>
        <v>670.41171957705183</v>
      </c>
      <c r="AL47" s="41">
        <f t="shared" si="22"/>
        <v>57.689686595613658</v>
      </c>
      <c r="AM47" s="41">
        <f t="shared" si="12"/>
        <v>-49.707420981296117</v>
      </c>
      <c r="AN47" s="41">
        <f t="shared" si="13"/>
        <v>7.7779801422982153</v>
      </c>
      <c r="AO47" s="41">
        <f t="shared" si="14"/>
        <v>-41.929440838997905</v>
      </c>
      <c r="AP47" s="45"/>
      <c r="AQ47" s="55"/>
      <c r="AR47" s="48"/>
      <c r="AS47" s="48"/>
      <c r="AT47" s="51">
        <f t="shared" si="23"/>
        <v>43</v>
      </c>
      <c r="AU47" s="49">
        <f t="shared" si="24"/>
        <v>8.2141597271348759E-4</v>
      </c>
      <c r="AV47" s="49">
        <f t="shared" si="25"/>
        <v>3.8889900711491082E-4</v>
      </c>
      <c r="AW47" s="50">
        <f xml:space="preserve"> IF(ISERROR(ROUND((1000*NPV($AT$1,$AV48:$AV$124)-$AW$1*($AU48+NPV($AT$1,$AU49:$AU$124)))/AU48,3)), 0, ROUND((1000*NPV($AT$1,$AV48:$AV$124)-$AW$1*($AU48+NPV($AT$1,$AU49:$AU$124)))/AU48,3))</f>
        <v>873.26300000000003</v>
      </c>
      <c r="AX47" s="50">
        <f>IF(ISERROR(ROUND(MAX(0,1000*NPV($AT$2,$AV48:$AV$124)-$AW$2*($AU48+NPV($AT$2,$AU49:$AU$124)))/AU48,3)), 0, ROUND(MAX(0,1000*NPV($AT$2,$AV48:$AV$124)-$AW$2*($AU48+NPV($AT$2,$AU49:$AU$124)))/AU48,3))</f>
        <v>833.49699999999996</v>
      </c>
    </row>
    <row r="48" spans="1:50" ht="15" x14ac:dyDescent="0.25">
      <c r="A48">
        <v>23</v>
      </c>
      <c r="B48">
        <v>3.8552094334432001E-4</v>
      </c>
      <c r="C48">
        <f t="shared" si="30"/>
        <v>3.6238968674366082E-4</v>
      </c>
      <c r="D48" s="60">
        <v>58</v>
      </c>
      <c r="E48" s="5">
        <v>1351594.6156881731</v>
      </c>
      <c r="F48" s="5">
        <v>54945.796212596353</v>
      </c>
      <c r="G48" s="8"/>
      <c r="H48" s="4"/>
      <c r="I48" s="51">
        <v>44</v>
      </c>
      <c r="J48" s="41"/>
      <c r="K48" s="41" t="str">
        <f t="shared" si="26"/>
        <v/>
      </c>
      <c r="L48" s="42">
        <f t="shared" si="27"/>
        <v>25</v>
      </c>
      <c r="M48" s="41">
        <f t="shared" si="28"/>
        <v>2000000</v>
      </c>
      <c r="N48" s="43">
        <f t="shared" si="1"/>
        <v>840.08100000000002</v>
      </c>
      <c r="O48" s="44">
        <f t="shared" si="2"/>
        <v>878.43299999999999</v>
      </c>
      <c r="P48" s="41">
        <f t="shared" si="3"/>
        <v>1680162</v>
      </c>
      <c r="Q48" s="41">
        <f t="shared" si="4"/>
        <v>1756866</v>
      </c>
      <c r="R48" s="44"/>
      <c r="S48" s="44">
        <f>IF(I48&lt;&gt;"",_xlfn.XLOOKUP(D$4+I48,A$26:A$145,$C$26:$C$145,0) * 1000,"")</f>
        <v>496.93116478182696</v>
      </c>
      <c r="T48" s="52">
        <f t="shared" si="29"/>
        <v>0</v>
      </c>
      <c r="U48" s="53">
        <f t="shared" si="15"/>
        <v>4.3251696559857677E-4</v>
      </c>
      <c r="V48" s="53">
        <f t="shared" si="16"/>
        <v>2.1493115950280215E-4</v>
      </c>
      <c r="W48" s="53">
        <f t="shared" si="17"/>
        <v>0</v>
      </c>
      <c r="X48" s="46">
        <f t="shared" si="5"/>
        <v>2.1758580609577461E-4</v>
      </c>
      <c r="Y48" s="54"/>
      <c r="Z48" s="41">
        <f t="shared" si="18"/>
        <v>755.40212585901986</v>
      </c>
      <c r="AA48" s="41">
        <f t="shared" si="19"/>
        <v>8.6503393119715355</v>
      </c>
      <c r="AB48" s="41">
        <f t="shared" si="6"/>
        <v>382.26910481225917</v>
      </c>
      <c r="AC48" s="41">
        <f t="shared" si="7"/>
        <v>4.3517161219154925</v>
      </c>
      <c r="AD48" s="54"/>
      <c r="AE48" s="41">
        <f t="shared" si="8"/>
        <v>0</v>
      </c>
      <c r="AF48" s="41"/>
      <c r="AG48" s="41">
        <f t="shared" si="9"/>
        <v>-5.4396451523943653E-3</v>
      </c>
      <c r="AH48" s="41">
        <f t="shared" si="20"/>
        <v>-429.86231900560432</v>
      </c>
      <c r="AI48" s="41">
        <f t="shared" si="21"/>
        <v>0</v>
      </c>
      <c r="AJ48" s="41">
        <f t="shared" si="10"/>
        <v>-429.86775865075674</v>
      </c>
      <c r="AK48" s="41">
        <f t="shared" si="11"/>
        <v>373.13302104676069</v>
      </c>
      <c r="AL48" s="41">
        <f t="shared" si="22"/>
        <v>30.562098606839655</v>
      </c>
      <c r="AM48" s="41">
        <f t="shared" si="12"/>
        <v>-26.172638997156398</v>
      </c>
      <c r="AN48" s="41">
        <f t="shared" si="13"/>
        <v>4.298623190056043</v>
      </c>
      <c r="AO48" s="41">
        <f t="shared" si="14"/>
        <v>-21.874015807100356</v>
      </c>
      <c r="AP48" s="45"/>
      <c r="AQ48" s="55"/>
      <c r="AR48" s="48"/>
      <c r="AS48" s="48"/>
      <c r="AT48" s="51">
        <f t="shared" si="23"/>
        <v>44</v>
      </c>
      <c r="AU48" s="49">
        <f t="shared" si="24"/>
        <v>4.3251696559857677E-4</v>
      </c>
      <c r="AV48" s="49">
        <f t="shared" si="25"/>
        <v>2.1493115950280215E-4</v>
      </c>
      <c r="AW48" s="50">
        <f xml:space="preserve"> IF(ISERROR(ROUND((1000*NPV($AT$1,$AV49:$AV$124)-$AW$1*($AU49+NPV($AT$1,$AU50:$AU$124)))/AU49,3)), 0, ROUND((1000*NPV($AT$1,$AV49:$AV$124)-$AW$1*($AU49+NPV($AT$1,$AU50:$AU$124)))/AU49,3))</f>
        <v>878.43299999999999</v>
      </c>
      <c r="AX48" s="50">
        <f>IF(ISERROR(ROUND(MAX(0,1000*NPV($AT$2,$AV49:$AV$124)-$AW$2*($AU49+NPV($AT$2,$AU50:$AU$124)))/AU49,3)), 0, ROUND(MAX(0,1000*NPV($AT$2,$AV49:$AV$124)-$AW$2*($AU49+NPV($AT$2,$AU50:$AU$124)))/AU49,3))</f>
        <v>840.08100000000002</v>
      </c>
    </row>
    <row r="49" spans="1:50" ht="15" x14ac:dyDescent="0.25">
      <c r="A49">
        <v>24</v>
      </c>
      <c r="B49">
        <v>3.8702470831519803E-4</v>
      </c>
      <c r="C49">
        <f t="shared" si="30"/>
        <v>3.6380322581628613E-4</v>
      </c>
      <c r="D49" s="60">
        <v>59</v>
      </c>
      <c r="E49" s="5">
        <v>1394879.6518742007</v>
      </c>
      <c r="F49" s="5">
        <v>56516.045487102354</v>
      </c>
      <c r="G49" s="8"/>
      <c r="H49" s="4"/>
      <c r="I49" s="51">
        <v>45</v>
      </c>
      <c r="J49" s="41"/>
      <c r="K49" s="41" t="str">
        <f t="shared" si="26"/>
        <v/>
      </c>
      <c r="L49" s="42">
        <f t="shared" si="27"/>
        <v>25</v>
      </c>
      <c r="M49" s="41">
        <f t="shared" si="28"/>
        <v>2000000</v>
      </c>
      <c r="N49" s="43">
        <f t="shared" si="1"/>
        <v>846.75099999999998</v>
      </c>
      <c r="O49" s="44">
        <f t="shared" si="2"/>
        <v>883.65200000000004</v>
      </c>
      <c r="P49" s="41">
        <f t="shared" si="3"/>
        <v>1693502</v>
      </c>
      <c r="Q49" s="41">
        <f t="shared" si="4"/>
        <v>1767304</v>
      </c>
      <c r="R49" s="44"/>
      <c r="S49" s="44">
        <f>IF(I49&lt;&gt;"",_xlfn.XLOOKUP(D$4+I49,A$26:A$145,$C$26:$C$145,0) * 1000,"")</f>
        <v>520.5766824071751</v>
      </c>
      <c r="T49" s="52">
        <f t="shared" si="29"/>
        <v>0</v>
      </c>
      <c r="U49" s="53">
        <f t="shared" si="15"/>
        <v>2.1758580609577461E-4</v>
      </c>
      <c r="V49" s="53">
        <f t="shared" si="16"/>
        <v>1.1327009707622925E-4</v>
      </c>
      <c r="W49" s="53">
        <f t="shared" si="17"/>
        <v>0</v>
      </c>
      <c r="X49" s="46">
        <f t="shared" si="5"/>
        <v>1.0431570901954537E-4</v>
      </c>
      <c r="Y49" s="54"/>
      <c r="Z49" s="41">
        <f t="shared" si="18"/>
        <v>382.26910481225917</v>
      </c>
      <c r="AA49" s="41">
        <f t="shared" si="19"/>
        <v>4.3517161219154925</v>
      </c>
      <c r="AB49" s="41">
        <f t="shared" si="6"/>
        <v>184.35756981307861</v>
      </c>
      <c r="AC49" s="41">
        <f t="shared" si="7"/>
        <v>2.0863141803909073</v>
      </c>
      <c r="AD49" s="54"/>
      <c r="AE49" s="41">
        <f t="shared" si="8"/>
        <v>0</v>
      </c>
      <c r="AF49" s="41"/>
      <c r="AG49" s="41">
        <f t="shared" si="9"/>
        <v>-2.6078927254886341E-3</v>
      </c>
      <c r="AH49" s="41">
        <f t="shared" si="20"/>
        <v>-226.5401941524585</v>
      </c>
      <c r="AI49" s="41">
        <f t="shared" si="21"/>
        <v>0</v>
      </c>
      <c r="AJ49" s="41">
        <f t="shared" si="10"/>
        <v>-226.54280204518398</v>
      </c>
      <c r="AK49" s="41">
        <f t="shared" si="11"/>
        <v>197.91153499918056</v>
      </c>
      <c r="AL49" s="41">
        <f t="shared" si="22"/>
        <v>15.464832837366988</v>
      </c>
      <c r="AM49" s="41">
        <f t="shared" si="12"/>
        <v>-13.166434208636428</v>
      </c>
      <c r="AN49" s="41">
        <f t="shared" si="13"/>
        <v>2.2654019415245852</v>
      </c>
      <c r="AO49" s="41">
        <f t="shared" si="14"/>
        <v>-10.901032267111843</v>
      </c>
      <c r="AP49" s="45"/>
      <c r="AQ49" s="45"/>
      <c r="AR49" s="48"/>
      <c r="AS49" s="48"/>
      <c r="AT49" s="51">
        <f t="shared" si="23"/>
        <v>45</v>
      </c>
      <c r="AU49" s="49">
        <f t="shared" si="24"/>
        <v>2.1758580609577461E-4</v>
      </c>
      <c r="AV49" s="49">
        <f t="shared" si="25"/>
        <v>1.1327009707622925E-4</v>
      </c>
      <c r="AW49" s="50">
        <f xml:space="preserve"> IF(ISERROR(ROUND((1000*NPV($AT$1,$AV50:$AV$124)-$AW$1*($AU50+NPV($AT$1,$AU51:$AU$124)))/AU50,3)), 0, ROUND((1000*NPV($AT$1,$AV50:$AV$124)-$AW$1*($AU50+NPV($AT$1,$AU51:$AU$124)))/AU50,3))</f>
        <v>883.65200000000004</v>
      </c>
      <c r="AX49" s="50">
        <f>IF(ISERROR(ROUND(MAX(0,1000*NPV($AT$2,$AV50:$AV$124)-$AW$2*($AU50+NPV($AT$2,$AU51:$AU$124)))/AU50,3)), 0, ROUND(MAX(0,1000*NPV($AT$2,$AV50:$AV$124)-$AW$2*($AU50+NPV($AT$2,$AU51:$AU$124)))/AU50,3))</f>
        <v>846.75099999999998</v>
      </c>
    </row>
    <row r="50" spans="1:50" ht="15" x14ac:dyDescent="0.25">
      <c r="A50">
        <v>25</v>
      </c>
      <c r="B50">
        <v>3.8902972969090399E-4</v>
      </c>
      <c r="C50">
        <f t="shared" si="30"/>
        <v>3.6568794590944974E-4</v>
      </c>
      <c r="D50" s="60">
        <v>60</v>
      </c>
      <c r="E50" s="5">
        <v>1439062.8677493036</v>
      </c>
      <c r="F50" s="5">
        <v>58105.588693109457</v>
      </c>
      <c r="G50" s="8"/>
      <c r="H50" s="4"/>
      <c r="I50" s="51">
        <v>46</v>
      </c>
      <c r="J50" s="41"/>
      <c r="K50" s="41" t="str">
        <f t="shared" si="26"/>
        <v/>
      </c>
      <c r="L50" s="42">
        <f t="shared" si="27"/>
        <v>25</v>
      </c>
      <c r="M50" s="41">
        <f t="shared" si="28"/>
        <v>2000000</v>
      </c>
      <c r="N50" s="43">
        <f t="shared" si="1"/>
        <v>852.96799999999996</v>
      </c>
      <c r="O50" s="44">
        <f t="shared" si="2"/>
        <v>888.50699999999995</v>
      </c>
      <c r="P50" s="41">
        <f t="shared" si="3"/>
        <v>1705936</v>
      </c>
      <c r="Q50" s="41">
        <f t="shared" si="4"/>
        <v>1777014</v>
      </c>
      <c r="R50" s="44"/>
      <c r="S50" s="44">
        <f>IF(I50&lt;&gt;"",_xlfn.XLOOKUP(D$4+I50,A$26:A$145,$C$26:$C$145,0) * 1000,"")</f>
        <v>548.39153225248049</v>
      </c>
      <c r="T50" s="52">
        <f t="shared" si="29"/>
        <v>0</v>
      </c>
      <c r="U50" s="53">
        <f t="shared" si="15"/>
        <v>1.0431570901954537E-4</v>
      </c>
      <c r="V50" s="53">
        <f t="shared" si="16"/>
        <v>5.7205851507232385E-5</v>
      </c>
      <c r="W50" s="53">
        <f t="shared" si="17"/>
        <v>0</v>
      </c>
      <c r="X50" s="46">
        <f t="shared" si="5"/>
        <v>4.7109857512312981E-5</v>
      </c>
      <c r="Y50" s="54"/>
      <c r="Z50" s="41">
        <f t="shared" si="18"/>
        <v>184.35756981307861</v>
      </c>
      <c r="AA50" s="41">
        <f t="shared" si="19"/>
        <v>2.0863141803909073</v>
      </c>
      <c r="AB50" s="41">
        <f t="shared" si="6"/>
        <v>83.714876337385334</v>
      </c>
      <c r="AC50" s="41">
        <f t="shared" si="7"/>
        <v>0.94219715024625961</v>
      </c>
      <c r="AD50" s="54"/>
      <c r="AE50" s="41">
        <f t="shared" si="8"/>
        <v>0</v>
      </c>
      <c r="AF50" s="41"/>
      <c r="AG50" s="41">
        <f t="shared" si="9"/>
        <v>-1.1777464378078244E-3</v>
      </c>
      <c r="AH50" s="41">
        <f t="shared" si="20"/>
        <v>-114.41170301446478</v>
      </c>
      <c r="AI50" s="41">
        <f t="shared" si="21"/>
        <v>0</v>
      </c>
      <c r="AJ50" s="41">
        <f t="shared" si="10"/>
        <v>-114.41288076090258</v>
      </c>
      <c r="AK50" s="41">
        <f t="shared" si="11"/>
        <v>100.64269347569328</v>
      </c>
      <c r="AL50" s="41">
        <f t="shared" si="22"/>
        <v>7.4577553597387807</v>
      </c>
      <c r="AM50" s="41">
        <f t="shared" si="12"/>
        <v>-6.3124319254705226</v>
      </c>
      <c r="AN50" s="41">
        <f t="shared" si="13"/>
        <v>1.1441170301446477</v>
      </c>
      <c r="AO50" s="41">
        <f t="shared" si="14"/>
        <v>-5.1683148953258744</v>
      </c>
      <c r="AP50" s="45"/>
      <c r="AQ50" s="45"/>
      <c r="AR50" s="48"/>
      <c r="AS50" s="48"/>
      <c r="AT50" s="51">
        <f t="shared" si="23"/>
        <v>46</v>
      </c>
      <c r="AU50" s="49">
        <f t="shared" si="24"/>
        <v>1.0431570901954537E-4</v>
      </c>
      <c r="AV50" s="49">
        <f t="shared" si="25"/>
        <v>5.7205851507232385E-5</v>
      </c>
      <c r="AW50" s="50">
        <f xml:space="preserve"> IF(ISERROR(ROUND((1000*NPV($AT$1,$AV51:$AV$124)-$AW$1*($AU51+NPV($AT$1,$AU52:$AU$124)))/AU51,3)), 0, ROUND((1000*NPV($AT$1,$AV51:$AV$124)-$AW$1*($AU51+NPV($AT$1,$AU52:$AU$124)))/AU51,3))</f>
        <v>888.50699999999995</v>
      </c>
      <c r="AX50" s="50">
        <f>IF(ISERROR(ROUND(MAX(0,1000*NPV($AT$2,$AV51:$AV$124)-$AW$2*($AU51+NPV($AT$2,$AU52:$AU$124)))/AU51,3)), 0, ROUND(MAX(0,1000*NPV($AT$2,$AV51:$AV$124)-$AW$2*($AU51+NPV($AT$2,$AU52:$AU$124)))/AU51,3))</f>
        <v>852.96799999999996</v>
      </c>
    </row>
    <row r="51" spans="1:50" ht="15" x14ac:dyDescent="0.25">
      <c r="A51">
        <v>26</v>
      </c>
      <c r="B51">
        <v>3.6570937634672302E-4</v>
      </c>
      <c r="C51">
        <f t="shared" si="30"/>
        <v>3.4376681376591963E-4</v>
      </c>
      <c r="D51" s="60">
        <v>61</v>
      </c>
      <c r="E51" s="5">
        <v>1484170.2709719567</v>
      </c>
      <c r="F51" s="5">
        <v>59715.363675388275</v>
      </c>
      <c r="G51" s="8"/>
      <c r="H51" s="4"/>
      <c r="I51" s="51">
        <v>47</v>
      </c>
      <c r="J51" s="41"/>
      <c r="K51" s="41" t="str">
        <f t="shared" si="26"/>
        <v/>
      </c>
      <c r="L51" s="42">
        <f t="shared" si="27"/>
        <v>25</v>
      </c>
      <c r="M51" s="41">
        <f t="shared" si="28"/>
        <v>2000000</v>
      </c>
      <c r="N51" s="43">
        <f t="shared" si="1"/>
        <v>858.77599999999995</v>
      </c>
      <c r="O51" s="44">
        <f t="shared" si="2"/>
        <v>893.03300000000002</v>
      </c>
      <c r="P51" s="41">
        <f t="shared" si="3"/>
        <v>1717552</v>
      </c>
      <c r="Q51" s="41">
        <f t="shared" si="4"/>
        <v>1786066</v>
      </c>
      <c r="R51" s="44"/>
      <c r="S51" s="44">
        <f>IF(I51&lt;&gt;"",_xlfn.XLOOKUP(D$4+I51,A$26:A$145,$C$26:$C$145,0) * 1000,"")</f>
        <v>576.4801188797021</v>
      </c>
      <c r="T51" s="52">
        <f t="shared" si="29"/>
        <v>0</v>
      </c>
      <c r="U51" s="53">
        <f t="shared" si="15"/>
        <v>4.7109857512312981E-5</v>
      </c>
      <c r="V51" s="53">
        <f t="shared" si="16"/>
        <v>2.7157896259104013E-5</v>
      </c>
      <c r="W51" s="53">
        <f t="shared" si="17"/>
        <v>0</v>
      </c>
      <c r="X51" s="46">
        <f t="shared" si="5"/>
        <v>1.9951961253208968E-5</v>
      </c>
      <c r="Y51" s="54"/>
      <c r="Z51" s="41">
        <f t="shared" si="18"/>
        <v>83.714876337385334</v>
      </c>
      <c r="AA51" s="41">
        <f t="shared" si="19"/>
        <v>0.94219715024625961</v>
      </c>
      <c r="AB51" s="41">
        <f t="shared" si="6"/>
        <v>35.635519627673929</v>
      </c>
      <c r="AC51" s="41">
        <f t="shared" si="7"/>
        <v>0.39903922506417938</v>
      </c>
      <c r="AD51" s="54"/>
      <c r="AE51" s="41">
        <f t="shared" si="8"/>
        <v>0</v>
      </c>
      <c r="AF51" s="41"/>
      <c r="AG51" s="41">
        <f t="shared" si="9"/>
        <v>-4.9879903133022419E-4</v>
      </c>
      <c r="AH51" s="41">
        <f t="shared" si="20"/>
        <v>-54.315792518208028</v>
      </c>
      <c r="AI51" s="41">
        <f t="shared" si="21"/>
        <v>0</v>
      </c>
      <c r="AJ51" s="41">
        <f t="shared" si="10"/>
        <v>-54.316291317239354</v>
      </c>
      <c r="AK51" s="41">
        <f t="shared" si="11"/>
        <v>48.079356709711405</v>
      </c>
      <c r="AL51" s="41">
        <f t="shared" si="22"/>
        <v>3.3862829395052638</v>
      </c>
      <c r="AM51" s="41">
        <f t="shared" si="12"/>
        <v>-2.8506516680226857</v>
      </c>
      <c r="AN51" s="41">
        <f t="shared" si="13"/>
        <v>0.54315792518208017</v>
      </c>
      <c r="AO51" s="41">
        <f t="shared" si="14"/>
        <v>-2.3074937428406055</v>
      </c>
      <c r="AP51" s="45"/>
      <c r="AQ51" s="45"/>
      <c r="AR51" s="48"/>
      <c r="AS51" s="48"/>
      <c r="AT51" s="51">
        <f t="shared" si="23"/>
        <v>47</v>
      </c>
      <c r="AU51" s="49">
        <f t="shared" si="24"/>
        <v>4.7109857512312981E-5</v>
      </c>
      <c r="AV51" s="49">
        <f t="shared" si="25"/>
        <v>2.7157896259104013E-5</v>
      </c>
      <c r="AW51" s="50">
        <f xml:space="preserve"> IF(ISERROR(ROUND((1000*NPV($AT$1,$AV52:$AV$124)-$AW$1*($AU52+NPV($AT$1,$AU53:$AU$124)))/AU52,3)), 0, ROUND((1000*NPV($AT$1,$AV52:$AV$124)-$AW$1*($AU52+NPV($AT$1,$AU53:$AU$124)))/AU52,3))</f>
        <v>893.03300000000002</v>
      </c>
      <c r="AX51" s="50">
        <f>IF(ISERROR(ROUND(MAX(0,1000*NPV($AT$2,$AV52:$AV$124)-$AW$2*($AU52+NPV($AT$2,$AU53:$AU$124)))/AU52,3)), 0, ROUND(MAX(0,1000*NPV($AT$2,$AV52:$AV$124)-$AW$2*($AU52+NPV($AT$2,$AU53:$AU$124)))/AU52,3))</f>
        <v>858.77599999999995</v>
      </c>
    </row>
    <row r="52" spans="1:50" ht="15" x14ac:dyDescent="0.25">
      <c r="A52">
        <v>27</v>
      </c>
      <c r="B52">
        <v>3.7385381998444899E-4</v>
      </c>
      <c r="C52">
        <f t="shared" si="30"/>
        <v>3.5142259078538204E-4</v>
      </c>
      <c r="D52" s="60">
        <v>62</v>
      </c>
      <c r="E52" s="5">
        <v>1530298.3203520209</v>
      </c>
      <c r="F52" s="5">
        <v>61350.487337394385</v>
      </c>
      <c r="G52" s="8"/>
      <c r="H52" s="4"/>
      <c r="I52" s="51">
        <v>48</v>
      </c>
      <c r="J52" s="41"/>
      <c r="K52" s="41" t="str">
        <f t="shared" si="26"/>
        <v/>
      </c>
      <c r="L52" s="42">
        <f t="shared" si="27"/>
        <v>25</v>
      </c>
      <c r="M52" s="41">
        <f t="shared" si="28"/>
        <v>2000000</v>
      </c>
      <c r="N52" s="43">
        <f t="shared" si="1"/>
        <v>864.21900000000005</v>
      </c>
      <c r="O52" s="44">
        <f t="shared" si="2"/>
        <v>897.26599999999996</v>
      </c>
      <c r="P52" s="41">
        <f t="shared" si="3"/>
        <v>1728438</v>
      </c>
      <c r="Q52" s="41">
        <f t="shared" si="4"/>
        <v>1794532</v>
      </c>
      <c r="R52" s="44"/>
      <c r="S52" s="44">
        <f>IF(I52&lt;&gt;"",_xlfn.XLOOKUP(D$4+I52,A$26:A$145,$C$26:$C$145,0) * 1000,"")</f>
        <v>604.84710575184704</v>
      </c>
      <c r="T52" s="52">
        <f t="shared" si="29"/>
        <v>0</v>
      </c>
      <c r="U52" s="53">
        <f t="shared" si="15"/>
        <v>1.9951961253208968E-5</v>
      </c>
      <c r="V52" s="53">
        <f t="shared" si="16"/>
        <v>1.2067886018076439E-5</v>
      </c>
      <c r="W52" s="53">
        <f t="shared" si="17"/>
        <v>0</v>
      </c>
      <c r="X52" s="46">
        <f t="shared" si="5"/>
        <v>7.884075235132529E-6</v>
      </c>
      <c r="Y52" s="54"/>
      <c r="Z52" s="41">
        <f t="shared" si="18"/>
        <v>35.635519627673929</v>
      </c>
      <c r="AA52" s="41">
        <f t="shared" si="19"/>
        <v>0.39903922506417938</v>
      </c>
      <c r="AB52" s="41">
        <f t="shared" si="6"/>
        <v>14.148225299852848</v>
      </c>
      <c r="AC52" s="41">
        <f t="shared" si="7"/>
        <v>0.15768150470265058</v>
      </c>
      <c r="AD52" s="54"/>
      <c r="AE52" s="41">
        <f t="shared" si="8"/>
        <v>0</v>
      </c>
      <c r="AF52" s="41"/>
      <c r="AG52" s="41">
        <f t="shared" si="9"/>
        <v>-1.9710188087831323E-4</v>
      </c>
      <c r="AH52" s="41">
        <f t="shared" si="20"/>
        <v>-24.135772036152879</v>
      </c>
      <c r="AI52" s="41">
        <f t="shared" si="21"/>
        <v>0</v>
      </c>
      <c r="AJ52" s="41">
        <f t="shared" si="10"/>
        <v>-24.135969138033758</v>
      </c>
      <c r="AK52" s="41">
        <f t="shared" si="11"/>
        <v>21.487294327821083</v>
      </c>
      <c r="AL52" s="41">
        <f t="shared" si="22"/>
        <v>1.4413823541095243</v>
      </c>
      <c r="AM52" s="41">
        <f>SUM(AJ52:AL52)</f>
        <v>-1.2072924561031511</v>
      </c>
      <c r="AN52" s="41">
        <f t="shared" si="13"/>
        <v>0.2413577203615288</v>
      </c>
      <c r="AO52" s="41">
        <f t="shared" si="14"/>
        <v>-0.96593473574162225</v>
      </c>
      <c r="AP52" s="45"/>
      <c r="AQ52" s="45"/>
      <c r="AR52" s="48"/>
      <c r="AS52" s="48"/>
      <c r="AT52" s="51">
        <f t="shared" si="23"/>
        <v>48</v>
      </c>
      <c r="AU52" s="49">
        <f t="shared" si="24"/>
        <v>1.9951961253208968E-5</v>
      </c>
      <c r="AV52" s="49">
        <f t="shared" si="25"/>
        <v>1.2067886018076439E-5</v>
      </c>
      <c r="AW52" s="50">
        <f xml:space="preserve"> IF(ISERROR(ROUND((1000*NPV($AT$1,$AV53:$AV$124)-$AW$1*($AU53+NPV($AT$1,$AU54:$AU$124)))/AU53,3)), 0, ROUND((1000*NPV($AT$1,$AV53:$AV$124)-$AW$1*($AU53+NPV($AT$1,$AU54:$AU$124)))/AU53,3))</f>
        <v>897.26599999999996</v>
      </c>
      <c r="AX52" s="50">
        <f>IF(ISERROR(ROUND(MAX(0,1000*NPV($AT$2,$AV53:$AV$124)-$AW$2*($AU53+NPV($AT$2,$AU54:$AU$124)))/AU53,3)), 0, ROUND(MAX(0,1000*NPV($AT$2,$AV53:$AV$124)-$AW$2*($AU53+NPV($AT$2,$AU54:$AU$124)))/AU53,3))</f>
        <v>864.21900000000005</v>
      </c>
    </row>
    <row r="53" spans="1:50" ht="15" x14ac:dyDescent="0.25">
      <c r="A53">
        <v>28</v>
      </c>
      <c r="B53">
        <v>3.8352575330280502E-4</v>
      </c>
      <c r="C53">
        <f t="shared" si="30"/>
        <v>3.605142081046367E-4</v>
      </c>
      <c r="D53" s="60">
        <v>63</v>
      </c>
      <c r="E53" s="5">
        <v>1577453.599860389</v>
      </c>
      <c r="F53" s="5">
        <v>63010.829769599135</v>
      </c>
      <c r="G53" s="8"/>
      <c r="H53" s="4"/>
      <c r="I53" s="51">
        <v>49</v>
      </c>
      <c r="J53" s="41"/>
      <c r="K53" s="41" t="str">
        <f t="shared" si="26"/>
        <v/>
      </c>
      <c r="L53" s="42">
        <f t="shared" si="27"/>
        <v>25</v>
      </c>
      <c r="M53" s="41">
        <f t="shared" si="28"/>
        <v>2000000</v>
      </c>
      <c r="N53" s="43">
        <f t="shared" si="1"/>
        <v>869.34500000000003</v>
      </c>
      <c r="O53" s="44">
        <f t="shared" si="2"/>
        <v>901.24599999999998</v>
      </c>
      <c r="P53" s="41">
        <f t="shared" si="3"/>
        <v>1738690</v>
      </c>
      <c r="Q53" s="41">
        <f t="shared" si="4"/>
        <v>1802492</v>
      </c>
      <c r="R53" s="44"/>
      <c r="S53" s="44">
        <f>IF(I53&lt;&gt;"",_xlfn.XLOOKUP(D$4+I53,A$26:A$145,$C$26:$C$145,0) * 1000,"")</f>
        <v>633.50407276618307</v>
      </c>
      <c r="T53" s="52">
        <f t="shared" si="29"/>
        <v>0</v>
      </c>
      <c r="U53" s="53">
        <f t="shared" si="15"/>
        <v>7.884075235132529E-6</v>
      </c>
      <c r="V53" s="53">
        <f t="shared" si="16"/>
        <v>4.9945937714514592E-6</v>
      </c>
      <c r="W53" s="53">
        <f t="shared" si="17"/>
        <v>0</v>
      </c>
      <c r="X53" s="46">
        <f t="shared" si="5"/>
        <v>2.8894814636810698E-6</v>
      </c>
      <c r="Y53" s="54"/>
      <c r="Z53" s="41">
        <f t="shared" si="18"/>
        <v>14.148225299852848</v>
      </c>
      <c r="AA53" s="41">
        <f t="shared" si="19"/>
        <v>0.15768150470265058</v>
      </c>
      <c r="AB53" s="41">
        <f t="shared" si="6"/>
        <v>5.2082672224334186</v>
      </c>
      <c r="AC53" s="41">
        <f t="shared" si="7"/>
        <v>5.7789629273621398E-2</v>
      </c>
      <c r="AD53" s="54"/>
      <c r="AE53" s="41">
        <f t="shared" si="8"/>
        <v>0</v>
      </c>
      <c r="AF53" s="41"/>
      <c r="AG53" s="41">
        <f t="shared" si="9"/>
        <v>-7.2237036592026751E-5</v>
      </c>
      <c r="AH53" s="41">
        <f t="shared" si="20"/>
        <v>-9.9891875429029184</v>
      </c>
      <c r="AI53" s="41">
        <f t="shared" si="21"/>
        <v>0</v>
      </c>
      <c r="AJ53" s="41">
        <f t="shared" si="10"/>
        <v>-9.9892597799395109</v>
      </c>
      <c r="AK53" s="41">
        <f t="shared" si="11"/>
        <v>8.9399580774194298</v>
      </c>
      <c r="AL53" s="41">
        <f t="shared" si="22"/>
        <v>0.57223627218221995</v>
      </c>
      <c r="AM53" s="41">
        <f t="shared" si="12"/>
        <v>-0.47706543033786108</v>
      </c>
      <c r="AN53" s="41">
        <f t="shared" si="13"/>
        <v>9.9891875429029178E-2</v>
      </c>
      <c r="AO53" s="41">
        <f t="shared" si="14"/>
        <v>-0.37717355490883192</v>
      </c>
      <c r="AP53" s="45"/>
      <c r="AQ53" s="45"/>
      <c r="AR53" s="48"/>
      <c r="AS53" s="48"/>
      <c r="AT53" s="51">
        <f t="shared" si="23"/>
        <v>49</v>
      </c>
      <c r="AU53" s="49">
        <f t="shared" si="24"/>
        <v>7.884075235132529E-6</v>
      </c>
      <c r="AV53" s="49">
        <f t="shared" si="25"/>
        <v>4.9945937714514592E-6</v>
      </c>
      <c r="AW53" s="50">
        <f xml:space="preserve"> IF(ISERROR(ROUND((1000*NPV($AT$1,$AV54:$AV$124)-$AW$1*($AU54+NPV($AT$1,$AU55:$AU$124)))/AU54,3)), 0, ROUND((1000*NPV($AT$1,$AV54:$AV$124)-$AW$1*($AU54+NPV($AT$1,$AU55:$AU$124)))/AU54,3))</f>
        <v>901.24599999999998</v>
      </c>
      <c r="AX53" s="50">
        <f>IF(ISERROR(ROUND(MAX(0,1000*NPV($AT$2,$AV54:$AV$124)-$AW$2*($AU54+NPV($AT$2,$AU55:$AU$124)))/AU54,3)), 0, ROUND(MAX(0,1000*NPV($AT$2,$AV54:$AV$124)-$AW$2*($AU54+NPV($AT$2,$AU55:$AU$124)))/AU54,3))</f>
        <v>869.34500000000003</v>
      </c>
    </row>
    <row r="54" spans="1:50" ht="15" x14ac:dyDescent="0.25">
      <c r="A54">
        <v>29</v>
      </c>
      <c r="B54">
        <v>3.9396555859716502E-4</v>
      </c>
      <c r="C54">
        <f t="shared" si="30"/>
        <v>3.703276250813351E-4</v>
      </c>
      <c r="D54" s="60">
        <v>64</v>
      </c>
      <c r="E54" s="5">
        <v>1625680.3649191908</v>
      </c>
      <c r="F54" s="5">
        <v>64698.435377132264</v>
      </c>
      <c r="G54" s="8"/>
      <c r="H54" s="4"/>
      <c r="I54" s="51">
        <v>50</v>
      </c>
      <c r="J54" s="41"/>
      <c r="K54" s="41" t="str">
        <f t="shared" si="26"/>
        <v/>
      </c>
      <c r="L54" s="42">
        <f t="shared" si="27"/>
        <v>25</v>
      </c>
      <c r="M54" s="41">
        <f t="shared" si="28"/>
        <v>2000000</v>
      </c>
      <c r="N54" s="43">
        <f t="shared" si="1"/>
        <v>874.23</v>
      </c>
      <c r="O54" s="44">
        <f t="shared" si="2"/>
        <v>905.03300000000002</v>
      </c>
      <c r="P54" s="41">
        <f t="shared" si="3"/>
        <v>1748460</v>
      </c>
      <c r="Q54" s="41">
        <f t="shared" si="4"/>
        <v>1810066</v>
      </c>
      <c r="R54" s="44"/>
      <c r="S54" s="44">
        <f>IF(I54&lt;&gt;"",_xlfn.XLOOKUP(D$4+I54,A$26:A$145,$C$26:$C$145,0) * 1000,"")</f>
        <v>662.47126335018811</v>
      </c>
      <c r="T54" s="52">
        <f t="shared" si="29"/>
        <v>0</v>
      </c>
      <c r="U54" s="53">
        <f t="shared" si="15"/>
        <v>2.8894814636810698E-6</v>
      </c>
      <c r="V54" s="53">
        <f t="shared" si="16"/>
        <v>1.914198435671749E-6</v>
      </c>
      <c r="W54" s="53">
        <f t="shared" si="17"/>
        <v>0</v>
      </c>
      <c r="X54" s="46">
        <f t="shared" si="5"/>
        <v>9.7528302800932081E-7</v>
      </c>
      <c r="Y54" s="54"/>
      <c r="Z54" s="41">
        <f t="shared" si="18"/>
        <v>5.2082672224334186</v>
      </c>
      <c r="AA54" s="41">
        <f t="shared" si="19"/>
        <v>5.7789629273621398E-2</v>
      </c>
      <c r="AB54" s="41">
        <f t="shared" si="6"/>
        <v>1.7653266493767192</v>
      </c>
      <c r="AC54" s="41">
        <f t="shared" si="7"/>
        <v>1.9505660560186416E-2</v>
      </c>
      <c r="AD54" s="54"/>
      <c r="AE54" s="41">
        <f t="shared" si="8"/>
        <v>0</v>
      </c>
      <c r="AF54" s="41"/>
      <c r="AG54" s="41">
        <f t="shared" si="9"/>
        <v>-2.438207570023302E-5</v>
      </c>
      <c r="AH54" s="41">
        <f t="shared" si="20"/>
        <v>-3.8283968713434979</v>
      </c>
      <c r="AI54" s="41">
        <f t="shared" si="21"/>
        <v>0</v>
      </c>
      <c r="AJ54" s="41">
        <f t="shared" si="10"/>
        <v>-3.8284212534191981</v>
      </c>
      <c r="AK54" s="41">
        <f t="shared" si="11"/>
        <v>3.4429405730566991</v>
      </c>
      <c r="AL54" s="41">
        <f t="shared" si="22"/>
        <v>0.21064227406828159</v>
      </c>
      <c r="AM54" s="41">
        <f t="shared" si="12"/>
        <v>-0.17483840629421746</v>
      </c>
      <c r="AN54" s="41">
        <f t="shared" si="13"/>
        <v>3.8283968713434979E-2</v>
      </c>
      <c r="AO54" s="41">
        <f t="shared" si="14"/>
        <v>-0.13655443758078248</v>
      </c>
      <c r="AP54" s="45"/>
      <c r="AQ54" s="45"/>
      <c r="AR54" s="48"/>
      <c r="AS54" s="48"/>
      <c r="AT54" s="51">
        <f t="shared" si="23"/>
        <v>50</v>
      </c>
      <c r="AU54" s="49">
        <f t="shared" si="24"/>
        <v>2.8894814636810698E-6</v>
      </c>
      <c r="AV54" s="49">
        <f t="shared" si="25"/>
        <v>1.914198435671749E-6</v>
      </c>
      <c r="AW54" s="50">
        <f xml:space="preserve"> IF(ISERROR(ROUND((1000*NPV($AT$1,$AV55:$AV$124)-$AW$1*($AU55+NPV($AT$1,$AU56:$AU$124)))/AU55,3)), 0, ROUND((1000*NPV($AT$1,$AV55:$AV$124)-$AW$1*($AU55+NPV($AT$1,$AU56:$AU$124)))/AU55,3))</f>
        <v>905.03300000000002</v>
      </c>
      <c r="AX54" s="50">
        <f>IF(ISERROR(ROUND(MAX(0,1000*NPV($AT$2,$AV55:$AV$124)-$AW$2*($AU55+NPV($AT$2,$AU56:$AU$124)))/AU55,3)), 0, ROUND(MAX(0,1000*NPV($AT$2,$AV55:$AV$124)-$AW$2*($AU55+NPV($AT$2,$AU56:$AU$124)))/AU55,3))</f>
        <v>874.23</v>
      </c>
    </row>
    <row r="55" spans="1:50" ht="15" x14ac:dyDescent="0.25">
      <c r="A55">
        <v>30</v>
      </c>
      <c r="B55">
        <v>4.07472642116602E-4</v>
      </c>
      <c r="C55">
        <f t="shared" si="30"/>
        <v>3.8302428358960588E-4</v>
      </c>
      <c r="D55" s="60">
        <v>65</v>
      </c>
      <c r="E55" s="5">
        <v>1674447.2565342933</v>
      </c>
      <c r="F55" s="5">
        <v>66382.405474651488</v>
      </c>
      <c r="G55" s="8"/>
      <c r="H55" s="4"/>
      <c r="I55" s="51">
        <v>51</v>
      </c>
      <c r="J55" s="41"/>
      <c r="K55" s="41" t="str">
        <f t="shared" si="26"/>
        <v/>
      </c>
      <c r="L55" s="42">
        <f t="shared" si="27"/>
        <v>25</v>
      </c>
      <c r="M55" s="41">
        <f t="shared" si="28"/>
        <v>2000000</v>
      </c>
      <c r="N55" s="43">
        <f t="shared" si="1"/>
        <v>879.005</v>
      </c>
      <c r="O55" s="44">
        <f t="shared" si="2"/>
        <v>908.73099999999999</v>
      </c>
      <c r="P55" s="41">
        <f t="shared" si="3"/>
        <v>1758010</v>
      </c>
      <c r="Q55" s="41">
        <f t="shared" si="4"/>
        <v>1817462</v>
      </c>
      <c r="R55" s="44"/>
      <c r="S55" s="44">
        <f>IF(I55&lt;&gt;"",_xlfn.XLOOKUP(D$4+I55,A$26:A$145,$C$26:$C$145,0) * 1000,"")</f>
        <v>691.9470503699647</v>
      </c>
      <c r="T55" s="52">
        <f t="shared" si="29"/>
        <v>0</v>
      </c>
      <c r="U55" s="53">
        <f t="shared" si="15"/>
        <v>9.7528302800932081E-7</v>
      </c>
      <c r="V55" s="53">
        <f t="shared" si="16"/>
        <v>6.7484421450693721E-7</v>
      </c>
      <c r="W55" s="53">
        <f t="shared" si="17"/>
        <v>0</v>
      </c>
      <c r="X55" s="46">
        <f t="shared" si="5"/>
        <v>3.004388135023836E-7</v>
      </c>
      <c r="Y55" s="54"/>
      <c r="Z55" s="41">
        <f t="shared" si="18"/>
        <v>1.7653266493767192</v>
      </c>
      <c r="AA55" s="41">
        <f t="shared" si="19"/>
        <v>1.9505660560186416E-2</v>
      </c>
      <c r="AB55" s="41">
        <f t="shared" si="6"/>
        <v>0.54603612686566905</v>
      </c>
      <c r="AC55" s="41">
        <f t="shared" si="7"/>
        <v>6.0087762700476721E-3</v>
      </c>
      <c r="AD55" s="54"/>
      <c r="AE55" s="41">
        <f t="shared" si="8"/>
        <v>0</v>
      </c>
      <c r="AF55" s="41"/>
      <c r="AG55" s="41">
        <f t="shared" si="9"/>
        <v>-7.5109703375595898E-6</v>
      </c>
      <c r="AH55" s="41">
        <f t="shared" si="20"/>
        <v>-1.3496884290138744</v>
      </c>
      <c r="AI55" s="41">
        <f t="shared" si="21"/>
        <v>0</v>
      </c>
      <c r="AJ55" s="41">
        <f t="shared" si="10"/>
        <v>-1.3496959399842119</v>
      </c>
      <c r="AK55" s="41">
        <f t="shared" si="11"/>
        <v>1.2192905225110502</v>
      </c>
      <c r="AL55" s="41">
        <f t="shared" si="22"/>
        <v>7.139329239747623E-2</v>
      </c>
      <c r="AM55" s="41">
        <f t="shared" si="12"/>
        <v>-5.901212507568547E-2</v>
      </c>
      <c r="AN55" s="41">
        <f t="shared" si="13"/>
        <v>1.3496884290138744E-2</v>
      </c>
      <c r="AO55" s="41">
        <f t="shared" si="14"/>
        <v>-4.5515240785546723E-2</v>
      </c>
      <c r="AP55" s="45"/>
      <c r="AQ55" s="45"/>
      <c r="AR55" s="48"/>
      <c r="AS55" s="48"/>
      <c r="AT55" s="51">
        <f t="shared" si="23"/>
        <v>51</v>
      </c>
      <c r="AU55" s="49">
        <f t="shared" si="24"/>
        <v>9.7528302800932081E-7</v>
      </c>
      <c r="AV55" s="49">
        <f t="shared" si="25"/>
        <v>6.7484421450693721E-7</v>
      </c>
      <c r="AW55" s="50">
        <f xml:space="preserve"> IF(ISERROR(ROUND((1000*NPV($AT$1,$AV56:$AV$124)-$AW$1*($AU56+NPV($AT$1,$AU57:$AU$124)))/AU56,3)), 0, ROUND((1000*NPV($AT$1,$AV56:$AV$124)-$AW$1*($AU56+NPV($AT$1,$AU57:$AU$124)))/AU56,3))</f>
        <v>908.73099999999999</v>
      </c>
      <c r="AX55" s="50">
        <f>IF(ISERROR(ROUND(MAX(0,1000*NPV($AT$2,$AV56:$AV$124)-$AW$2*($AU56+NPV($AT$2,$AU57:$AU$124)))/AU56,3)), 0, ROUND(MAX(0,1000*NPV($AT$2,$AV56:$AV$124)-$AW$2*($AU56+NPV($AT$2,$AU57:$AU$124)))/AU56,3))</f>
        <v>879.005</v>
      </c>
    </row>
    <row r="56" spans="1:50" ht="15" x14ac:dyDescent="0.25">
      <c r="A56">
        <v>31</v>
      </c>
      <c r="B56">
        <v>4.27609281482555E-4</v>
      </c>
      <c r="C56">
        <f t="shared" si="30"/>
        <v>4.0195272459360166E-4</v>
      </c>
      <c r="D56" s="60"/>
      <c r="E56" s="5"/>
      <c r="F56" s="5"/>
      <c r="G56" s="8"/>
      <c r="I56" s="51">
        <v>52</v>
      </c>
      <c r="J56" s="41"/>
      <c r="K56" s="41" t="str">
        <f t="shared" si="26"/>
        <v/>
      </c>
      <c r="L56" s="42">
        <f t="shared" si="27"/>
        <v>25</v>
      </c>
      <c r="M56" s="41">
        <f t="shared" si="28"/>
        <v>2000000</v>
      </c>
      <c r="N56" s="43">
        <f t="shared" si="1"/>
        <v>884.04899999999998</v>
      </c>
      <c r="O56" s="44">
        <f t="shared" si="2"/>
        <v>912.63699999999994</v>
      </c>
      <c r="P56" s="41">
        <f t="shared" si="3"/>
        <v>1768098</v>
      </c>
      <c r="Q56" s="41">
        <f t="shared" si="4"/>
        <v>1825274</v>
      </c>
      <c r="R56" s="44"/>
      <c r="S56" s="44">
        <f>IF(I56&lt;&gt;"",_xlfn.XLOOKUP(D$4+I56,A$26:A$145,$C$26:$C$145,0) * 1000,"")</f>
        <v>722.19228904241436</v>
      </c>
      <c r="T56" s="52">
        <f t="shared" si="29"/>
        <v>0</v>
      </c>
      <c r="U56" s="53">
        <f t="shared" si="15"/>
        <v>3.004388135023836E-7</v>
      </c>
      <c r="V56" s="53">
        <f t="shared" si="16"/>
        <v>2.1697459444047344E-7</v>
      </c>
      <c r="W56" s="53">
        <f t="shared" si="17"/>
        <v>0</v>
      </c>
      <c r="X56" s="46">
        <f t="shared" si="5"/>
        <v>8.3464219061910153E-8</v>
      </c>
      <c r="Y56" s="54"/>
      <c r="Z56" s="41">
        <f t="shared" si="18"/>
        <v>0.54603612686566905</v>
      </c>
      <c r="AA56" s="41">
        <f t="shared" si="19"/>
        <v>6.0087762700476721E-3</v>
      </c>
      <c r="AB56" s="41">
        <f t="shared" si="6"/>
        <v>0.15234506898400899</v>
      </c>
      <c r="AC56" s="41">
        <f t="shared" si="7"/>
        <v>1.6692843812382032E-3</v>
      </c>
      <c r="AD56" s="54"/>
      <c r="AE56" s="41">
        <f t="shared" si="8"/>
        <v>0</v>
      </c>
      <c r="AF56" s="41"/>
      <c r="AG56" s="41">
        <f t="shared" si="9"/>
        <v>-2.0866054765477538E-6</v>
      </c>
      <c r="AH56" s="41">
        <f t="shared" si="20"/>
        <v>-0.43394918888094691</v>
      </c>
      <c r="AI56" s="41">
        <f t="shared" si="21"/>
        <v>0</v>
      </c>
      <c r="AJ56" s="41">
        <f t="shared" si="10"/>
        <v>-0.43395127548642348</v>
      </c>
      <c r="AK56" s="41">
        <f t="shared" si="11"/>
        <v>0.39369105788166003</v>
      </c>
      <c r="AL56" s="41">
        <f t="shared" si="22"/>
        <v>2.2081796125428672E-2</v>
      </c>
      <c r="AM56" s="41">
        <f t="shared" si="12"/>
        <v>-1.8178421479334777E-2</v>
      </c>
      <c r="AN56" s="41">
        <f t="shared" si="13"/>
        <v>4.3394918888094687E-3</v>
      </c>
      <c r="AO56" s="41">
        <f t="shared" si="14"/>
        <v>-1.3838929590525309E-2</v>
      </c>
      <c r="AP56" s="45"/>
      <c r="AQ56" s="45"/>
      <c r="AR56" s="48"/>
      <c r="AS56" s="48"/>
      <c r="AT56" s="51">
        <f t="shared" si="23"/>
        <v>52</v>
      </c>
      <c r="AU56" s="49">
        <f t="shared" si="24"/>
        <v>3.004388135023836E-7</v>
      </c>
      <c r="AV56" s="49">
        <f t="shared" si="25"/>
        <v>2.1697459444047344E-7</v>
      </c>
      <c r="AW56" s="50">
        <f xml:space="preserve"> IF(ISERROR(ROUND((1000*NPV($AT$1,$AV57:$AV$124)-$AW$1*($AU57+NPV($AT$1,$AU58:$AU$124)))/AU57,3)), 0, ROUND((1000*NPV($AT$1,$AV57:$AV$124)-$AW$1*($AU57+NPV($AT$1,$AU58:$AU$124)))/AU57,3))</f>
        <v>912.63699999999994</v>
      </c>
      <c r="AX56" s="50">
        <f>IF(ISERROR(ROUND(MAX(0,1000*NPV($AT$2,$AV57:$AV$124)-$AW$2*($AU57+NPV($AT$2,$AU58:$AU$124)))/AU57,3)), 0, ROUND(MAX(0,1000*NPV($AT$2,$AV57:$AV$124)-$AW$2*($AU57+NPV($AT$2,$AU58:$AU$124)))/AU57,3))</f>
        <v>884.04899999999998</v>
      </c>
    </row>
    <row r="57" spans="1:50" ht="15" x14ac:dyDescent="0.25">
      <c r="A57">
        <v>32</v>
      </c>
      <c r="B57">
        <v>4.5183278829474799E-4</v>
      </c>
      <c r="C57">
        <f t="shared" si="30"/>
        <v>4.2472282099706308E-4</v>
      </c>
      <c r="D57" s="60"/>
      <c r="E57" s="5"/>
      <c r="F57" s="5"/>
      <c r="I57" s="51">
        <v>53</v>
      </c>
      <c r="J57" s="41"/>
      <c r="K57" s="41" t="str">
        <f t="shared" si="26"/>
        <v/>
      </c>
      <c r="L57" s="42">
        <f t="shared" si="27"/>
        <v>25</v>
      </c>
      <c r="M57" s="41">
        <f t="shared" si="28"/>
        <v>2000000</v>
      </c>
      <c r="N57" s="43">
        <f t="shared" si="1"/>
        <v>891.07500000000005</v>
      </c>
      <c r="O57" s="44">
        <f t="shared" si="2"/>
        <v>918.06899999999996</v>
      </c>
      <c r="P57" s="41">
        <f t="shared" si="3"/>
        <v>1782150</v>
      </c>
      <c r="Q57" s="41">
        <f t="shared" si="4"/>
        <v>1836138</v>
      </c>
      <c r="R57" s="44"/>
      <c r="S57" s="44">
        <f>IF(I57&lt;&gt;"",_xlfn.XLOOKUP(D$4+I57,A$26:A$145,$C$26:$C$145,0) * 1000,"")</f>
        <v>753.36542198785639</v>
      </c>
      <c r="T57" s="52">
        <f t="shared" si="29"/>
        <v>0</v>
      </c>
      <c r="U57" s="53">
        <f t="shared" si="15"/>
        <v>8.3464219061910153E-8</v>
      </c>
      <c r="V57" s="53">
        <f t="shared" si="16"/>
        <v>6.2879056614462828E-8</v>
      </c>
      <c r="W57" s="53">
        <f t="shared" si="17"/>
        <v>0</v>
      </c>
      <c r="X57" s="46">
        <f t="shared" si="5"/>
        <v>2.0585162447447326E-8</v>
      </c>
      <c r="Y57" s="54"/>
      <c r="Z57" s="41">
        <f t="shared" si="18"/>
        <v>0.15234506898400899</v>
      </c>
      <c r="AA57" s="41">
        <f t="shared" si="19"/>
        <v>1.6692843812382032E-3</v>
      </c>
      <c r="AB57" s="41">
        <f t="shared" si="6"/>
        <v>3.7797199005931037E-2</v>
      </c>
      <c r="AC57" s="41">
        <f t="shared" si="7"/>
        <v>4.117032489489465E-4</v>
      </c>
      <c r="AD57" s="54"/>
      <c r="AE57" s="41">
        <f t="shared" si="8"/>
        <v>0</v>
      </c>
      <c r="AF57" s="41"/>
      <c r="AG57" s="41">
        <f t="shared" si="9"/>
        <v>-5.1462906118618311E-7</v>
      </c>
      <c r="AH57" s="41">
        <f t="shared" si="20"/>
        <v>-0.12575811322892566</v>
      </c>
      <c r="AI57" s="41">
        <f t="shared" si="21"/>
        <v>0</v>
      </c>
      <c r="AJ57" s="41">
        <f t="shared" si="10"/>
        <v>-0.12575862785798686</v>
      </c>
      <c r="AK57" s="41">
        <f t="shared" si="11"/>
        <v>0.11454786997807795</v>
      </c>
      <c r="AL57" s="41">
        <f t="shared" si="22"/>
        <v>6.1605741346098877E-3</v>
      </c>
      <c r="AM57" s="41">
        <f t="shared" si="12"/>
        <v>-5.0501837452990236E-3</v>
      </c>
      <c r="AN57" s="41">
        <f t="shared" si="13"/>
        <v>1.2575811322892566E-3</v>
      </c>
      <c r="AO57" s="41">
        <f t="shared" si="14"/>
        <v>-3.792602613009767E-3</v>
      </c>
      <c r="AP57" s="45"/>
      <c r="AQ57" s="45"/>
      <c r="AR57" s="48"/>
      <c r="AS57" s="48"/>
      <c r="AT57" s="51">
        <f t="shared" si="23"/>
        <v>53</v>
      </c>
      <c r="AU57" s="49">
        <f t="shared" si="24"/>
        <v>8.3464219061910153E-8</v>
      </c>
      <c r="AV57" s="49">
        <f t="shared" si="25"/>
        <v>6.2879056614462828E-8</v>
      </c>
      <c r="AW57" s="50">
        <f xml:space="preserve"> IF(ISERROR(ROUND((1000*NPV($AT$1,$AV58:$AV$124)-$AW$1*($AU58+NPV($AT$1,$AU59:$AU$124)))/AU58,3)), 0, ROUND((1000*NPV($AT$1,$AV58:$AV$124)-$AW$1*($AU58+NPV($AT$1,$AU59:$AU$124)))/AU58,3))</f>
        <v>918.06899999999996</v>
      </c>
      <c r="AX57" s="50">
        <f>IF(ISERROR(ROUND(MAX(0,1000*NPV($AT$2,$AV58:$AV$124)-$AW$2*($AU58+NPV($AT$2,$AU59:$AU$124)))/AU58,3)), 0, ROUND(MAX(0,1000*NPV($AT$2,$AV58:$AV$124)-$AW$2*($AU58+NPV($AT$2,$AU59:$AU$124)))/AU58,3))</f>
        <v>891.07500000000005</v>
      </c>
    </row>
    <row r="58" spans="1:50" ht="15" x14ac:dyDescent="0.25">
      <c r="A58">
        <v>33</v>
      </c>
      <c r="B58">
        <v>4.76015343494951E-4</v>
      </c>
      <c r="C58">
        <f t="shared" si="30"/>
        <v>4.474544228852539E-4</v>
      </c>
      <c r="D58" s="60"/>
      <c r="E58" s="5"/>
      <c r="F58" s="5"/>
      <c r="G58" s="11"/>
      <c r="I58" s="51">
        <v>54</v>
      </c>
      <c r="J58" s="41"/>
      <c r="K58" s="41" t="str">
        <f t="shared" si="26"/>
        <v/>
      </c>
      <c r="L58" s="42">
        <f t="shared" si="27"/>
        <v>25</v>
      </c>
      <c r="M58" s="41">
        <f t="shared" si="28"/>
        <v>2000000</v>
      </c>
      <c r="N58" s="43">
        <f t="shared" si="1"/>
        <v>909.39300000000003</v>
      </c>
      <c r="O58" s="44">
        <f t="shared" si="2"/>
        <v>932.06700000000001</v>
      </c>
      <c r="P58" s="41">
        <f t="shared" si="3"/>
        <v>1818786</v>
      </c>
      <c r="Q58" s="41">
        <f t="shared" si="4"/>
        <v>1864134</v>
      </c>
      <c r="R58" s="44"/>
      <c r="S58" s="44">
        <f>IF(I58&lt;&gt;"",_xlfn.XLOOKUP(D$4+I58,A$26:A$145,$C$26:$C$145,0) * 1000,"")</f>
        <v>785.69858633814135</v>
      </c>
      <c r="T58" s="52">
        <f t="shared" si="29"/>
        <v>0</v>
      </c>
      <c r="U58" s="53">
        <f t="shared" si="15"/>
        <v>2.0585162447447326E-8</v>
      </c>
      <c r="V58" s="53">
        <f t="shared" si="16"/>
        <v>1.6173733034500357E-8</v>
      </c>
      <c r="W58" s="53">
        <f t="shared" si="17"/>
        <v>0</v>
      </c>
      <c r="X58" s="46">
        <f t="shared" si="5"/>
        <v>4.4114294129469682E-9</v>
      </c>
      <c r="Y58" s="54"/>
      <c r="Z58" s="41">
        <f t="shared" si="18"/>
        <v>3.7797199005931037E-2</v>
      </c>
      <c r="AA58" s="41">
        <f t="shared" si="19"/>
        <v>4.117032489489465E-4</v>
      </c>
      <c r="AB58" s="41">
        <f t="shared" si="6"/>
        <v>8.2234955572744843E-3</v>
      </c>
      <c r="AC58" s="41">
        <f t="shared" si="7"/>
        <v>8.8228588258939359E-5</v>
      </c>
      <c r="AD58" s="54"/>
      <c r="AE58" s="41">
        <f t="shared" si="8"/>
        <v>0</v>
      </c>
      <c r="AF58" s="41"/>
      <c r="AG58" s="41">
        <f t="shared" si="9"/>
        <v>-1.102857353236742E-7</v>
      </c>
      <c r="AH58" s="41">
        <f t="shared" si="20"/>
        <v>-3.2347466069000713E-2</v>
      </c>
      <c r="AI58" s="41">
        <f t="shared" si="21"/>
        <v>0</v>
      </c>
      <c r="AJ58" s="41">
        <f t="shared" si="10"/>
        <v>-3.2347576354736035E-2</v>
      </c>
      <c r="AK58" s="41">
        <f t="shared" si="11"/>
        <v>2.9573703448656553E-2</v>
      </c>
      <c r="AL58" s="41">
        <f t="shared" si="22"/>
        <v>1.5283560901951992E-3</v>
      </c>
      <c r="AM58" s="41">
        <f t="shared" si="12"/>
        <v>-1.2455168158842832E-3</v>
      </c>
      <c r="AN58" s="41">
        <f t="shared" si="13"/>
        <v>3.2347466069000713E-4</v>
      </c>
      <c r="AO58" s="41">
        <f t="shared" si="14"/>
        <v>-9.2204215519427614E-4</v>
      </c>
      <c r="AP58" s="45"/>
      <c r="AQ58" s="45"/>
      <c r="AR58" s="48"/>
      <c r="AS58" s="48"/>
      <c r="AT58" s="51">
        <f t="shared" si="23"/>
        <v>54</v>
      </c>
      <c r="AU58" s="49">
        <f t="shared" si="24"/>
        <v>2.0585162447447326E-8</v>
      </c>
      <c r="AV58" s="49">
        <f t="shared" si="25"/>
        <v>1.6173733034500357E-8</v>
      </c>
      <c r="AW58" s="50">
        <f xml:space="preserve"> IF(ISERROR(ROUND((1000*NPV($AT$1,$AV59:$AV$124)-$AW$1*($AU59+NPV($AT$1,$AU60:$AU$124)))/AU59,3)), 0, ROUND((1000*NPV($AT$1,$AV59:$AV$124)-$AW$1*($AU59+NPV($AT$1,$AU60:$AU$124)))/AU59,3))</f>
        <v>932.06700000000001</v>
      </c>
      <c r="AX58" s="50">
        <f>IF(ISERROR(ROUND(MAX(0,1000*NPV($AT$2,$AV59:$AV$124)-$AW$2*($AU59+NPV($AT$2,$AU60:$AU$124)))/AU59,3)), 0, ROUND(MAX(0,1000*NPV($AT$2,$AV59:$AV$124)-$AW$2*($AU59+NPV($AT$2,$AU60:$AU$124)))/AU59,3))</f>
        <v>909.39300000000003</v>
      </c>
    </row>
    <row r="59" spans="1:50" ht="15" x14ac:dyDescent="0.25">
      <c r="A59">
        <v>34</v>
      </c>
      <c r="B59">
        <v>5.06118033971936E-4</v>
      </c>
      <c r="C59">
        <f t="shared" si="30"/>
        <v>4.7575095193361981E-4</v>
      </c>
      <c r="D59" s="60"/>
      <c r="E59" s="5"/>
      <c r="F59" s="5"/>
      <c r="I59" s="51">
        <v>55</v>
      </c>
      <c r="J59" s="41"/>
      <c r="K59" s="41" t="str">
        <f t="shared" si="26"/>
        <v/>
      </c>
      <c r="L59" s="42">
        <f t="shared" si="27"/>
        <v>25</v>
      </c>
      <c r="M59" s="41">
        <f t="shared" si="28"/>
        <v>2000000</v>
      </c>
      <c r="N59" s="43">
        <f t="shared" si="1"/>
        <v>0</v>
      </c>
      <c r="O59" s="44">
        <f t="shared" si="2"/>
        <v>0</v>
      </c>
      <c r="P59" s="41">
        <f t="shared" si="3"/>
        <v>0</v>
      </c>
      <c r="Q59" s="41">
        <f t="shared" si="4"/>
        <v>0</v>
      </c>
      <c r="R59" s="44"/>
      <c r="S59" s="44">
        <f>IF(I59&lt;&gt;"",_xlfn.XLOOKUP(D$4+I59,A$26:A$145,$C$26:$C$145,0) * 1000,"")</f>
        <v>1000</v>
      </c>
      <c r="T59" s="52">
        <f t="shared" si="29"/>
        <v>0</v>
      </c>
      <c r="U59" s="53">
        <f t="shared" si="15"/>
        <v>4.4114294129469682E-9</v>
      </c>
      <c r="V59" s="53">
        <f t="shared" si="16"/>
        <v>4.4114294129469682E-9</v>
      </c>
      <c r="W59" s="53">
        <f t="shared" si="17"/>
        <v>0</v>
      </c>
      <c r="X59" s="46">
        <f t="shared" si="5"/>
        <v>0</v>
      </c>
      <c r="Y59" s="54"/>
      <c r="Z59" s="41">
        <f t="shared" si="18"/>
        <v>8.2234955572744843E-3</v>
      </c>
      <c r="AA59" s="41">
        <f t="shared" si="19"/>
        <v>8.8228588258939359E-5</v>
      </c>
      <c r="AB59" s="41">
        <f t="shared" si="6"/>
        <v>0</v>
      </c>
      <c r="AC59" s="41">
        <f t="shared" si="7"/>
        <v>0</v>
      </c>
      <c r="AD59" s="54"/>
      <c r="AE59" s="41">
        <f t="shared" si="8"/>
        <v>0</v>
      </c>
      <c r="AF59" s="41"/>
      <c r="AG59" s="41">
        <f t="shared" si="9"/>
        <v>0</v>
      </c>
      <c r="AH59" s="41">
        <f t="shared" si="20"/>
        <v>-8.822858825893936E-3</v>
      </c>
      <c r="AI59" s="41">
        <f t="shared" si="21"/>
        <v>0</v>
      </c>
      <c r="AJ59" s="41">
        <f t="shared" si="10"/>
        <v>-8.822858825893936E-3</v>
      </c>
      <c r="AK59" s="41">
        <f t="shared" si="11"/>
        <v>8.2234955572744843E-3</v>
      </c>
      <c r="AL59" s="41">
        <f t="shared" si="22"/>
        <v>3.3246896582133696E-4</v>
      </c>
      <c r="AM59" s="41">
        <f t="shared" si="12"/>
        <v>-2.668943027981147E-4</v>
      </c>
      <c r="AN59" s="41">
        <f t="shared" si="13"/>
        <v>8.8228588258939359E-5</v>
      </c>
      <c r="AO59" s="41">
        <f t="shared" si="14"/>
        <v>-1.7866571453917533E-4</v>
      </c>
      <c r="AP59" s="45"/>
      <c r="AQ59" s="45"/>
      <c r="AR59" s="48"/>
      <c r="AS59" s="48"/>
      <c r="AT59" s="51">
        <f t="shared" si="23"/>
        <v>55</v>
      </c>
      <c r="AU59" s="49">
        <f t="shared" si="24"/>
        <v>4.4114294129469682E-9</v>
      </c>
      <c r="AV59" s="49">
        <f t="shared" si="25"/>
        <v>4.4114294129469682E-9</v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1:50" ht="15" x14ac:dyDescent="0.25">
      <c r="A60">
        <v>35</v>
      </c>
      <c r="B60">
        <v>5.3763318242505697E-4</v>
      </c>
      <c r="C60">
        <f t="shared" si="30"/>
        <v>5.0537519147955353E-4</v>
      </c>
      <c r="D60" s="60"/>
      <c r="E60" s="5"/>
      <c r="F60" s="5"/>
      <c r="I60" s="51"/>
      <c r="J60" s="41"/>
      <c r="K60" s="41" t="str">
        <f t="shared" si="26"/>
        <v/>
      </c>
      <c r="L60" s="42" t="str">
        <f t="shared" si="27"/>
        <v/>
      </c>
      <c r="M60" s="41" t="str">
        <f t="shared" si="28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>IF(I60&lt;&gt;"",_xlfn.XLOOKUP(D$4+I60,A$26:A$145,$C$26:$C$145,0) * 1000,"")</f>
        <v/>
      </c>
      <c r="T60" s="52">
        <f t="shared" si="29"/>
        <v>0</v>
      </c>
      <c r="U60" s="53" t="str">
        <f t="shared" si="15"/>
        <v/>
      </c>
      <c r="V60" s="53" t="str">
        <f t="shared" si="16"/>
        <v/>
      </c>
      <c r="W60" s="53" t="str">
        <f t="shared" si="17"/>
        <v/>
      </c>
      <c r="X60" s="46" t="str">
        <f t="shared" si="5"/>
        <v/>
      </c>
      <c r="Y60" s="54"/>
      <c r="Z60" s="41" t="str">
        <f t="shared" si="18"/>
        <v/>
      </c>
      <c r="AA60" s="41" t="str">
        <f t="shared" si="19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/>
      <c r="AG60" s="41" t="str">
        <f t="shared" si="9"/>
        <v/>
      </c>
      <c r="AH60" s="41" t="str">
        <f t="shared" si="20"/>
        <v/>
      </c>
      <c r="AI60" s="41" t="str">
        <f t="shared" si="21"/>
        <v/>
      </c>
      <c r="AJ60" s="41">
        <f t="shared" si="10"/>
        <v>0</v>
      </c>
      <c r="AK60" s="41" t="str">
        <f t="shared" si="11"/>
        <v/>
      </c>
      <c r="AL60" s="41">
        <f t="shared" si="22"/>
        <v>0</v>
      </c>
      <c r="AM60" s="41">
        <f t="shared" si="12"/>
        <v>0</v>
      </c>
      <c r="AN60" s="41" t="str">
        <f t="shared" si="13"/>
        <v/>
      </c>
      <c r="AO60" s="41">
        <f t="shared" si="14"/>
        <v>0</v>
      </c>
      <c r="AP60" s="45"/>
      <c r="AQ60" s="45"/>
      <c r="AR60" s="48"/>
      <c r="AS60" s="48"/>
      <c r="AT60" s="51">
        <f t="shared" si="23"/>
        <v>56</v>
      </c>
      <c r="AU60" s="49" t="str">
        <f t="shared" si="24"/>
        <v/>
      </c>
      <c r="AV60" s="49" t="str">
        <f t="shared" si="25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5.6014428972217501E-4</v>
      </c>
      <c r="C61">
        <f t="shared" si="30"/>
        <v>5.2653563233884444E-4</v>
      </c>
      <c r="D61" s="60"/>
      <c r="E61" s="5"/>
      <c r="F61" s="5"/>
      <c r="I61" s="51"/>
      <c r="J61" s="41"/>
      <c r="K61" s="41" t="str">
        <f t="shared" si="26"/>
        <v/>
      </c>
      <c r="L61" s="42" t="str">
        <f t="shared" si="27"/>
        <v/>
      </c>
      <c r="M61" s="41" t="str">
        <f t="shared" si="28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>IF(I61&lt;&gt;"",_xlfn.XLOOKUP(D$4+I61,A$26:A$145,$C$26:$C$145,0) * 1000,"")</f>
        <v/>
      </c>
      <c r="T61" s="52">
        <f t="shared" si="29"/>
        <v>0</v>
      </c>
      <c r="U61" s="53" t="str">
        <f t="shared" si="15"/>
        <v/>
      </c>
      <c r="V61" s="53" t="str">
        <f t="shared" si="16"/>
        <v/>
      </c>
      <c r="W61" s="53" t="str">
        <f t="shared" si="17"/>
        <v/>
      </c>
      <c r="X61" s="46" t="str">
        <f t="shared" si="5"/>
        <v/>
      </c>
      <c r="Y61" s="54"/>
      <c r="Z61" s="41" t="str">
        <f t="shared" si="18"/>
        <v/>
      </c>
      <c r="AA61" s="41" t="str">
        <f t="shared" si="19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20"/>
        <v/>
      </c>
      <c r="AI61" s="41" t="str">
        <f t="shared" si="21"/>
        <v/>
      </c>
      <c r="AJ61" s="41">
        <f t="shared" si="10"/>
        <v>0</v>
      </c>
      <c r="AK61" s="41" t="str">
        <f t="shared" si="11"/>
        <v/>
      </c>
      <c r="AL61" s="41">
        <f t="shared" si="22"/>
        <v>0</v>
      </c>
      <c r="AM61" s="41">
        <f t="shared" si="12"/>
        <v>0</v>
      </c>
      <c r="AN61" s="41" t="str">
        <f t="shared" si="13"/>
        <v/>
      </c>
      <c r="AO61" s="41">
        <f t="shared" si="14"/>
        <v>0</v>
      </c>
      <c r="AP61" s="45"/>
      <c r="AQ61" s="45"/>
      <c r="AR61" s="48"/>
      <c r="AS61" s="48"/>
      <c r="AT61" s="51">
        <f t="shared" si="23"/>
        <v>57</v>
      </c>
      <c r="AU61" s="49" t="str">
        <f t="shared" si="24"/>
        <v/>
      </c>
      <c r="AV61" s="49" t="str">
        <f t="shared" si="25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6.0921970709781903E-4</v>
      </c>
      <c r="C62">
        <f t="shared" si="30"/>
        <v>5.7266652467194987E-4</v>
      </c>
      <c r="D62" s="60"/>
      <c r="E62" s="5"/>
      <c r="F62" s="5"/>
      <c r="I62" s="51"/>
      <c r="J62" s="41"/>
      <c r="K62" s="41" t="str">
        <f t="shared" si="26"/>
        <v/>
      </c>
      <c r="L62" s="42" t="str">
        <f t="shared" si="27"/>
        <v/>
      </c>
      <c r="M62" s="41" t="str">
        <f t="shared" si="28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>IF(I62&lt;&gt;"",_xlfn.XLOOKUP(D$4+I62,A$26:A$145,$C$26:$C$145,0) * 1000,"")</f>
        <v/>
      </c>
      <c r="T62" s="52">
        <f t="shared" si="29"/>
        <v>0</v>
      </c>
      <c r="U62" s="53" t="str">
        <f t="shared" si="15"/>
        <v/>
      </c>
      <c r="V62" s="53" t="str">
        <f t="shared" si="16"/>
        <v/>
      </c>
      <c r="W62" s="53" t="str">
        <f t="shared" si="17"/>
        <v/>
      </c>
      <c r="X62" s="46" t="str">
        <f t="shared" si="5"/>
        <v/>
      </c>
      <c r="Y62" s="54"/>
      <c r="Z62" s="41" t="str">
        <f t="shared" si="18"/>
        <v/>
      </c>
      <c r="AA62" s="41" t="str">
        <f t="shared" si="19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20"/>
        <v/>
      </c>
      <c r="AI62" s="41" t="str">
        <f t="shared" si="21"/>
        <v/>
      </c>
      <c r="AJ62" s="41">
        <f t="shared" si="10"/>
        <v>0</v>
      </c>
      <c r="AK62" s="41" t="str">
        <f t="shared" si="11"/>
        <v/>
      </c>
      <c r="AL62" s="41">
        <f t="shared" si="22"/>
        <v>0</v>
      </c>
      <c r="AM62" s="41">
        <f t="shared" si="12"/>
        <v>0</v>
      </c>
      <c r="AN62" s="41" t="str">
        <f t="shared" si="13"/>
        <v/>
      </c>
      <c r="AO62" s="41">
        <f t="shared" si="14"/>
        <v>0</v>
      </c>
      <c r="AP62" s="45"/>
      <c r="AQ62" s="45"/>
      <c r="AR62" s="48"/>
      <c r="AS62" s="48"/>
      <c r="AT62" s="51">
        <f t="shared" si="23"/>
        <v>58</v>
      </c>
      <c r="AU62" s="49" t="str">
        <f t="shared" si="24"/>
        <v/>
      </c>
      <c r="AV62" s="49" t="str">
        <f t="shared" si="25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6.6632901672614197E-4</v>
      </c>
      <c r="C63">
        <f t="shared" si="30"/>
        <v>6.2634927572257347E-4</v>
      </c>
      <c r="D63" s="60"/>
      <c r="E63" s="5"/>
      <c r="F63" s="5"/>
      <c r="I63" s="51"/>
      <c r="J63" s="41"/>
      <c r="K63" s="41" t="str">
        <f t="shared" si="26"/>
        <v/>
      </c>
      <c r="L63" s="42" t="str">
        <f t="shared" si="27"/>
        <v/>
      </c>
      <c r="M63" s="41" t="str">
        <f t="shared" si="28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>IF(I63&lt;&gt;"",_xlfn.XLOOKUP(D$4+I63,A$26:A$145,$C$26:$C$145,0) * 1000,"")</f>
        <v/>
      </c>
      <c r="T63" s="52">
        <f t="shared" si="29"/>
        <v>0</v>
      </c>
      <c r="U63" s="53" t="str">
        <f t="shared" si="15"/>
        <v/>
      </c>
      <c r="V63" s="53" t="str">
        <f t="shared" si="16"/>
        <v/>
      </c>
      <c r="W63" s="53" t="str">
        <f t="shared" si="17"/>
        <v/>
      </c>
      <c r="X63" s="46" t="str">
        <f t="shared" si="5"/>
        <v/>
      </c>
      <c r="Y63" s="54"/>
      <c r="Z63" s="41" t="str">
        <f t="shared" si="18"/>
        <v/>
      </c>
      <c r="AA63" s="41" t="str">
        <f t="shared" si="19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20"/>
        <v/>
      </c>
      <c r="AI63" s="41" t="str">
        <f t="shared" si="21"/>
        <v/>
      </c>
      <c r="AJ63" s="41">
        <f t="shared" si="10"/>
        <v>0</v>
      </c>
      <c r="AK63" s="41" t="str">
        <f t="shared" si="11"/>
        <v/>
      </c>
      <c r="AL63" s="41">
        <f t="shared" si="22"/>
        <v>0</v>
      </c>
      <c r="AM63" s="41">
        <f t="shared" si="12"/>
        <v>0</v>
      </c>
      <c r="AN63" s="41" t="str">
        <f t="shared" si="13"/>
        <v/>
      </c>
      <c r="AO63" s="41">
        <f t="shared" si="14"/>
        <v>0</v>
      </c>
      <c r="AP63" s="45"/>
      <c r="AQ63" s="45"/>
      <c r="AR63" s="48"/>
      <c r="AS63" s="48"/>
      <c r="AT63" s="51">
        <f t="shared" si="23"/>
        <v>59</v>
      </c>
      <c r="AU63" s="49" t="str">
        <f t="shared" si="24"/>
        <v/>
      </c>
      <c r="AV63" s="49" t="str">
        <f t="shared" si="25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7.25001817937443E-4</v>
      </c>
      <c r="C64">
        <f t="shared" si="30"/>
        <v>6.8150170886119635E-4</v>
      </c>
      <c r="D64" s="60"/>
      <c r="E64" s="5"/>
      <c r="F64" s="5"/>
      <c r="I64" s="51"/>
      <c r="J64" s="41"/>
      <c r="K64" s="41" t="str">
        <f t="shared" si="26"/>
        <v/>
      </c>
      <c r="L64" s="42" t="str">
        <f t="shared" si="27"/>
        <v/>
      </c>
      <c r="M64" s="41" t="str">
        <f t="shared" si="28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>IF(I64&lt;&gt;"",_xlfn.XLOOKUP(D$4+I64,A$26:A$145,$C$26:$C$145,0) * 1000,"")</f>
        <v/>
      </c>
      <c r="T64" s="52">
        <f t="shared" si="29"/>
        <v>0</v>
      </c>
      <c r="U64" s="53" t="str">
        <f t="shared" si="15"/>
        <v/>
      </c>
      <c r="V64" s="53" t="str">
        <f t="shared" si="16"/>
        <v/>
      </c>
      <c r="W64" s="53" t="str">
        <f t="shared" si="17"/>
        <v/>
      </c>
      <c r="X64" s="46" t="str">
        <f t="shared" si="5"/>
        <v/>
      </c>
      <c r="Y64" s="54"/>
      <c r="Z64" s="41" t="str">
        <f t="shared" si="18"/>
        <v/>
      </c>
      <c r="AA64" s="41" t="str">
        <f t="shared" si="19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20"/>
        <v/>
      </c>
      <c r="AI64" s="41" t="str">
        <f t="shared" si="21"/>
        <v/>
      </c>
      <c r="AJ64" s="41">
        <f t="shared" si="10"/>
        <v>0</v>
      </c>
      <c r="AK64" s="41" t="str">
        <f t="shared" si="11"/>
        <v/>
      </c>
      <c r="AL64" s="41">
        <f t="shared" si="22"/>
        <v>0</v>
      </c>
      <c r="AM64" s="41">
        <f t="shared" si="12"/>
        <v>0</v>
      </c>
      <c r="AN64" s="41" t="str">
        <f t="shared" si="13"/>
        <v/>
      </c>
      <c r="AO64" s="41">
        <f t="shared" si="14"/>
        <v>0</v>
      </c>
      <c r="AP64" s="45"/>
      <c r="AQ64" s="45"/>
      <c r="AR64" s="48"/>
      <c r="AS64" s="48"/>
      <c r="AT64" s="51">
        <f t="shared" si="23"/>
        <v>60</v>
      </c>
      <c r="AU64" s="49" t="str">
        <f t="shared" si="24"/>
        <v/>
      </c>
      <c r="AV64" s="49" t="str">
        <f t="shared" si="25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7.86216250933225E-4</v>
      </c>
      <c r="C65">
        <f t="shared" si="30"/>
        <v>7.3904327587723142E-4</v>
      </c>
      <c r="D65" s="60"/>
      <c r="E65" s="5"/>
      <c r="F65" s="5"/>
      <c r="I65" s="51"/>
      <c r="J65" s="41"/>
      <c r="K65" s="41" t="str">
        <f t="shared" si="26"/>
        <v/>
      </c>
      <c r="L65" s="42" t="str">
        <f t="shared" si="27"/>
        <v/>
      </c>
      <c r="M65" s="41" t="str">
        <f t="shared" si="28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>IF(I65&lt;&gt;"",_xlfn.XLOOKUP(D$4+I65,A$26:A$145,$C$26:$C$145,0) * 1000,"")</f>
        <v/>
      </c>
      <c r="T65" s="52">
        <f t="shared" si="29"/>
        <v>0</v>
      </c>
      <c r="U65" s="53" t="str">
        <f t="shared" si="15"/>
        <v/>
      </c>
      <c r="V65" s="53" t="str">
        <f t="shared" si="16"/>
        <v/>
      </c>
      <c r="W65" s="53" t="str">
        <f t="shared" si="17"/>
        <v/>
      </c>
      <c r="X65" s="46" t="str">
        <f t="shared" si="5"/>
        <v/>
      </c>
      <c r="Y65" s="54"/>
      <c r="Z65" s="41" t="str">
        <f t="shared" si="18"/>
        <v/>
      </c>
      <c r="AA65" s="41" t="str">
        <f t="shared" si="19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20"/>
        <v/>
      </c>
      <c r="AI65" s="41" t="str">
        <f t="shared" si="21"/>
        <v/>
      </c>
      <c r="AJ65" s="41">
        <f t="shared" si="10"/>
        <v>0</v>
      </c>
      <c r="AK65" s="41" t="str">
        <f t="shared" si="11"/>
        <v/>
      </c>
      <c r="AL65" s="41">
        <f t="shared" si="22"/>
        <v>0</v>
      </c>
      <c r="AM65" s="41">
        <f t="shared" si="12"/>
        <v>0</v>
      </c>
      <c r="AN65" s="41" t="str">
        <f t="shared" si="13"/>
        <v/>
      </c>
      <c r="AO65" s="41">
        <f t="shared" si="14"/>
        <v>0</v>
      </c>
      <c r="AP65" s="45"/>
      <c r="AQ65" s="45"/>
      <c r="AR65" s="48"/>
      <c r="AS65" s="48"/>
      <c r="AT65" s="51">
        <f t="shared" si="23"/>
        <v>61</v>
      </c>
      <c r="AU65" s="49" t="str">
        <f t="shared" si="24"/>
        <v/>
      </c>
      <c r="AV65" s="49" t="str">
        <f t="shared" si="25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8.5756716818730105E-4</v>
      </c>
      <c r="C66">
        <f t="shared" si="30"/>
        <v>8.0611313809606292E-4</v>
      </c>
      <c r="D66" s="60"/>
      <c r="E66" s="5"/>
      <c r="F66" s="5"/>
      <c r="I66" s="51"/>
      <c r="J66" s="41"/>
      <c r="K66" s="41" t="str">
        <f t="shared" si="26"/>
        <v/>
      </c>
      <c r="L66" s="42" t="str">
        <f t="shared" si="27"/>
        <v/>
      </c>
      <c r="M66" s="41" t="str">
        <f t="shared" si="28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>IF(I66&lt;&gt;"",_xlfn.XLOOKUP(D$4+I66,A$26:A$145,$C$26:$C$145,0) * 1000,"")</f>
        <v/>
      </c>
      <c r="T66" s="52">
        <f t="shared" si="29"/>
        <v>0</v>
      </c>
      <c r="U66" s="53" t="str">
        <f t="shared" si="15"/>
        <v/>
      </c>
      <c r="V66" s="53" t="str">
        <f t="shared" si="16"/>
        <v/>
      </c>
      <c r="W66" s="53" t="str">
        <f t="shared" si="17"/>
        <v/>
      </c>
      <c r="X66" s="46" t="str">
        <f t="shared" si="5"/>
        <v/>
      </c>
      <c r="Y66" s="54"/>
      <c r="Z66" s="41" t="str">
        <f t="shared" si="18"/>
        <v/>
      </c>
      <c r="AA66" s="41" t="str">
        <f t="shared" si="19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20"/>
        <v/>
      </c>
      <c r="AI66" s="41" t="str">
        <f t="shared" si="21"/>
        <v/>
      </c>
      <c r="AJ66" s="41">
        <f t="shared" si="10"/>
        <v>0</v>
      </c>
      <c r="AK66" s="41" t="str">
        <f t="shared" si="11"/>
        <v/>
      </c>
      <c r="AL66" s="41">
        <f t="shared" si="22"/>
        <v>0</v>
      </c>
      <c r="AM66" s="41">
        <f t="shared" si="12"/>
        <v>0</v>
      </c>
      <c r="AN66" s="41" t="str">
        <f t="shared" si="13"/>
        <v/>
      </c>
      <c r="AO66" s="41">
        <f t="shared" si="14"/>
        <v>0</v>
      </c>
      <c r="AP66" s="45"/>
      <c r="AQ66" s="45"/>
      <c r="AR66" s="48"/>
      <c r="AS66" s="48"/>
      <c r="AT66" s="51">
        <f t="shared" si="23"/>
        <v>62</v>
      </c>
      <c r="AU66" s="49" t="str">
        <f t="shared" si="24"/>
        <v/>
      </c>
      <c r="AV66" s="49" t="str">
        <f t="shared" si="25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9.2840564054152996E-4</v>
      </c>
      <c r="C67">
        <f t="shared" si="30"/>
        <v>8.7270130210903812E-4</v>
      </c>
      <c r="D67" s="60"/>
      <c r="E67" s="5"/>
      <c r="F67" s="5"/>
      <c r="I67" s="51"/>
      <c r="J67" s="41"/>
      <c r="K67" s="41" t="str">
        <f t="shared" si="26"/>
        <v/>
      </c>
      <c r="L67" s="42" t="str">
        <f t="shared" si="27"/>
        <v/>
      </c>
      <c r="M67" s="41" t="str">
        <f t="shared" si="28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>IF(I67&lt;&gt;"",_xlfn.XLOOKUP(D$4+I67,A$26:A$145,$C$26:$C$145,0) * 1000,"")</f>
        <v/>
      </c>
      <c r="T67" s="52">
        <f t="shared" si="29"/>
        <v>0</v>
      </c>
      <c r="U67" s="53" t="str">
        <f t="shared" si="15"/>
        <v/>
      </c>
      <c r="V67" s="53" t="str">
        <f t="shared" si="16"/>
        <v/>
      </c>
      <c r="W67" s="53" t="str">
        <f t="shared" si="17"/>
        <v/>
      </c>
      <c r="X67" s="46" t="str">
        <f t="shared" si="5"/>
        <v/>
      </c>
      <c r="Y67" s="54"/>
      <c r="Z67" s="41" t="str">
        <f t="shared" si="18"/>
        <v/>
      </c>
      <c r="AA67" s="41" t="str">
        <f t="shared" si="19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20"/>
        <v/>
      </c>
      <c r="AI67" s="41" t="str">
        <f t="shared" si="21"/>
        <v/>
      </c>
      <c r="AJ67" s="41">
        <f t="shared" si="10"/>
        <v>0</v>
      </c>
      <c r="AK67" s="41" t="str">
        <f t="shared" si="11"/>
        <v/>
      </c>
      <c r="AL67" s="41">
        <f t="shared" si="22"/>
        <v>0</v>
      </c>
      <c r="AM67" s="41">
        <f t="shared" si="12"/>
        <v>0</v>
      </c>
      <c r="AN67" s="41" t="str">
        <f t="shared" si="13"/>
        <v/>
      </c>
      <c r="AO67" s="41">
        <f t="shared" si="14"/>
        <v>0</v>
      </c>
      <c r="AP67" s="45"/>
      <c r="AQ67" s="45"/>
      <c r="AR67" s="48"/>
      <c r="AS67" s="48"/>
      <c r="AT67" s="51">
        <f t="shared" si="23"/>
        <v>63</v>
      </c>
      <c r="AU67" s="49" t="str">
        <f t="shared" si="24"/>
        <v/>
      </c>
      <c r="AV67" s="49" t="str">
        <f t="shared" si="25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1.00919698840662E-3</v>
      </c>
      <c r="C68">
        <f t="shared" si="30"/>
        <v>9.486451691022227E-4</v>
      </c>
      <c r="D68" s="60"/>
      <c r="E68" s="5"/>
      <c r="F68" s="5"/>
      <c r="I68" s="51"/>
      <c r="J68" s="41"/>
      <c r="K68" s="41" t="str">
        <f t="shared" si="26"/>
        <v/>
      </c>
      <c r="L68" s="42" t="str">
        <f t="shared" si="27"/>
        <v/>
      </c>
      <c r="M68" s="41" t="str">
        <f t="shared" si="28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>IF(I68&lt;&gt;"",_xlfn.XLOOKUP(D$4+I68,A$26:A$145,$C$26:$C$145,0) * 1000,"")</f>
        <v/>
      </c>
      <c r="T68" s="52">
        <f t="shared" si="29"/>
        <v>0</v>
      </c>
      <c r="U68" s="53" t="str">
        <f t="shared" si="15"/>
        <v/>
      </c>
      <c r="V68" s="53" t="str">
        <f t="shared" si="16"/>
        <v/>
      </c>
      <c r="W68" s="53" t="str">
        <f t="shared" si="17"/>
        <v/>
      </c>
      <c r="X68" s="46" t="str">
        <f t="shared" si="5"/>
        <v/>
      </c>
      <c r="Y68" s="54"/>
      <c r="Z68" s="41" t="str">
        <f t="shared" si="18"/>
        <v/>
      </c>
      <c r="AA68" s="41" t="str">
        <f t="shared" si="19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20"/>
        <v/>
      </c>
      <c r="AI68" s="41" t="str">
        <f t="shared" si="21"/>
        <v/>
      </c>
      <c r="AJ68" s="41">
        <f t="shared" si="10"/>
        <v>0</v>
      </c>
      <c r="AK68" s="41" t="str">
        <f t="shared" si="11"/>
        <v/>
      </c>
      <c r="AL68" s="41">
        <f t="shared" si="22"/>
        <v>0</v>
      </c>
      <c r="AM68" s="41">
        <f t="shared" si="12"/>
        <v>0</v>
      </c>
      <c r="AN68" s="41" t="str">
        <f t="shared" si="13"/>
        <v/>
      </c>
      <c r="AO68" s="41">
        <f t="shared" si="14"/>
        <v>0</v>
      </c>
      <c r="AP68" s="45"/>
      <c r="AQ68" s="45"/>
      <c r="AR68" s="48"/>
      <c r="AS68" s="48"/>
      <c r="AT68" s="51">
        <f t="shared" si="23"/>
        <v>64</v>
      </c>
      <c r="AU68" s="49" t="str">
        <f t="shared" si="24"/>
        <v/>
      </c>
      <c r="AV68" s="49" t="str">
        <f t="shared" si="25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1.0961829830884501E-3</v>
      </c>
      <c r="C69">
        <f t="shared" si="30"/>
        <v>1.030412004103143E-3</v>
      </c>
      <c r="D69" s="60"/>
      <c r="E69" s="5"/>
      <c r="F69" s="5"/>
      <c r="I69" s="51"/>
      <c r="J69" s="41"/>
      <c r="K69" s="41" t="str">
        <f t="shared" si="26"/>
        <v/>
      </c>
      <c r="L69" s="42" t="str">
        <f t="shared" si="27"/>
        <v/>
      </c>
      <c r="M69" s="41" t="str">
        <f t="shared" si="28"/>
        <v/>
      </c>
      <c r="N69" s="43">
        <f t="shared" ref="N69:N123" si="31">AX69</f>
        <v>0</v>
      </c>
      <c r="O69" s="44">
        <f t="shared" ref="O69:O123" si="32">AW69</f>
        <v>0</v>
      </c>
      <c r="P69" s="41" t="str">
        <f t="shared" ref="P69:P124" si="33">IF(I69&lt;&gt;"", M69*N69/1000, "")</f>
        <v/>
      </c>
      <c r="Q69" s="41" t="str">
        <f t="shared" ref="Q69:Q124" si="34">IF(I69&lt;&gt;"", M69*O69/1000, "")</f>
        <v/>
      </c>
      <c r="R69" s="44"/>
      <c r="S69" s="44" t="str">
        <f>IF(I69&lt;&gt;"",_xlfn.XLOOKUP(D$4+I69,A$26:A$145,$C$26:$C$145,0) * 1000,"")</f>
        <v/>
      </c>
      <c r="T69" s="52">
        <f t="shared" si="29"/>
        <v>0</v>
      </c>
      <c r="U69" s="53" t="str">
        <f t="shared" si="15"/>
        <v/>
      </c>
      <c r="V69" s="53" t="str">
        <f t="shared" si="16"/>
        <v/>
      </c>
      <c r="W69" s="53" t="str">
        <f t="shared" si="17"/>
        <v/>
      </c>
      <c r="X69" s="46" t="str">
        <f t="shared" ref="X69:X124" si="35">IF(I69&lt;&gt;"", U69-SUM(V69:W69), "")</f>
        <v/>
      </c>
      <c r="Y69" s="54"/>
      <c r="Z69" s="41" t="str">
        <f t="shared" si="18"/>
        <v/>
      </c>
      <c r="AA69" s="41" t="str">
        <f t="shared" si="19"/>
        <v/>
      </c>
      <c r="AB69" s="41" t="str">
        <f t="shared" ref="AB69:AB124" si="36">IF(I69&lt;&gt;"", Q69*X69, "" )</f>
        <v/>
      </c>
      <c r="AC69" s="41" t="str">
        <f t="shared" ref="AC69:AC124" si="37">IF(I69&lt;&gt;"", $H$14*M69*X69, "")</f>
        <v/>
      </c>
      <c r="AD69" s="54"/>
      <c r="AE69" s="41" t="str">
        <f t="shared" ref="AE69:AE124" si="38">IF(I69&lt;&gt;"", $X69*J69, "")</f>
        <v/>
      </c>
      <c r="AF69" s="41"/>
      <c r="AG69" s="41" t="str">
        <f t="shared" ref="AG69:AG124" si="39">IF(I69&lt;&gt;"", -$X69*L69, "")</f>
        <v/>
      </c>
      <c r="AH69" s="41" t="str">
        <f t="shared" si="20"/>
        <v/>
      </c>
      <c r="AI69" s="41" t="str">
        <f t="shared" si="21"/>
        <v/>
      </c>
      <c r="AJ69" s="41">
        <f t="shared" ref="AJ69:AJ124" si="40">SUM(AE69:AI69)</f>
        <v>0</v>
      </c>
      <c r="AK69" s="41" t="str">
        <f t="shared" ref="AK69:AK124" si="41">IF(I69&lt;&gt;"", Z69-AB69, "")</f>
        <v/>
      </c>
      <c r="AL69" s="41">
        <f t="shared" si="22"/>
        <v>0</v>
      </c>
      <c r="AM69" s="41">
        <f t="shared" ref="AM69:AM124" si="42">SUM(AJ69:AL69)</f>
        <v>0</v>
      </c>
      <c r="AN69" s="41" t="str">
        <f t="shared" ref="AN69:AN124" si="43">IF(I69&lt;&gt;"", AA69-AC69, "")</f>
        <v/>
      </c>
      <c r="AO69" s="41">
        <f t="shared" ref="AO69:AO78" si="44">SUM(AM69:AN69)</f>
        <v>0</v>
      </c>
      <c r="AP69" s="45"/>
      <c r="AQ69" s="45"/>
      <c r="AR69" s="48"/>
      <c r="AS69" s="48"/>
      <c r="AT69" s="51">
        <f t="shared" si="23"/>
        <v>65</v>
      </c>
      <c r="AU69" s="49" t="str">
        <f t="shared" si="24"/>
        <v/>
      </c>
      <c r="AV69" s="49" t="str">
        <f t="shared" si="25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1.1910269098248699E-3</v>
      </c>
      <c r="C70">
        <f t="shared" si="30"/>
        <v>1.1195652952353777E-3</v>
      </c>
      <c r="D70" s="60"/>
      <c r="E70" s="5"/>
      <c r="F70" s="5"/>
      <c r="I70" s="51"/>
      <c r="J70" s="41"/>
      <c r="K70" s="41" t="str">
        <f t="shared" si="26"/>
        <v/>
      </c>
      <c r="L70" s="42" t="str">
        <f t="shared" si="27"/>
        <v/>
      </c>
      <c r="M70" s="41" t="str">
        <f t="shared" si="28"/>
        <v/>
      </c>
      <c r="N70" s="43">
        <f t="shared" si="31"/>
        <v>0</v>
      </c>
      <c r="O70" s="44">
        <f t="shared" si="32"/>
        <v>0</v>
      </c>
      <c r="P70" s="41" t="str">
        <f t="shared" si="33"/>
        <v/>
      </c>
      <c r="Q70" s="41" t="str">
        <f t="shared" si="34"/>
        <v/>
      </c>
      <c r="R70" s="44"/>
      <c r="S70" s="44" t="str">
        <f>IF(I70&lt;&gt;"",_xlfn.XLOOKUP(D$4+I70,A$26:A$145,$C$26:$C$145,0) * 1000,"")</f>
        <v/>
      </c>
      <c r="T70" s="52">
        <f t="shared" si="29"/>
        <v>0</v>
      </c>
      <c r="U70" s="53" t="str">
        <f t="shared" ref="U70:U124" si="45">IF(I70&lt;&gt;"", X69, "")</f>
        <v/>
      </c>
      <c r="V70" s="53" t="str">
        <f t="shared" ref="V70:V124" si="46">IF(I70&lt;&gt;"", S70*U70/1000, "")</f>
        <v/>
      </c>
      <c r="W70" s="53" t="str">
        <f t="shared" ref="W70:W124" si="47">IF(I70&lt;&gt;"", MIN(T70*U70,U70-V70), "")</f>
        <v/>
      </c>
      <c r="X70" s="46" t="str">
        <f t="shared" si="35"/>
        <v/>
      </c>
      <c r="Y70" s="54"/>
      <c r="Z70" s="41" t="str">
        <f t="shared" ref="Z70:Z124" si="48">IF(I70&lt;&gt;"",AB69,"")</f>
        <v/>
      </c>
      <c r="AA70" s="41" t="str">
        <f t="shared" ref="AA70:AA124" si="49">IF(I70&lt;&gt;"", AC69, "")</f>
        <v/>
      </c>
      <c r="AB70" s="41" t="str">
        <f t="shared" si="36"/>
        <v/>
      </c>
      <c r="AC70" s="41" t="str">
        <f t="shared" si="37"/>
        <v/>
      </c>
      <c r="AD70" s="54"/>
      <c r="AE70" s="41" t="str">
        <f t="shared" si="38"/>
        <v/>
      </c>
      <c r="AF70" s="41"/>
      <c r="AG70" s="41" t="str">
        <f t="shared" si="39"/>
        <v/>
      </c>
      <c r="AH70" s="41" t="str">
        <f t="shared" ref="AH70:AH124" si="50">IF(I70&lt;&gt;"",-M70*V70,"")</f>
        <v/>
      </c>
      <c r="AI70" s="41" t="str">
        <f t="shared" ref="AI70:AI124" si="51">IF(I70 &lt;&gt; "", -P70*W70, "")</f>
        <v/>
      </c>
      <c r="AJ70" s="41">
        <f t="shared" si="40"/>
        <v>0</v>
      </c>
      <c r="AK70" s="41" t="str">
        <f t="shared" si="41"/>
        <v/>
      </c>
      <c r="AL70" s="41">
        <f t="shared" ref="AL70:AL124" si="52">$D$6*SUM(Z70:AA70,AE70:AF70)</f>
        <v>0</v>
      </c>
      <c r="AM70" s="41">
        <f t="shared" si="42"/>
        <v>0</v>
      </c>
      <c r="AN70" s="41" t="str">
        <f t="shared" si="43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3">AT69+1</f>
        <v>66</v>
      </c>
      <c r="AU70" s="49" t="str">
        <f t="shared" ref="AU70:AU124" si="54">IF(I70&lt;&gt;"", AU69-AV69, "")</f>
        <v/>
      </c>
      <c r="AV70" s="49" t="str">
        <f t="shared" ref="AV70:AV124" si="55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1.26026353216369E-3</v>
      </c>
      <c r="C71">
        <f t="shared" si="30"/>
        <v>1.1846477202338685E-3</v>
      </c>
      <c r="D71" s="60"/>
      <c r="E71" s="5"/>
      <c r="F71" s="5"/>
      <c r="I71" s="51"/>
      <c r="J71" s="41"/>
      <c r="K71" s="41" t="str">
        <f t="shared" ref="K71:K124" si="56">IF(J71&lt;&gt;"",J71*$C$17,"")</f>
        <v/>
      </c>
      <c r="L71" s="42" t="str">
        <f t="shared" ref="L71:L124" si="57">IF(I71&lt;&gt;"",$C$21,"")</f>
        <v/>
      </c>
      <c r="M71" s="41" t="str">
        <f t="shared" ref="M71:M124" si="58">IF(I71&lt;&gt;"",$E$11,"")</f>
        <v/>
      </c>
      <c r="N71" s="43">
        <f t="shared" si="31"/>
        <v>0</v>
      </c>
      <c r="O71" s="44">
        <f t="shared" si="32"/>
        <v>0</v>
      </c>
      <c r="P71" s="41" t="str">
        <f t="shared" si="33"/>
        <v/>
      </c>
      <c r="Q71" s="41" t="str">
        <f t="shared" si="34"/>
        <v/>
      </c>
      <c r="R71" s="44"/>
      <c r="S71" s="44" t="str">
        <f>IF(I71&lt;&gt;"",_xlfn.XLOOKUP(D$4+I71,A$26:A$145,$C$26:$C$145,0) * 1000,"")</f>
        <v/>
      </c>
      <c r="T71" s="52">
        <f t="shared" si="29"/>
        <v>0</v>
      </c>
      <c r="U71" s="53" t="str">
        <f t="shared" si="45"/>
        <v/>
      </c>
      <c r="V71" s="53" t="str">
        <f t="shared" si="46"/>
        <v/>
      </c>
      <c r="W71" s="53" t="str">
        <f t="shared" si="47"/>
        <v/>
      </c>
      <c r="X71" s="46" t="str">
        <f t="shared" si="35"/>
        <v/>
      </c>
      <c r="Y71" s="54"/>
      <c r="Z71" s="41" t="str">
        <f t="shared" si="48"/>
        <v/>
      </c>
      <c r="AA71" s="41" t="str">
        <f t="shared" si="49"/>
        <v/>
      </c>
      <c r="AB71" s="41" t="str">
        <f t="shared" si="36"/>
        <v/>
      </c>
      <c r="AC71" s="41" t="str">
        <f t="shared" si="37"/>
        <v/>
      </c>
      <c r="AD71" s="54"/>
      <c r="AE71" s="41" t="str">
        <f t="shared" si="38"/>
        <v/>
      </c>
      <c r="AF71" s="41"/>
      <c r="AG71" s="41" t="str">
        <f t="shared" si="39"/>
        <v/>
      </c>
      <c r="AH71" s="41" t="str">
        <f t="shared" si="50"/>
        <v/>
      </c>
      <c r="AI71" s="41" t="str">
        <f t="shared" si="51"/>
        <v/>
      </c>
      <c r="AJ71" s="41">
        <f t="shared" si="40"/>
        <v>0</v>
      </c>
      <c r="AK71" s="41" t="str">
        <f t="shared" si="41"/>
        <v/>
      </c>
      <c r="AL71" s="41">
        <f t="shared" si="52"/>
        <v>0</v>
      </c>
      <c r="AM71" s="41">
        <f t="shared" si="42"/>
        <v>0</v>
      </c>
      <c r="AN71" s="41" t="str">
        <f t="shared" si="43"/>
        <v/>
      </c>
      <c r="AO71" s="41">
        <f t="shared" si="44"/>
        <v>0</v>
      </c>
      <c r="AP71" s="45"/>
      <c r="AQ71" s="45"/>
      <c r="AR71" s="48"/>
      <c r="AS71" s="48"/>
      <c r="AT71" s="51">
        <f t="shared" si="53"/>
        <v>67</v>
      </c>
      <c r="AU71" s="49" t="str">
        <f t="shared" si="54"/>
        <v/>
      </c>
      <c r="AV71" s="49" t="str">
        <f t="shared" si="55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1.3756834440061801E-3</v>
      </c>
      <c r="C72">
        <f t="shared" si="30"/>
        <v>1.2931424373658091E-3</v>
      </c>
      <c r="D72" s="60"/>
      <c r="E72" s="5"/>
      <c r="F72" s="5"/>
      <c r="I72" s="51"/>
      <c r="J72" s="41"/>
      <c r="K72" s="41" t="str">
        <f t="shared" si="56"/>
        <v/>
      </c>
      <c r="L72" s="42" t="str">
        <f t="shared" si="57"/>
        <v/>
      </c>
      <c r="M72" s="41" t="str">
        <f t="shared" si="58"/>
        <v/>
      </c>
      <c r="N72" s="43">
        <f>AX72</f>
        <v>0</v>
      </c>
      <c r="O72" s="44">
        <f t="shared" si="32"/>
        <v>0</v>
      </c>
      <c r="P72" s="41" t="str">
        <f t="shared" si="33"/>
        <v/>
      </c>
      <c r="Q72" s="41" t="str">
        <f t="shared" si="34"/>
        <v/>
      </c>
      <c r="R72" s="44"/>
      <c r="S72" s="44" t="str">
        <f>IF(I72&lt;&gt;"",_xlfn.XLOOKUP(D$4+I72,A$26:A$145,$C$26:$C$145,0) * 1000,"")</f>
        <v/>
      </c>
      <c r="T72" s="52">
        <f t="shared" si="29"/>
        <v>0</v>
      </c>
      <c r="U72" s="53" t="str">
        <f t="shared" si="45"/>
        <v/>
      </c>
      <c r="V72" s="53" t="str">
        <f t="shared" si="46"/>
        <v/>
      </c>
      <c r="W72" s="53" t="str">
        <f t="shared" si="47"/>
        <v/>
      </c>
      <c r="X72" s="46" t="str">
        <f t="shared" si="35"/>
        <v/>
      </c>
      <c r="Y72" s="54"/>
      <c r="Z72" s="41" t="str">
        <f t="shared" si="48"/>
        <v/>
      </c>
      <c r="AA72" s="41" t="str">
        <f t="shared" si="49"/>
        <v/>
      </c>
      <c r="AB72" s="41" t="str">
        <f t="shared" si="36"/>
        <v/>
      </c>
      <c r="AC72" s="41" t="str">
        <f t="shared" si="37"/>
        <v/>
      </c>
      <c r="AD72" s="54"/>
      <c r="AE72" s="41" t="str">
        <f t="shared" si="38"/>
        <v/>
      </c>
      <c r="AF72" s="41"/>
      <c r="AG72" s="41" t="str">
        <f t="shared" si="39"/>
        <v/>
      </c>
      <c r="AH72" s="41" t="str">
        <f t="shared" si="50"/>
        <v/>
      </c>
      <c r="AI72" s="41" t="str">
        <f t="shared" si="51"/>
        <v/>
      </c>
      <c r="AJ72" s="41">
        <f t="shared" si="40"/>
        <v>0</v>
      </c>
      <c r="AK72" s="41" t="str">
        <f t="shared" si="41"/>
        <v/>
      </c>
      <c r="AL72" s="41">
        <f t="shared" si="52"/>
        <v>0</v>
      </c>
      <c r="AM72" s="41">
        <f t="shared" si="42"/>
        <v>0</v>
      </c>
      <c r="AN72" s="41" t="str">
        <f t="shared" si="43"/>
        <v/>
      </c>
      <c r="AO72" s="41">
        <f t="shared" si="44"/>
        <v>0</v>
      </c>
      <c r="AP72" s="45"/>
      <c r="AQ72" s="45"/>
      <c r="AR72" s="48"/>
      <c r="AS72" s="48"/>
      <c r="AT72" s="51">
        <f t="shared" si="53"/>
        <v>68</v>
      </c>
      <c r="AU72" s="49" t="str">
        <f t="shared" si="54"/>
        <v/>
      </c>
      <c r="AV72" s="49" t="str">
        <f t="shared" si="55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1.5083524363912501E-3</v>
      </c>
      <c r="C73">
        <f t="shared" si="30"/>
        <v>1.417851290207775E-3</v>
      </c>
      <c r="D73" s="60"/>
      <c r="E73" s="5"/>
      <c r="F73" s="5"/>
      <c r="I73" s="51"/>
      <c r="J73" s="41"/>
      <c r="K73" s="41" t="str">
        <f t="shared" si="56"/>
        <v/>
      </c>
      <c r="L73" s="42" t="str">
        <f t="shared" si="57"/>
        <v/>
      </c>
      <c r="M73" s="41" t="str">
        <f t="shared" si="58"/>
        <v/>
      </c>
      <c r="N73" s="43">
        <f t="shared" si="31"/>
        <v>0</v>
      </c>
      <c r="O73" s="44">
        <f t="shared" si="32"/>
        <v>0</v>
      </c>
      <c r="P73" s="41" t="str">
        <f t="shared" si="33"/>
        <v/>
      </c>
      <c r="Q73" s="41" t="str">
        <f t="shared" si="34"/>
        <v/>
      </c>
      <c r="R73" s="44"/>
      <c r="S73" s="44" t="str">
        <f>IF(I73&lt;&gt;"",_xlfn.XLOOKUP(D$4+I73,A$26:A$145,$C$26:$C$145,0) * 1000,"")</f>
        <v/>
      </c>
      <c r="T73" s="52">
        <f t="shared" si="29"/>
        <v>0</v>
      </c>
      <c r="U73" s="53" t="str">
        <f t="shared" si="45"/>
        <v/>
      </c>
      <c r="V73" s="53" t="str">
        <f t="shared" si="46"/>
        <v/>
      </c>
      <c r="W73" s="53" t="str">
        <f t="shared" si="47"/>
        <v/>
      </c>
      <c r="X73" s="46" t="str">
        <f t="shared" si="35"/>
        <v/>
      </c>
      <c r="Y73" s="54"/>
      <c r="Z73" s="41" t="str">
        <f t="shared" si="48"/>
        <v/>
      </c>
      <c r="AA73" s="41" t="str">
        <f t="shared" si="49"/>
        <v/>
      </c>
      <c r="AB73" s="41" t="str">
        <f t="shared" si="36"/>
        <v/>
      </c>
      <c r="AC73" s="41" t="str">
        <f t="shared" si="37"/>
        <v/>
      </c>
      <c r="AD73" s="54"/>
      <c r="AE73" s="41" t="str">
        <f t="shared" si="38"/>
        <v/>
      </c>
      <c r="AF73" s="41"/>
      <c r="AG73" s="41" t="str">
        <f t="shared" si="39"/>
        <v/>
      </c>
      <c r="AH73" s="41" t="str">
        <f t="shared" si="50"/>
        <v/>
      </c>
      <c r="AI73" s="41" t="str">
        <f t="shared" si="51"/>
        <v/>
      </c>
      <c r="AJ73" s="41">
        <f t="shared" si="40"/>
        <v>0</v>
      </c>
      <c r="AK73" s="41" t="str">
        <f t="shared" si="41"/>
        <v/>
      </c>
      <c r="AL73" s="41">
        <f t="shared" si="52"/>
        <v>0</v>
      </c>
      <c r="AM73" s="41">
        <f t="shared" si="42"/>
        <v>0</v>
      </c>
      <c r="AN73" s="41" t="str">
        <f t="shared" si="43"/>
        <v/>
      </c>
      <c r="AO73" s="41">
        <f t="shared" si="44"/>
        <v>0</v>
      </c>
      <c r="AP73" s="45"/>
      <c r="AQ73" s="45"/>
      <c r="AR73" s="48"/>
      <c r="AS73" s="48"/>
      <c r="AT73" s="51">
        <f t="shared" si="53"/>
        <v>69</v>
      </c>
      <c r="AU73" s="49" t="str">
        <f t="shared" si="54"/>
        <v/>
      </c>
      <c r="AV73" s="49" t="str">
        <f t="shared" si="55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1.6489621717508101E-3</v>
      </c>
      <c r="C74">
        <f t="shared" si="30"/>
        <v>1.5500244414457613E-3</v>
      </c>
      <c r="D74" s="60"/>
      <c r="E74" s="5"/>
      <c r="F74" s="5"/>
      <c r="I74" s="51"/>
      <c r="J74" s="41"/>
      <c r="K74" s="41" t="str">
        <f t="shared" si="56"/>
        <v/>
      </c>
      <c r="L74" s="42" t="str">
        <f t="shared" si="57"/>
        <v/>
      </c>
      <c r="M74" s="41" t="str">
        <f t="shared" si="58"/>
        <v/>
      </c>
      <c r="N74" s="43">
        <f t="shared" si="31"/>
        <v>0</v>
      </c>
      <c r="O74" s="44">
        <f t="shared" si="32"/>
        <v>0</v>
      </c>
      <c r="P74" s="41" t="str">
        <f t="shared" si="33"/>
        <v/>
      </c>
      <c r="Q74" s="41" t="str">
        <f t="shared" si="34"/>
        <v/>
      </c>
      <c r="R74" s="44"/>
      <c r="S74" s="44" t="str">
        <f>IF(I74&lt;&gt;"",_xlfn.XLOOKUP(D$4+I74,A$26:A$145,$C$26:$C$145,0) * 1000,"")</f>
        <v/>
      </c>
      <c r="T74" s="52">
        <f t="shared" si="29"/>
        <v>0</v>
      </c>
      <c r="U74" s="53" t="str">
        <f t="shared" si="45"/>
        <v/>
      </c>
      <c r="V74" s="53" t="str">
        <f t="shared" si="46"/>
        <v/>
      </c>
      <c r="W74" s="53" t="str">
        <f t="shared" si="47"/>
        <v/>
      </c>
      <c r="X74" s="46" t="str">
        <f t="shared" si="35"/>
        <v/>
      </c>
      <c r="Y74" s="54"/>
      <c r="Z74" s="41" t="str">
        <f t="shared" si="48"/>
        <v/>
      </c>
      <c r="AA74" s="41" t="str">
        <f t="shared" si="49"/>
        <v/>
      </c>
      <c r="AB74" s="41" t="str">
        <f t="shared" si="36"/>
        <v/>
      </c>
      <c r="AC74" s="41" t="str">
        <f t="shared" si="37"/>
        <v/>
      </c>
      <c r="AD74" s="54"/>
      <c r="AE74" s="41" t="str">
        <f t="shared" si="38"/>
        <v/>
      </c>
      <c r="AF74" s="41"/>
      <c r="AG74" s="41" t="str">
        <f t="shared" si="39"/>
        <v/>
      </c>
      <c r="AH74" s="41" t="str">
        <f t="shared" si="50"/>
        <v/>
      </c>
      <c r="AI74" s="41" t="str">
        <f t="shared" si="51"/>
        <v/>
      </c>
      <c r="AJ74" s="41">
        <f t="shared" si="40"/>
        <v>0</v>
      </c>
      <c r="AK74" s="41" t="str">
        <f t="shared" si="41"/>
        <v/>
      </c>
      <c r="AL74" s="41">
        <f t="shared" si="52"/>
        <v>0</v>
      </c>
      <c r="AM74" s="41">
        <f t="shared" si="42"/>
        <v>0</v>
      </c>
      <c r="AN74" s="41" t="str">
        <f t="shared" si="43"/>
        <v/>
      </c>
      <c r="AO74" s="41">
        <f t="shared" si="44"/>
        <v>0</v>
      </c>
      <c r="AP74" s="45"/>
      <c r="AQ74" s="45"/>
      <c r="AR74" s="48"/>
      <c r="AS74" s="48"/>
      <c r="AT74" s="51">
        <f t="shared" si="53"/>
        <v>70</v>
      </c>
      <c r="AU74" s="49" t="str">
        <f t="shared" si="54"/>
        <v/>
      </c>
      <c r="AV74" s="49" t="str">
        <f t="shared" si="55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1.8030531359841701E-3</v>
      </c>
      <c r="C75">
        <f t="shared" si="30"/>
        <v>1.6948699478251197E-3</v>
      </c>
      <c r="D75" s="60"/>
      <c r="E75" s="5"/>
      <c r="F75" s="5"/>
      <c r="I75" s="51"/>
      <c r="J75" s="41"/>
      <c r="K75" s="41" t="str">
        <f t="shared" si="56"/>
        <v/>
      </c>
      <c r="L75" s="42" t="str">
        <f t="shared" si="57"/>
        <v/>
      </c>
      <c r="M75" s="41" t="str">
        <f t="shared" si="58"/>
        <v/>
      </c>
      <c r="N75" s="43">
        <f t="shared" si="31"/>
        <v>0</v>
      </c>
      <c r="O75" s="44">
        <f t="shared" si="32"/>
        <v>0</v>
      </c>
      <c r="P75" s="41" t="str">
        <f t="shared" si="33"/>
        <v/>
      </c>
      <c r="Q75" s="41" t="str">
        <f t="shared" si="34"/>
        <v/>
      </c>
      <c r="R75" s="44"/>
      <c r="S75" s="44" t="str">
        <f>IF(I75&lt;&gt;"",_xlfn.XLOOKUP(D$4+I75,A$26:A$145,$C$26:$C$145,0) * 1000,"")</f>
        <v/>
      </c>
      <c r="T75" s="52">
        <f t="shared" si="29"/>
        <v>0</v>
      </c>
      <c r="U75" s="53" t="str">
        <f t="shared" si="45"/>
        <v/>
      </c>
      <c r="V75" s="53" t="str">
        <f t="shared" si="46"/>
        <v/>
      </c>
      <c r="W75" s="53" t="str">
        <f t="shared" si="47"/>
        <v/>
      </c>
      <c r="X75" s="46" t="str">
        <f t="shared" si="35"/>
        <v/>
      </c>
      <c r="Y75" s="54"/>
      <c r="Z75" s="41" t="str">
        <f t="shared" si="48"/>
        <v/>
      </c>
      <c r="AA75" s="41" t="str">
        <f t="shared" si="49"/>
        <v/>
      </c>
      <c r="AB75" s="41" t="str">
        <f t="shared" si="36"/>
        <v/>
      </c>
      <c r="AC75" s="41" t="str">
        <f t="shared" si="37"/>
        <v/>
      </c>
      <c r="AD75" s="54"/>
      <c r="AE75" s="41" t="str">
        <f t="shared" si="38"/>
        <v/>
      </c>
      <c r="AF75" s="41"/>
      <c r="AG75" s="41" t="str">
        <f t="shared" si="39"/>
        <v/>
      </c>
      <c r="AH75" s="41" t="str">
        <f t="shared" si="50"/>
        <v/>
      </c>
      <c r="AI75" s="41" t="str">
        <f t="shared" si="51"/>
        <v/>
      </c>
      <c r="AJ75" s="41">
        <f t="shared" si="40"/>
        <v>0</v>
      </c>
      <c r="AK75" s="41" t="str">
        <f t="shared" si="41"/>
        <v/>
      </c>
      <c r="AL75" s="41">
        <f t="shared" si="52"/>
        <v>0</v>
      </c>
      <c r="AM75" s="41">
        <f t="shared" si="42"/>
        <v>0</v>
      </c>
      <c r="AN75" s="41" t="str">
        <f t="shared" si="43"/>
        <v/>
      </c>
      <c r="AO75" s="41">
        <f t="shared" si="44"/>
        <v>0</v>
      </c>
      <c r="AP75" s="45"/>
      <c r="AQ75" s="45"/>
      <c r="AR75" s="48"/>
      <c r="AS75" s="48"/>
      <c r="AT75" s="51">
        <f t="shared" si="53"/>
        <v>71</v>
      </c>
      <c r="AU75" s="49" t="str">
        <f t="shared" si="54"/>
        <v/>
      </c>
      <c r="AV75" s="49" t="str">
        <f t="shared" si="55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1.9682405952570199E-3</v>
      </c>
      <c r="C76">
        <f t="shared" si="30"/>
        <v>1.8501461595415987E-3</v>
      </c>
      <c r="D76" s="60"/>
      <c r="E76" s="5"/>
      <c r="F76" s="5"/>
      <c r="I76" s="51"/>
      <c r="J76" s="41"/>
      <c r="K76" s="41" t="str">
        <f t="shared" si="56"/>
        <v/>
      </c>
      <c r="L76" s="42" t="str">
        <f t="shared" si="57"/>
        <v/>
      </c>
      <c r="M76" s="41" t="str">
        <f t="shared" si="58"/>
        <v/>
      </c>
      <c r="N76" s="43">
        <f t="shared" si="31"/>
        <v>0</v>
      </c>
      <c r="O76" s="44">
        <f t="shared" si="32"/>
        <v>0</v>
      </c>
      <c r="P76" s="41" t="str">
        <f t="shared" si="33"/>
        <v/>
      </c>
      <c r="Q76" s="41" t="str">
        <f t="shared" si="34"/>
        <v/>
      </c>
      <c r="R76" s="44"/>
      <c r="S76" s="44" t="str">
        <f>IF(I76&lt;&gt;"",_xlfn.XLOOKUP(D$4+I76,A$26:A$145,$C$26:$C$145,0) * 1000,"")</f>
        <v/>
      </c>
      <c r="T76" s="52">
        <f t="shared" si="29"/>
        <v>0</v>
      </c>
      <c r="U76" s="53" t="str">
        <f t="shared" si="45"/>
        <v/>
      </c>
      <c r="V76" s="53" t="str">
        <f t="shared" si="46"/>
        <v/>
      </c>
      <c r="W76" s="53" t="str">
        <f t="shared" si="47"/>
        <v/>
      </c>
      <c r="X76" s="46" t="str">
        <f t="shared" si="35"/>
        <v/>
      </c>
      <c r="Y76" s="54"/>
      <c r="Z76" s="41" t="str">
        <f t="shared" si="48"/>
        <v/>
      </c>
      <c r="AA76" s="41" t="str">
        <f t="shared" si="49"/>
        <v/>
      </c>
      <c r="AB76" s="41" t="str">
        <f t="shared" si="36"/>
        <v/>
      </c>
      <c r="AC76" s="41" t="str">
        <f t="shared" si="37"/>
        <v/>
      </c>
      <c r="AD76" s="54"/>
      <c r="AE76" s="41" t="str">
        <f t="shared" si="38"/>
        <v/>
      </c>
      <c r="AF76" s="41"/>
      <c r="AG76" s="41" t="str">
        <f t="shared" si="39"/>
        <v/>
      </c>
      <c r="AH76" s="41" t="str">
        <f t="shared" si="50"/>
        <v/>
      </c>
      <c r="AI76" s="41" t="str">
        <f t="shared" si="51"/>
        <v/>
      </c>
      <c r="AJ76" s="41">
        <f t="shared" si="40"/>
        <v>0</v>
      </c>
      <c r="AK76" s="41" t="str">
        <f t="shared" si="41"/>
        <v/>
      </c>
      <c r="AL76" s="41">
        <f t="shared" si="52"/>
        <v>0</v>
      </c>
      <c r="AM76" s="41">
        <f t="shared" si="42"/>
        <v>0</v>
      </c>
      <c r="AN76" s="41" t="str">
        <f t="shared" si="43"/>
        <v/>
      </c>
      <c r="AO76" s="41">
        <f t="shared" si="44"/>
        <v>0</v>
      </c>
      <c r="AP76" s="45"/>
      <c r="AQ76" s="45"/>
      <c r="AR76" s="48"/>
      <c r="AS76" s="48"/>
      <c r="AT76" s="51">
        <f t="shared" si="53"/>
        <v>72</v>
      </c>
      <c r="AU76" s="49" t="str">
        <f t="shared" si="54"/>
        <v/>
      </c>
      <c r="AV76" s="49" t="str">
        <f t="shared" si="55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2.1584281214596102E-3</v>
      </c>
      <c r="C77">
        <f t="shared" si="30"/>
        <v>2.0289224341720332E-3</v>
      </c>
      <c r="D77" s="60"/>
      <c r="E77" s="5"/>
      <c r="F77" s="5"/>
      <c r="I77" s="51"/>
      <c r="J77" s="41"/>
      <c r="K77" s="41" t="str">
        <f t="shared" si="56"/>
        <v/>
      </c>
      <c r="L77" s="42" t="str">
        <f t="shared" si="57"/>
        <v/>
      </c>
      <c r="M77" s="41" t="str">
        <f t="shared" si="58"/>
        <v/>
      </c>
      <c r="N77" s="43">
        <f t="shared" si="31"/>
        <v>0</v>
      </c>
      <c r="O77" s="44">
        <f t="shared" si="32"/>
        <v>0</v>
      </c>
      <c r="P77" s="41" t="str">
        <f t="shared" si="33"/>
        <v/>
      </c>
      <c r="Q77" s="41" t="str">
        <f t="shared" si="34"/>
        <v/>
      </c>
      <c r="R77" s="44"/>
      <c r="S77" s="44" t="str">
        <f>IF(I77&lt;&gt;"",_xlfn.XLOOKUP(D$4+I77,A$26:A$145,$C$26:$C$145,0) * 1000,"")</f>
        <v/>
      </c>
      <c r="T77" s="52">
        <f t="shared" si="29"/>
        <v>0</v>
      </c>
      <c r="U77" s="53" t="str">
        <f t="shared" si="45"/>
        <v/>
      </c>
      <c r="V77" s="53" t="str">
        <f t="shared" si="46"/>
        <v/>
      </c>
      <c r="W77" s="53" t="str">
        <f t="shared" si="47"/>
        <v/>
      </c>
      <c r="X77" s="46" t="str">
        <f t="shared" si="35"/>
        <v/>
      </c>
      <c r="Y77" s="54"/>
      <c r="Z77" s="41" t="str">
        <f t="shared" si="48"/>
        <v/>
      </c>
      <c r="AA77" s="41" t="str">
        <f t="shared" si="49"/>
        <v/>
      </c>
      <c r="AB77" s="41" t="str">
        <f t="shared" si="36"/>
        <v/>
      </c>
      <c r="AC77" s="41" t="str">
        <f t="shared" si="37"/>
        <v/>
      </c>
      <c r="AD77" s="54"/>
      <c r="AE77" s="41" t="str">
        <f t="shared" si="38"/>
        <v/>
      </c>
      <c r="AF77" s="41"/>
      <c r="AG77" s="41" t="str">
        <f t="shared" si="39"/>
        <v/>
      </c>
      <c r="AH77" s="41" t="str">
        <f t="shared" si="50"/>
        <v/>
      </c>
      <c r="AI77" s="41" t="str">
        <f t="shared" si="51"/>
        <v/>
      </c>
      <c r="AJ77" s="41">
        <f t="shared" si="40"/>
        <v>0</v>
      </c>
      <c r="AK77" s="41" t="str">
        <f t="shared" si="41"/>
        <v/>
      </c>
      <c r="AL77" s="41">
        <f t="shared" si="52"/>
        <v>0</v>
      </c>
      <c r="AM77" s="41">
        <f t="shared" si="42"/>
        <v>0</v>
      </c>
      <c r="AN77" s="41" t="str">
        <f t="shared" si="43"/>
        <v/>
      </c>
      <c r="AO77" s="41">
        <f t="shared" si="44"/>
        <v>0</v>
      </c>
      <c r="AP77" s="45"/>
      <c r="AQ77" s="45"/>
      <c r="AR77" s="48"/>
      <c r="AS77" s="48"/>
      <c r="AT77" s="51">
        <f t="shared" si="53"/>
        <v>73</v>
      </c>
      <c r="AU77" s="49" t="str">
        <f t="shared" si="54"/>
        <v/>
      </c>
      <c r="AV77" s="49" t="str">
        <f t="shared" si="55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2.3755537608656199E-3</v>
      </c>
      <c r="C78">
        <f t="shared" si="30"/>
        <v>2.2330205352136825E-3</v>
      </c>
      <c r="D78" s="60"/>
      <c r="E78" s="5"/>
      <c r="F78" s="5"/>
      <c r="I78" s="51"/>
      <c r="J78" s="41"/>
      <c r="K78" s="41" t="str">
        <f t="shared" si="56"/>
        <v/>
      </c>
      <c r="L78" s="42" t="str">
        <f t="shared" si="57"/>
        <v/>
      </c>
      <c r="M78" s="41" t="str">
        <f t="shared" si="58"/>
        <v/>
      </c>
      <c r="N78" s="43">
        <f>AX78</f>
        <v>0</v>
      </c>
      <c r="O78" s="44">
        <f t="shared" si="32"/>
        <v>0</v>
      </c>
      <c r="P78" s="41" t="str">
        <f t="shared" si="33"/>
        <v/>
      </c>
      <c r="Q78" s="41" t="str">
        <f t="shared" si="34"/>
        <v/>
      </c>
      <c r="R78" s="44"/>
      <c r="S78" s="44" t="str">
        <f>IF(I78&lt;&gt;"",_xlfn.XLOOKUP(D$4+I78,A$26:A$145,$C$26:$C$145,0) * 1000,"")</f>
        <v/>
      </c>
      <c r="T78" s="52">
        <f t="shared" si="29"/>
        <v>0</v>
      </c>
      <c r="U78" s="53" t="str">
        <f t="shared" si="45"/>
        <v/>
      </c>
      <c r="V78" s="53" t="str">
        <f t="shared" si="46"/>
        <v/>
      </c>
      <c r="W78" s="53" t="str">
        <f t="shared" si="47"/>
        <v/>
      </c>
      <c r="X78" s="46" t="str">
        <f t="shared" si="35"/>
        <v/>
      </c>
      <c r="Y78" s="54"/>
      <c r="Z78" s="41" t="str">
        <f t="shared" si="48"/>
        <v/>
      </c>
      <c r="AA78" s="41" t="str">
        <f t="shared" si="49"/>
        <v/>
      </c>
      <c r="AB78" s="41" t="str">
        <f t="shared" si="36"/>
        <v/>
      </c>
      <c r="AC78" s="41" t="str">
        <f t="shared" si="37"/>
        <v/>
      </c>
      <c r="AD78" s="54"/>
      <c r="AE78" s="41" t="str">
        <f t="shared" si="38"/>
        <v/>
      </c>
      <c r="AF78" s="41"/>
      <c r="AG78" s="41" t="str">
        <f t="shared" si="39"/>
        <v/>
      </c>
      <c r="AH78" s="41" t="str">
        <f t="shared" si="50"/>
        <v/>
      </c>
      <c r="AI78" s="41" t="str">
        <f t="shared" si="51"/>
        <v/>
      </c>
      <c r="AJ78" s="41">
        <f t="shared" si="40"/>
        <v>0</v>
      </c>
      <c r="AK78" s="41" t="str">
        <f t="shared" si="41"/>
        <v/>
      </c>
      <c r="AL78" s="41">
        <f t="shared" si="52"/>
        <v>0</v>
      </c>
      <c r="AM78" s="41">
        <f t="shared" si="42"/>
        <v>0</v>
      </c>
      <c r="AN78" s="41" t="str">
        <f t="shared" si="43"/>
        <v/>
      </c>
      <c r="AO78" s="41">
        <f t="shared" si="44"/>
        <v>0</v>
      </c>
      <c r="AP78" s="45"/>
      <c r="AQ78" s="45"/>
      <c r="AR78" s="48"/>
      <c r="AS78" s="48"/>
      <c r="AT78" s="51">
        <f t="shared" si="53"/>
        <v>74</v>
      </c>
      <c r="AU78" s="49" t="str">
        <f t="shared" si="54"/>
        <v/>
      </c>
      <c r="AV78" s="49" t="str">
        <f t="shared" si="55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2.6150297236990899E-3</v>
      </c>
      <c r="C79">
        <f t="shared" si="30"/>
        <v>2.4581279402771444E-3</v>
      </c>
      <c r="D79" s="60"/>
      <c r="E79" s="5"/>
      <c r="F79" s="5"/>
      <c r="I79" s="51"/>
      <c r="J79" s="41"/>
      <c r="K79" s="41" t="str">
        <f t="shared" si="56"/>
        <v/>
      </c>
      <c r="L79" s="42" t="str">
        <f t="shared" si="57"/>
        <v/>
      </c>
      <c r="M79" s="41" t="str">
        <f t="shared" si="58"/>
        <v/>
      </c>
      <c r="N79" s="43">
        <f t="shared" si="31"/>
        <v>0</v>
      </c>
      <c r="O79" s="44">
        <f t="shared" si="32"/>
        <v>0</v>
      </c>
      <c r="P79" s="41" t="str">
        <f t="shared" si="33"/>
        <v/>
      </c>
      <c r="Q79" s="41" t="str">
        <f t="shared" si="34"/>
        <v/>
      </c>
      <c r="R79" s="44"/>
      <c r="S79" s="44" t="str">
        <f>IF(I79&lt;&gt;"",_xlfn.XLOOKUP(D$4+I79,A$26:A$145,$C$26:$C$145,0) * 1000,"")</f>
        <v/>
      </c>
      <c r="T79" s="52">
        <f t="shared" si="29"/>
        <v>0</v>
      </c>
      <c r="U79" s="53" t="str">
        <f t="shared" si="45"/>
        <v/>
      </c>
      <c r="V79" s="53" t="str">
        <f t="shared" si="46"/>
        <v/>
      </c>
      <c r="W79" s="53" t="str">
        <f t="shared" si="47"/>
        <v/>
      </c>
      <c r="X79" s="46" t="str">
        <f t="shared" si="35"/>
        <v/>
      </c>
      <c r="Y79" s="54"/>
      <c r="Z79" s="41" t="str">
        <f t="shared" si="48"/>
        <v/>
      </c>
      <c r="AA79" s="41" t="str">
        <f t="shared" si="49"/>
        <v/>
      </c>
      <c r="AB79" s="41" t="str">
        <f t="shared" si="36"/>
        <v/>
      </c>
      <c r="AC79" s="41" t="str">
        <f t="shared" si="37"/>
        <v/>
      </c>
      <c r="AD79" s="54"/>
      <c r="AE79" s="41" t="str">
        <f t="shared" si="38"/>
        <v/>
      </c>
      <c r="AF79" s="41"/>
      <c r="AG79" s="41" t="str">
        <f t="shared" si="39"/>
        <v/>
      </c>
      <c r="AH79" s="41" t="str">
        <f t="shared" si="50"/>
        <v/>
      </c>
      <c r="AI79" s="41" t="str">
        <f t="shared" si="51"/>
        <v/>
      </c>
      <c r="AJ79" s="41">
        <f t="shared" si="40"/>
        <v>0</v>
      </c>
      <c r="AK79" s="41" t="str">
        <f t="shared" si="41"/>
        <v/>
      </c>
      <c r="AL79" s="41">
        <f t="shared" si="52"/>
        <v>0</v>
      </c>
      <c r="AM79" s="41">
        <f t="shared" si="42"/>
        <v>0</v>
      </c>
      <c r="AN79" s="41" t="str">
        <f t="shared" si="43"/>
        <v/>
      </c>
      <c r="AO79" s="41">
        <f>SUM(AM79:AN79)</f>
        <v>0</v>
      </c>
      <c r="AP79" s="45"/>
      <c r="AQ79" s="45"/>
      <c r="AR79" s="48"/>
      <c r="AS79" s="48"/>
      <c r="AT79" s="51">
        <f t="shared" si="53"/>
        <v>75</v>
      </c>
      <c r="AU79" s="49" t="str">
        <f t="shared" si="54"/>
        <v/>
      </c>
      <c r="AV79" s="49" t="str">
        <f t="shared" si="55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2.8877967769773698E-3</v>
      </c>
      <c r="C80">
        <f t="shared" si="30"/>
        <v>2.7145289703587273E-3</v>
      </c>
      <c r="D80" s="60"/>
      <c r="E80" s="5"/>
      <c r="F80" s="5"/>
      <c r="I80" s="51"/>
      <c r="J80" s="41"/>
      <c r="K80" s="41" t="str">
        <f t="shared" si="56"/>
        <v/>
      </c>
      <c r="L80" s="42" t="str">
        <f t="shared" si="57"/>
        <v/>
      </c>
      <c r="M80" s="41" t="str">
        <f t="shared" si="58"/>
        <v/>
      </c>
      <c r="N80" s="43">
        <f t="shared" si="31"/>
        <v>0</v>
      </c>
      <c r="O80" s="44">
        <f t="shared" si="32"/>
        <v>0</v>
      </c>
      <c r="P80" s="41" t="str">
        <f t="shared" si="33"/>
        <v/>
      </c>
      <c r="Q80" s="41" t="str">
        <f t="shared" si="34"/>
        <v/>
      </c>
      <c r="R80" s="45"/>
      <c r="S80" s="44" t="str">
        <f>IF(I80&lt;&gt;"",_xlfn.XLOOKUP(D$4+I80,A$26:A$145,$C$26:$C$145,0) * 1000,"")</f>
        <v/>
      </c>
      <c r="T80" s="52">
        <f t="shared" si="29"/>
        <v>0</v>
      </c>
      <c r="U80" s="53" t="str">
        <f t="shared" si="45"/>
        <v/>
      </c>
      <c r="V80" s="53" t="str">
        <f t="shared" si="46"/>
        <v/>
      </c>
      <c r="W80" s="53" t="str">
        <f t="shared" si="47"/>
        <v/>
      </c>
      <c r="X80" s="46" t="str">
        <f t="shared" si="35"/>
        <v/>
      </c>
      <c r="Y80" s="45"/>
      <c r="Z80" s="41" t="str">
        <f t="shared" si="48"/>
        <v/>
      </c>
      <c r="AA80" s="41" t="str">
        <f t="shared" si="49"/>
        <v/>
      </c>
      <c r="AB80" s="41" t="str">
        <f t="shared" si="36"/>
        <v/>
      </c>
      <c r="AC80" s="41" t="str">
        <f t="shared" si="37"/>
        <v/>
      </c>
      <c r="AD80" s="45"/>
      <c r="AE80" s="41" t="str">
        <f t="shared" si="38"/>
        <v/>
      </c>
      <c r="AF80" s="41"/>
      <c r="AG80" s="41" t="str">
        <f t="shared" si="39"/>
        <v/>
      </c>
      <c r="AH80" s="41" t="str">
        <f t="shared" si="50"/>
        <v/>
      </c>
      <c r="AI80" s="41" t="str">
        <f t="shared" si="51"/>
        <v/>
      </c>
      <c r="AJ80" s="41">
        <f t="shared" si="40"/>
        <v>0</v>
      </c>
      <c r="AK80" s="41" t="str">
        <f t="shared" si="41"/>
        <v/>
      </c>
      <c r="AL80" s="41">
        <f t="shared" si="52"/>
        <v>0</v>
      </c>
      <c r="AM80" s="41">
        <f t="shared" si="42"/>
        <v>0</v>
      </c>
      <c r="AN80" s="41" t="str">
        <f t="shared" si="43"/>
        <v/>
      </c>
      <c r="AO80" s="41">
        <f t="shared" ref="AO80:AO124" si="59">SUM(AM80:AN80)</f>
        <v>0</v>
      </c>
      <c r="AP80" s="45"/>
      <c r="AQ80" s="48"/>
      <c r="AR80" s="48"/>
      <c r="AS80" s="48"/>
      <c r="AT80" s="51">
        <f t="shared" si="53"/>
        <v>76</v>
      </c>
      <c r="AU80" s="49" t="str">
        <f t="shared" si="54"/>
        <v/>
      </c>
      <c r="AV80" s="49" t="str">
        <f t="shared" si="55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3.0466020210716499E-3</v>
      </c>
      <c r="C81">
        <f t="shared" si="30"/>
        <v>2.8638058998073507E-3</v>
      </c>
      <c r="D81" s="60"/>
      <c r="E81" s="5"/>
      <c r="F81" s="5"/>
      <c r="I81" s="51"/>
      <c r="J81" s="41"/>
      <c r="K81" s="41" t="str">
        <f t="shared" si="56"/>
        <v/>
      </c>
      <c r="L81" s="42" t="str">
        <f t="shared" si="57"/>
        <v/>
      </c>
      <c r="M81" s="41" t="str">
        <f t="shared" si="58"/>
        <v/>
      </c>
      <c r="N81" s="43">
        <f t="shared" si="31"/>
        <v>0</v>
      </c>
      <c r="O81" s="44">
        <f t="shared" si="32"/>
        <v>0</v>
      </c>
      <c r="P81" s="41" t="str">
        <f t="shared" si="33"/>
        <v/>
      </c>
      <c r="Q81" s="41" t="str">
        <f t="shared" si="34"/>
        <v/>
      </c>
      <c r="R81" s="45"/>
      <c r="S81" s="44" t="str">
        <f>IF(I81&lt;&gt;"",_xlfn.XLOOKUP(D$4+I81,A$26:A$145,$C$26:$C$145,0) * 1000,"")</f>
        <v/>
      </c>
      <c r="T81" s="52">
        <f t="shared" ref="T81:T124" si="60">$C$13</f>
        <v>0</v>
      </c>
      <c r="U81" s="53" t="str">
        <f t="shared" si="45"/>
        <v/>
      </c>
      <c r="V81" s="53" t="str">
        <f t="shared" si="46"/>
        <v/>
      </c>
      <c r="W81" s="53" t="str">
        <f t="shared" si="47"/>
        <v/>
      </c>
      <c r="X81" s="46" t="str">
        <f t="shared" si="35"/>
        <v/>
      </c>
      <c r="Y81" s="45"/>
      <c r="Z81" s="41" t="str">
        <f t="shared" si="48"/>
        <v/>
      </c>
      <c r="AA81" s="41" t="str">
        <f t="shared" si="49"/>
        <v/>
      </c>
      <c r="AB81" s="41" t="str">
        <f t="shared" si="36"/>
        <v/>
      </c>
      <c r="AC81" s="41" t="str">
        <f t="shared" si="37"/>
        <v/>
      </c>
      <c r="AD81" s="48"/>
      <c r="AE81" s="41" t="str">
        <f t="shared" si="38"/>
        <v/>
      </c>
      <c r="AF81" s="41"/>
      <c r="AG81" s="41" t="str">
        <f t="shared" si="39"/>
        <v/>
      </c>
      <c r="AH81" s="41" t="str">
        <f t="shared" si="50"/>
        <v/>
      </c>
      <c r="AI81" s="41" t="str">
        <f t="shared" si="51"/>
        <v/>
      </c>
      <c r="AJ81" s="41">
        <f t="shared" si="40"/>
        <v>0</v>
      </c>
      <c r="AK81" s="41" t="str">
        <f t="shared" si="41"/>
        <v/>
      </c>
      <c r="AL81" s="41">
        <f t="shared" si="52"/>
        <v>0</v>
      </c>
      <c r="AM81" s="41">
        <f t="shared" si="42"/>
        <v>0</v>
      </c>
      <c r="AN81" s="41" t="str">
        <f t="shared" si="43"/>
        <v/>
      </c>
      <c r="AO81" s="41">
        <f t="shared" si="59"/>
        <v>0</v>
      </c>
      <c r="AP81" s="45"/>
      <c r="AQ81" s="48"/>
      <c r="AR81" s="48"/>
      <c r="AS81" s="48"/>
      <c r="AT81" s="51">
        <f t="shared" si="53"/>
        <v>77</v>
      </c>
      <c r="AU81" s="49" t="str">
        <f t="shared" si="54"/>
        <v/>
      </c>
      <c r="AV81" s="49" t="str">
        <f t="shared" si="55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3.3538940999473499E-3</v>
      </c>
      <c r="C82">
        <f t="shared" si="30"/>
        <v>3.152660453950509E-3</v>
      </c>
      <c r="D82" s="60"/>
      <c r="E82" s="5"/>
      <c r="F82" s="5"/>
      <c r="I82" s="51"/>
      <c r="J82" s="41"/>
      <c r="K82" s="41" t="str">
        <f t="shared" si="56"/>
        <v/>
      </c>
      <c r="L82" s="42" t="str">
        <f t="shared" si="57"/>
        <v/>
      </c>
      <c r="M82" s="41" t="str">
        <f t="shared" si="58"/>
        <v/>
      </c>
      <c r="N82" s="43">
        <f t="shared" si="31"/>
        <v>0</v>
      </c>
      <c r="O82" s="44">
        <f t="shared" si="32"/>
        <v>0</v>
      </c>
      <c r="P82" s="41" t="str">
        <f t="shared" si="33"/>
        <v/>
      </c>
      <c r="Q82" s="41" t="str">
        <f t="shared" si="34"/>
        <v/>
      </c>
      <c r="R82" s="45"/>
      <c r="S82" s="44" t="str">
        <f>IF(I82&lt;&gt;"",_xlfn.XLOOKUP(D$4+I82,A$26:A$145,$C$26:$C$145,0) * 1000,"")</f>
        <v/>
      </c>
      <c r="T82" s="52">
        <f t="shared" si="60"/>
        <v>0</v>
      </c>
      <c r="U82" s="53" t="str">
        <f t="shared" si="45"/>
        <v/>
      </c>
      <c r="V82" s="53" t="str">
        <f t="shared" si="46"/>
        <v/>
      </c>
      <c r="W82" s="53" t="str">
        <f t="shared" si="47"/>
        <v/>
      </c>
      <c r="X82" s="46" t="str">
        <f t="shared" si="35"/>
        <v/>
      </c>
      <c r="Y82" s="45"/>
      <c r="Z82" s="41" t="str">
        <f t="shared" si="48"/>
        <v/>
      </c>
      <c r="AA82" s="41" t="str">
        <f t="shared" si="49"/>
        <v/>
      </c>
      <c r="AB82" s="41" t="str">
        <f t="shared" si="36"/>
        <v/>
      </c>
      <c r="AC82" s="41" t="str">
        <f t="shared" si="37"/>
        <v/>
      </c>
      <c r="AD82" s="48"/>
      <c r="AE82" s="41" t="str">
        <f t="shared" si="38"/>
        <v/>
      </c>
      <c r="AF82" s="41"/>
      <c r="AG82" s="41" t="str">
        <f t="shared" si="39"/>
        <v/>
      </c>
      <c r="AH82" s="41" t="str">
        <f t="shared" si="50"/>
        <v/>
      </c>
      <c r="AI82" s="41" t="str">
        <f t="shared" si="51"/>
        <v/>
      </c>
      <c r="AJ82" s="41">
        <f t="shared" si="40"/>
        <v>0</v>
      </c>
      <c r="AK82" s="41" t="str">
        <f t="shared" si="41"/>
        <v/>
      </c>
      <c r="AL82" s="41">
        <f t="shared" si="52"/>
        <v>0</v>
      </c>
      <c r="AM82" s="41">
        <f t="shared" si="42"/>
        <v>0</v>
      </c>
      <c r="AN82" s="41" t="str">
        <f t="shared" si="43"/>
        <v/>
      </c>
      <c r="AO82" s="41">
        <f t="shared" si="59"/>
        <v>0</v>
      </c>
      <c r="AP82" s="45"/>
      <c r="AQ82" s="48"/>
      <c r="AR82" s="48"/>
      <c r="AS82" s="48"/>
      <c r="AT82" s="51">
        <f t="shared" si="53"/>
        <v>78</v>
      </c>
      <c r="AU82" s="49" t="str">
        <f t="shared" si="54"/>
        <v/>
      </c>
      <c r="AV82" s="49" t="str">
        <f t="shared" si="55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3.6827136734958201E-3</v>
      </c>
      <c r="C83">
        <f t="shared" si="30"/>
        <v>3.4617508530860705E-3</v>
      </c>
      <c r="D83" s="60"/>
      <c r="E83" s="5"/>
      <c r="F83" s="5"/>
      <c r="I83" s="51"/>
      <c r="J83" s="41"/>
      <c r="K83" s="41" t="str">
        <f t="shared" si="56"/>
        <v/>
      </c>
      <c r="L83" s="42" t="str">
        <f t="shared" si="57"/>
        <v/>
      </c>
      <c r="M83" s="41" t="str">
        <f t="shared" si="58"/>
        <v/>
      </c>
      <c r="N83" s="43">
        <f t="shared" si="31"/>
        <v>0</v>
      </c>
      <c r="O83" s="44">
        <f t="shared" si="32"/>
        <v>0</v>
      </c>
      <c r="P83" s="41" t="str">
        <f t="shared" si="33"/>
        <v/>
      </c>
      <c r="Q83" s="41" t="str">
        <f t="shared" si="34"/>
        <v/>
      </c>
      <c r="R83" s="45"/>
      <c r="S83" s="44" t="str">
        <f>IF(I83&lt;&gt;"",_xlfn.XLOOKUP(D$4+I83,A$26:A$145,$C$26:$C$145,0) * 1000,"")</f>
        <v/>
      </c>
      <c r="T83" s="52">
        <f t="shared" si="60"/>
        <v>0</v>
      </c>
      <c r="U83" s="53" t="str">
        <f t="shared" si="45"/>
        <v/>
      </c>
      <c r="V83" s="53" t="str">
        <f t="shared" si="46"/>
        <v/>
      </c>
      <c r="W83" s="53" t="str">
        <f t="shared" si="47"/>
        <v/>
      </c>
      <c r="X83" s="46" t="str">
        <f t="shared" si="35"/>
        <v/>
      </c>
      <c r="Y83" s="45"/>
      <c r="Z83" s="41" t="str">
        <f t="shared" si="48"/>
        <v/>
      </c>
      <c r="AA83" s="41" t="str">
        <f t="shared" si="49"/>
        <v/>
      </c>
      <c r="AB83" s="41" t="str">
        <f t="shared" si="36"/>
        <v/>
      </c>
      <c r="AC83" s="41" t="str">
        <f t="shared" si="37"/>
        <v/>
      </c>
      <c r="AD83" s="48"/>
      <c r="AE83" s="41" t="str">
        <f t="shared" si="38"/>
        <v/>
      </c>
      <c r="AF83" s="41"/>
      <c r="AG83" s="41" t="str">
        <f t="shared" si="39"/>
        <v/>
      </c>
      <c r="AH83" s="41" t="str">
        <f t="shared" si="50"/>
        <v/>
      </c>
      <c r="AI83" s="41" t="str">
        <f t="shared" si="51"/>
        <v/>
      </c>
      <c r="AJ83" s="41">
        <f t="shared" si="40"/>
        <v>0</v>
      </c>
      <c r="AK83" s="41" t="str">
        <f t="shared" si="41"/>
        <v/>
      </c>
      <c r="AL83" s="41">
        <f t="shared" si="52"/>
        <v>0</v>
      </c>
      <c r="AM83" s="41">
        <f t="shared" si="42"/>
        <v>0</v>
      </c>
      <c r="AN83" s="41" t="str">
        <f t="shared" si="43"/>
        <v/>
      </c>
      <c r="AO83" s="41">
        <f t="shared" si="59"/>
        <v>0</v>
      </c>
      <c r="AP83" s="45"/>
      <c r="AQ83" s="48"/>
      <c r="AR83" s="48"/>
      <c r="AS83" s="48"/>
      <c r="AT83" s="51">
        <f t="shared" si="53"/>
        <v>79</v>
      </c>
      <c r="AU83" s="49" t="str">
        <f t="shared" si="54"/>
        <v/>
      </c>
      <c r="AV83" s="49" t="str">
        <f t="shared" si="55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4.0445609239698798E-3</v>
      </c>
      <c r="C84">
        <f t="shared" si="30"/>
        <v>3.8018872685316868E-3</v>
      </c>
      <c r="D84" s="60"/>
      <c r="E84" s="5"/>
      <c r="F84" s="5"/>
      <c r="I84" s="51"/>
      <c r="J84" s="41"/>
      <c r="K84" s="41" t="str">
        <f t="shared" si="56"/>
        <v/>
      </c>
      <c r="L84" s="42" t="str">
        <f t="shared" si="57"/>
        <v/>
      </c>
      <c r="M84" s="41" t="str">
        <f t="shared" si="58"/>
        <v/>
      </c>
      <c r="N84" s="43">
        <f t="shared" si="31"/>
        <v>0</v>
      </c>
      <c r="O84" s="44">
        <f t="shared" si="32"/>
        <v>0</v>
      </c>
      <c r="P84" s="41" t="str">
        <f t="shared" si="33"/>
        <v/>
      </c>
      <c r="Q84" s="41" t="str">
        <f t="shared" si="34"/>
        <v/>
      </c>
      <c r="R84" s="45"/>
      <c r="S84" s="44" t="str">
        <f>IF(I84&lt;&gt;"",_xlfn.XLOOKUP(D$4+I84,A$26:A$145,$C$26:$C$145,0) * 1000,"")</f>
        <v/>
      </c>
      <c r="T84" s="52">
        <f t="shared" si="60"/>
        <v>0</v>
      </c>
      <c r="U84" s="53" t="str">
        <f t="shared" si="45"/>
        <v/>
      </c>
      <c r="V84" s="53" t="str">
        <f t="shared" si="46"/>
        <v/>
      </c>
      <c r="W84" s="53" t="str">
        <f t="shared" si="47"/>
        <v/>
      </c>
      <c r="X84" s="46" t="str">
        <f t="shared" si="35"/>
        <v/>
      </c>
      <c r="Y84" s="45"/>
      <c r="Z84" s="41" t="str">
        <f t="shared" si="48"/>
        <v/>
      </c>
      <c r="AA84" s="41" t="str">
        <f t="shared" si="49"/>
        <v/>
      </c>
      <c r="AB84" s="41" t="str">
        <f t="shared" si="36"/>
        <v/>
      </c>
      <c r="AC84" s="41" t="str">
        <f t="shared" si="37"/>
        <v/>
      </c>
      <c r="AD84" s="48"/>
      <c r="AE84" s="41" t="str">
        <f t="shared" si="38"/>
        <v/>
      </c>
      <c r="AF84" s="41"/>
      <c r="AG84" s="41" t="str">
        <f t="shared" si="39"/>
        <v/>
      </c>
      <c r="AH84" s="41" t="str">
        <f t="shared" si="50"/>
        <v/>
      </c>
      <c r="AI84" s="41" t="str">
        <f t="shared" si="51"/>
        <v/>
      </c>
      <c r="AJ84" s="41">
        <f t="shared" si="40"/>
        <v>0</v>
      </c>
      <c r="AK84" s="41" t="str">
        <f t="shared" si="41"/>
        <v/>
      </c>
      <c r="AL84" s="41">
        <f t="shared" si="52"/>
        <v>0</v>
      </c>
      <c r="AM84" s="41">
        <f t="shared" si="42"/>
        <v>0</v>
      </c>
      <c r="AN84" s="41" t="str">
        <f t="shared" si="43"/>
        <v/>
      </c>
      <c r="AO84" s="41">
        <f t="shared" si="59"/>
        <v>0</v>
      </c>
      <c r="AP84" s="45"/>
      <c r="AQ84" s="48"/>
      <c r="AR84" s="48"/>
      <c r="AS84" s="48"/>
      <c r="AT84" s="51">
        <f t="shared" si="53"/>
        <v>80</v>
      </c>
      <c r="AU84" s="49" t="str">
        <f t="shared" si="54"/>
        <v/>
      </c>
      <c r="AV84" s="49" t="str">
        <f t="shared" si="55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4.4781544617119601E-3</v>
      </c>
      <c r="C85">
        <f t="shared" si="30"/>
        <v>4.2094651940092426E-3</v>
      </c>
      <c r="D85" s="60"/>
      <c r="E85" s="5"/>
      <c r="F85" s="5"/>
      <c r="I85" s="51"/>
      <c r="J85" s="41"/>
      <c r="K85" s="41" t="str">
        <f t="shared" si="56"/>
        <v/>
      </c>
      <c r="L85" s="42" t="str">
        <f t="shared" si="57"/>
        <v/>
      </c>
      <c r="M85" s="41" t="str">
        <f t="shared" si="58"/>
        <v/>
      </c>
      <c r="N85" s="43">
        <f t="shared" si="31"/>
        <v>0</v>
      </c>
      <c r="O85" s="44">
        <f t="shared" si="32"/>
        <v>0</v>
      </c>
      <c r="P85" s="41" t="str">
        <f t="shared" si="33"/>
        <v/>
      </c>
      <c r="Q85" s="41" t="str">
        <f t="shared" si="34"/>
        <v/>
      </c>
      <c r="R85" s="45"/>
      <c r="S85" s="44" t="str">
        <f>IF(I85&lt;&gt;"",_xlfn.XLOOKUP(D$4+I85,A$26:A$145,$C$26:$C$145,0) * 1000,"")</f>
        <v/>
      </c>
      <c r="T85" s="52">
        <f t="shared" si="60"/>
        <v>0</v>
      </c>
      <c r="U85" s="53" t="str">
        <f t="shared" si="45"/>
        <v/>
      </c>
      <c r="V85" s="53" t="str">
        <f t="shared" si="46"/>
        <v/>
      </c>
      <c r="W85" s="53" t="str">
        <f t="shared" si="47"/>
        <v/>
      </c>
      <c r="X85" s="46" t="str">
        <f t="shared" si="35"/>
        <v/>
      </c>
      <c r="Y85" s="45"/>
      <c r="Z85" s="41" t="str">
        <f t="shared" si="48"/>
        <v/>
      </c>
      <c r="AA85" s="41" t="str">
        <f t="shared" si="49"/>
        <v/>
      </c>
      <c r="AB85" s="41" t="str">
        <f t="shared" si="36"/>
        <v/>
      </c>
      <c r="AC85" s="41" t="str">
        <f t="shared" si="37"/>
        <v/>
      </c>
      <c r="AD85" s="48"/>
      <c r="AE85" s="41" t="str">
        <f t="shared" si="38"/>
        <v/>
      </c>
      <c r="AF85" s="41"/>
      <c r="AG85" s="41" t="str">
        <f t="shared" si="39"/>
        <v/>
      </c>
      <c r="AH85" s="41" t="str">
        <f t="shared" si="50"/>
        <v/>
      </c>
      <c r="AI85" s="41" t="str">
        <f t="shared" si="51"/>
        <v/>
      </c>
      <c r="AJ85" s="41">
        <f t="shared" si="40"/>
        <v>0</v>
      </c>
      <c r="AK85" s="41" t="str">
        <f t="shared" si="41"/>
        <v/>
      </c>
      <c r="AL85" s="41">
        <f t="shared" si="52"/>
        <v>0</v>
      </c>
      <c r="AM85" s="41">
        <f t="shared" si="42"/>
        <v>0</v>
      </c>
      <c r="AN85" s="41" t="str">
        <f t="shared" si="43"/>
        <v/>
      </c>
      <c r="AO85" s="41">
        <f t="shared" si="59"/>
        <v>0</v>
      </c>
      <c r="AP85" s="45"/>
      <c r="AQ85" s="48"/>
      <c r="AR85" s="48"/>
      <c r="AS85" s="48"/>
      <c r="AT85" s="51">
        <f t="shared" si="53"/>
        <v>81</v>
      </c>
      <c r="AU85" s="49" t="str">
        <f t="shared" si="54"/>
        <v/>
      </c>
      <c r="AV85" s="49" t="str">
        <f t="shared" si="55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4.9405737105098196E-3</v>
      </c>
      <c r="C86">
        <f t="shared" si="30"/>
        <v>4.6441392878792303E-3</v>
      </c>
      <c r="D86" s="60"/>
      <c r="E86" s="5"/>
      <c r="F86" s="5"/>
      <c r="I86" s="51"/>
      <c r="J86" s="41"/>
      <c r="K86" s="41" t="str">
        <f t="shared" si="56"/>
        <v/>
      </c>
      <c r="L86" s="42" t="str">
        <f t="shared" si="57"/>
        <v/>
      </c>
      <c r="M86" s="41" t="str">
        <f t="shared" si="58"/>
        <v/>
      </c>
      <c r="N86" s="43">
        <f t="shared" si="31"/>
        <v>0</v>
      </c>
      <c r="O86" s="44">
        <f t="shared" si="32"/>
        <v>0</v>
      </c>
      <c r="P86" s="41" t="str">
        <f t="shared" si="33"/>
        <v/>
      </c>
      <c r="Q86" s="41" t="str">
        <f t="shared" si="34"/>
        <v/>
      </c>
      <c r="R86" s="45"/>
      <c r="S86" s="44" t="str">
        <f>IF(I86&lt;&gt;"",_xlfn.XLOOKUP(D$4+I86,A$26:A$145,$C$26:$C$145,0) * 1000,"")</f>
        <v/>
      </c>
      <c r="T86" s="52">
        <f t="shared" si="60"/>
        <v>0</v>
      </c>
      <c r="U86" s="53" t="str">
        <f t="shared" si="45"/>
        <v/>
      </c>
      <c r="V86" s="53" t="str">
        <f t="shared" si="46"/>
        <v/>
      </c>
      <c r="W86" s="53" t="str">
        <f t="shared" si="47"/>
        <v/>
      </c>
      <c r="X86" s="46" t="str">
        <f t="shared" si="35"/>
        <v/>
      </c>
      <c r="Y86" s="45"/>
      <c r="Z86" s="41" t="str">
        <f t="shared" si="48"/>
        <v/>
      </c>
      <c r="AA86" s="41" t="str">
        <f t="shared" si="49"/>
        <v/>
      </c>
      <c r="AB86" s="41" t="str">
        <f t="shared" si="36"/>
        <v/>
      </c>
      <c r="AC86" s="41" t="str">
        <f t="shared" si="37"/>
        <v/>
      </c>
      <c r="AD86" s="45"/>
      <c r="AE86" s="41" t="str">
        <f t="shared" si="38"/>
        <v/>
      </c>
      <c r="AF86" s="41"/>
      <c r="AG86" s="41" t="str">
        <f t="shared" si="39"/>
        <v/>
      </c>
      <c r="AH86" s="41" t="str">
        <f t="shared" si="50"/>
        <v/>
      </c>
      <c r="AI86" s="41" t="str">
        <f t="shared" si="51"/>
        <v/>
      </c>
      <c r="AJ86" s="41">
        <f t="shared" si="40"/>
        <v>0</v>
      </c>
      <c r="AK86" s="41" t="str">
        <f t="shared" si="41"/>
        <v/>
      </c>
      <c r="AL86" s="41">
        <f t="shared" si="52"/>
        <v>0</v>
      </c>
      <c r="AM86" s="41">
        <f t="shared" si="42"/>
        <v>0</v>
      </c>
      <c r="AN86" s="41" t="str">
        <f t="shared" si="43"/>
        <v/>
      </c>
      <c r="AO86" s="41">
        <f t="shared" si="59"/>
        <v>0</v>
      </c>
      <c r="AP86" s="45"/>
      <c r="AQ86" s="48"/>
      <c r="AR86" s="48"/>
      <c r="AS86" s="48"/>
      <c r="AT86" s="51">
        <f t="shared" si="53"/>
        <v>82</v>
      </c>
      <c r="AU86" s="49" t="str">
        <f t="shared" si="54"/>
        <v/>
      </c>
      <c r="AV86" s="49" t="str">
        <f t="shared" si="55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5.4007380255945998E-3</v>
      </c>
      <c r="C87">
        <f t="shared" si="30"/>
        <v>5.0766937440589232E-3</v>
      </c>
      <c r="D87" s="60"/>
      <c r="E87" s="5"/>
      <c r="F87" s="5"/>
      <c r="I87" s="51"/>
      <c r="J87" s="41"/>
      <c r="K87" s="41" t="str">
        <f t="shared" si="56"/>
        <v/>
      </c>
      <c r="L87" s="42" t="str">
        <f t="shared" si="57"/>
        <v/>
      </c>
      <c r="M87" s="41" t="str">
        <f t="shared" si="58"/>
        <v/>
      </c>
      <c r="N87" s="43">
        <f t="shared" si="31"/>
        <v>0</v>
      </c>
      <c r="O87" s="44">
        <f t="shared" si="32"/>
        <v>0</v>
      </c>
      <c r="P87" s="41" t="str">
        <f t="shared" si="33"/>
        <v/>
      </c>
      <c r="Q87" s="41" t="str">
        <f t="shared" si="34"/>
        <v/>
      </c>
      <c r="R87" s="45"/>
      <c r="S87" s="44" t="str">
        <f>IF(I87&lt;&gt;"",_xlfn.XLOOKUP(D$4+I87,A$26:A$145,$C$26:$C$145,0) * 1000,"")</f>
        <v/>
      </c>
      <c r="T87" s="52">
        <f t="shared" si="60"/>
        <v>0</v>
      </c>
      <c r="U87" s="53" t="str">
        <f t="shared" si="45"/>
        <v/>
      </c>
      <c r="V87" s="53" t="str">
        <f t="shared" si="46"/>
        <v/>
      </c>
      <c r="W87" s="53" t="str">
        <f t="shared" si="47"/>
        <v/>
      </c>
      <c r="X87" s="46" t="str">
        <f t="shared" si="35"/>
        <v/>
      </c>
      <c r="Y87" s="45"/>
      <c r="Z87" s="41" t="str">
        <f t="shared" si="48"/>
        <v/>
      </c>
      <c r="AA87" s="41" t="str">
        <f t="shared" si="49"/>
        <v/>
      </c>
      <c r="AB87" s="41" t="str">
        <f t="shared" si="36"/>
        <v/>
      </c>
      <c r="AC87" s="41" t="str">
        <f t="shared" si="37"/>
        <v/>
      </c>
      <c r="AD87" s="45"/>
      <c r="AE87" s="41" t="str">
        <f t="shared" si="38"/>
        <v/>
      </c>
      <c r="AF87" s="41"/>
      <c r="AG87" s="41" t="str">
        <f t="shared" si="39"/>
        <v/>
      </c>
      <c r="AH87" s="41" t="str">
        <f t="shared" si="50"/>
        <v/>
      </c>
      <c r="AI87" s="41" t="str">
        <f t="shared" si="51"/>
        <v/>
      </c>
      <c r="AJ87" s="41">
        <f t="shared" si="40"/>
        <v>0</v>
      </c>
      <c r="AK87" s="41" t="str">
        <f t="shared" si="41"/>
        <v/>
      </c>
      <c r="AL87" s="41">
        <f t="shared" si="52"/>
        <v>0</v>
      </c>
      <c r="AM87" s="41">
        <f t="shared" si="42"/>
        <v>0</v>
      </c>
      <c r="AN87" s="41" t="str">
        <f t="shared" si="43"/>
        <v/>
      </c>
      <c r="AO87" s="41">
        <f t="shared" si="59"/>
        <v>0</v>
      </c>
      <c r="AP87" s="45"/>
      <c r="AQ87" s="48"/>
      <c r="AR87" s="48"/>
      <c r="AS87" s="48"/>
      <c r="AT87" s="51">
        <f t="shared" si="53"/>
        <v>83</v>
      </c>
      <c r="AU87" s="49" t="str">
        <f t="shared" si="54"/>
        <v/>
      </c>
      <c r="AV87" s="49" t="str">
        <f t="shared" si="55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5.9076238189416097E-3</v>
      </c>
      <c r="C88">
        <f t="shared" si="30"/>
        <v>5.5531663898051127E-3</v>
      </c>
      <c r="D88" s="60"/>
      <c r="E88" s="5"/>
      <c r="F88" s="5"/>
      <c r="I88" s="51"/>
      <c r="J88" s="41"/>
      <c r="K88" s="41" t="str">
        <f t="shared" si="56"/>
        <v/>
      </c>
      <c r="L88" s="42" t="str">
        <f t="shared" si="57"/>
        <v/>
      </c>
      <c r="M88" s="41" t="str">
        <f t="shared" si="58"/>
        <v/>
      </c>
      <c r="N88" s="43">
        <f t="shared" si="31"/>
        <v>0</v>
      </c>
      <c r="O88" s="44">
        <f t="shared" si="32"/>
        <v>0</v>
      </c>
      <c r="P88" s="41" t="str">
        <f t="shared" si="33"/>
        <v/>
      </c>
      <c r="Q88" s="41" t="str">
        <f t="shared" si="34"/>
        <v/>
      </c>
      <c r="R88" s="45"/>
      <c r="S88" s="44" t="str">
        <f>IF(I88&lt;&gt;"",_xlfn.XLOOKUP(D$4+I88,A$26:A$145,$C$26:$C$145,0) * 1000,"")</f>
        <v/>
      </c>
      <c r="T88" s="52">
        <f t="shared" si="60"/>
        <v>0</v>
      </c>
      <c r="U88" s="53" t="str">
        <f t="shared" si="45"/>
        <v/>
      </c>
      <c r="V88" s="53" t="str">
        <f t="shared" si="46"/>
        <v/>
      </c>
      <c r="W88" s="53" t="str">
        <f t="shared" si="47"/>
        <v/>
      </c>
      <c r="X88" s="46" t="str">
        <f t="shared" si="35"/>
        <v/>
      </c>
      <c r="Y88" s="45"/>
      <c r="Z88" s="41" t="str">
        <f t="shared" si="48"/>
        <v/>
      </c>
      <c r="AA88" s="41" t="str">
        <f t="shared" si="49"/>
        <v/>
      </c>
      <c r="AB88" s="41" t="str">
        <f t="shared" si="36"/>
        <v/>
      </c>
      <c r="AC88" s="41" t="str">
        <f t="shared" si="37"/>
        <v/>
      </c>
      <c r="AD88" s="45"/>
      <c r="AE88" s="41" t="str">
        <f t="shared" si="38"/>
        <v/>
      </c>
      <c r="AF88" s="41"/>
      <c r="AG88" s="41" t="str">
        <f t="shared" si="39"/>
        <v/>
      </c>
      <c r="AH88" s="41" t="str">
        <f t="shared" si="50"/>
        <v/>
      </c>
      <c r="AI88" s="41" t="str">
        <f t="shared" si="51"/>
        <v/>
      </c>
      <c r="AJ88" s="41">
        <f t="shared" si="40"/>
        <v>0</v>
      </c>
      <c r="AK88" s="41" t="str">
        <f t="shared" si="41"/>
        <v/>
      </c>
      <c r="AL88" s="41">
        <f t="shared" si="52"/>
        <v>0</v>
      </c>
      <c r="AM88" s="41">
        <f t="shared" si="42"/>
        <v>0</v>
      </c>
      <c r="AN88" s="41" t="str">
        <f t="shared" si="43"/>
        <v/>
      </c>
      <c r="AO88" s="41">
        <f t="shared" si="59"/>
        <v>0</v>
      </c>
      <c r="AP88" s="45"/>
      <c r="AQ88" s="48"/>
      <c r="AR88" s="48"/>
      <c r="AS88" s="48"/>
      <c r="AT88" s="51">
        <f t="shared" si="53"/>
        <v>84</v>
      </c>
      <c r="AU88" s="49" t="str">
        <f t="shared" si="54"/>
        <v/>
      </c>
      <c r="AV88" s="49" t="str">
        <f t="shared" si="55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6.4471032562566401E-3</v>
      </c>
      <c r="C89">
        <f t="shared" si="30"/>
        <v>6.0602770608812412E-3</v>
      </c>
      <c r="D89" s="60"/>
      <c r="E89" s="5"/>
      <c r="F89" s="5"/>
      <c r="I89" s="51"/>
      <c r="J89" s="41"/>
      <c r="K89" s="41" t="str">
        <f t="shared" si="56"/>
        <v/>
      </c>
      <c r="L89" s="42" t="str">
        <f t="shared" si="57"/>
        <v/>
      </c>
      <c r="M89" s="41" t="str">
        <f t="shared" si="58"/>
        <v/>
      </c>
      <c r="N89" s="43">
        <f t="shared" si="31"/>
        <v>0</v>
      </c>
      <c r="O89" s="44">
        <f t="shared" si="32"/>
        <v>0</v>
      </c>
      <c r="P89" s="41" t="str">
        <f t="shared" si="33"/>
        <v/>
      </c>
      <c r="Q89" s="41" t="str">
        <f t="shared" si="34"/>
        <v/>
      </c>
      <c r="R89" s="45"/>
      <c r="S89" s="44" t="str">
        <f>IF(I89&lt;&gt;"",_xlfn.XLOOKUP(D$4+I89,A$26:A$145,$C$26:$C$145,0) * 1000,"")</f>
        <v/>
      </c>
      <c r="T89" s="52">
        <f t="shared" si="60"/>
        <v>0</v>
      </c>
      <c r="U89" s="53" t="str">
        <f t="shared" si="45"/>
        <v/>
      </c>
      <c r="V89" s="53" t="str">
        <f t="shared" si="46"/>
        <v/>
      </c>
      <c r="W89" s="53" t="str">
        <f t="shared" si="47"/>
        <v/>
      </c>
      <c r="X89" s="46" t="str">
        <f t="shared" si="35"/>
        <v/>
      </c>
      <c r="Y89" s="45"/>
      <c r="Z89" s="41" t="str">
        <f t="shared" si="48"/>
        <v/>
      </c>
      <c r="AA89" s="41" t="str">
        <f t="shared" si="49"/>
        <v/>
      </c>
      <c r="AB89" s="41" t="str">
        <f t="shared" si="36"/>
        <v/>
      </c>
      <c r="AC89" s="41" t="str">
        <f t="shared" si="37"/>
        <v/>
      </c>
      <c r="AD89" s="45"/>
      <c r="AE89" s="41" t="str">
        <f t="shared" si="38"/>
        <v/>
      </c>
      <c r="AF89" s="41"/>
      <c r="AG89" s="41" t="str">
        <f t="shared" si="39"/>
        <v/>
      </c>
      <c r="AH89" s="41" t="str">
        <f t="shared" si="50"/>
        <v/>
      </c>
      <c r="AI89" s="41" t="str">
        <f t="shared" si="51"/>
        <v/>
      </c>
      <c r="AJ89" s="41">
        <f t="shared" si="40"/>
        <v>0</v>
      </c>
      <c r="AK89" s="41" t="str">
        <f t="shared" si="41"/>
        <v/>
      </c>
      <c r="AL89" s="41">
        <f t="shared" si="52"/>
        <v>0</v>
      </c>
      <c r="AM89" s="41">
        <f t="shared" si="42"/>
        <v>0</v>
      </c>
      <c r="AN89" s="41" t="str">
        <f t="shared" si="43"/>
        <v/>
      </c>
      <c r="AO89" s="41">
        <f t="shared" si="59"/>
        <v>0</v>
      </c>
      <c r="AP89" s="45"/>
      <c r="AQ89" s="48"/>
      <c r="AR89" s="48"/>
      <c r="AS89" s="48"/>
      <c r="AT89" s="51">
        <f t="shared" si="53"/>
        <v>85</v>
      </c>
      <c r="AU89" s="49" t="str">
        <f t="shared" si="54"/>
        <v/>
      </c>
      <c r="AV89" s="49" t="str">
        <f t="shared" si="55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7.3363253219011996E-3</v>
      </c>
      <c r="C90">
        <f t="shared" si="30"/>
        <v>6.8961458025871272E-3</v>
      </c>
      <c r="D90" s="60"/>
      <c r="E90" s="5"/>
      <c r="F90" s="5"/>
      <c r="I90" s="51"/>
      <c r="J90" s="41"/>
      <c r="K90" s="41" t="str">
        <f t="shared" si="56"/>
        <v/>
      </c>
      <c r="L90" s="42" t="str">
        <f t="shared" si="57"/>
        <v/>
      </c>
      <c r="M90" s="41" t="str">
        <f t="shared" si="58"/>
        <v/>
      </c>
      <c r="N90" s="43">
        <f t="shared" si="31"/>
        <v>0</v>
      </c>
      <c r="O90" s="44">
        <f t="shared" si="32"/>
        <v>0</v>
      </c>
      <c r="P90" s="41" t="str">
        <f t="shared" si="33"/>
        <v/>
      </c>
      <c r="Q90" s="41" t="str">
        <f t="shared" si="34"/>
        <v/>
      </c>
      <c r="R90" s="45"/>
      <c r="S90" s="44" t="str">
        <f>IF(I90&lt;&gt;"",_xlfn.XLOOKUP(D$4+I90,A$26:A$145,$C$26:$C$145,0) * 1000,"")</f>
        <v/>
      </c>
      <c r="T90" s="52">
        <f t="shared" si="60"/>
        <v>0</v>
      </c>
      <c r="U90" s="53" t="str">
        <f t="shared" si="45"/>
        <v/>
      </c>
      <c r="V90" s="53" t="str">
        <f t="shared" si="46"/>
        <v/>
      </c>
      <c r="W90" s="53" t="str">
        <f t="shared" si="47"/>
        <v/>
      </c>
      <c r="X90" s="46" t="str">
        <f t="shared" si="35"/>
        <v/>
      </c>
      <c r="Y90" s="45"/>
      <c r="Z90" s="41" t="str">
        <f t="shared" si="48"/>
        <v/>
      </c>
      <c r="AA90" s="41" t="str">
        <f t="shared" si="49"/>
        <v/>
      </c>
      <c r="AB90" s="41" t="str">
        <f t="shared" si="36"/>
        <v/>
      </c>
      <c r="AC90" s="41" t="str">
        <f t="shared" si="37"/>
        <v/>
      </c>
      <c r="AD90" s="45"/>
      <c r="AE90" s="41" t="str">
        <f t="shared" si="38"/>
        <v/>
      </c>
      <c r="AF90" s="41"/>
      <c r="AG90" s="41" t="str">
        <f t="shared" si="39"/>
        <v/>
      </c>
      <c r="AH90" s="41" t="str">
        <f t="shared" si="50"/>
        <v/>
      </c>
      <c r="AI90" s="41" t="str">
        <f t="shared" si="51"/>
        <v/>
      </c>
      <c r="AJ90" s="41">
        <f t="shared" si="40"/>
        <v>0</v>
      </c>
      <c r="AK90" s="41" t="str">
        <f t="shared" si="41"/>
        <v/>
      </c>
      <c r="AL90" s="41">
        <f t="shared" si="52"/>
        <v>0</v>
      </c>
      <c r="AM90" s="41">
        <f t="shared" si="42"/>
        <v>0</v>
      </c>
      <c r="AN90" s="41" t="str">
        <f t="shared" si="43"/>
        <v/>
      </c>
      <c r="AO90" s="41">
        <f t="shared" si="59"/>
        <v>0</v>
      </c>
      <c r="AP90" s="45"/>
      <c r="AQ90" s="48"/>
      <c r="AR90" s="48"/>
      <c r="AS90" s="48"/>
      <c r="AT90" s="51">
        <f t="shared" si="53"/>
        <v>86</v>
      </c>
      <c r="AU90" s="49" t="str">
        <f t="shared" si="54"/>
        <v/>
      </c>
      <c r="AV90" s="49" t="str">
        <f t="shared" si="55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9.3068111007286198E-3</v>
      </c>
      <c r="C91">
        <f t="shared" ref="C91:C144" si="61">B91*(1-$F$16)</f>
        <v>8.7484024346849015E-3</v>
      </c>
      <c r="D91" s="60"/>
      <c r="E91" s="5"/>
      <c r="F91" s="5"/>
      <c r="I91" s="51"/>
      <c r="J91" s="41"/>
      <c r="K91" s="41" t="str">
        <f t="shared" si="56"/>
        <v/>
      </c>
      <c r="L91" s="42" t="str">
        <f t="shared" si="57"/>
        <v/>
      </c>
      <c r="M91" s="41" t="str">
        <f t="shared" si="58"/>
        <v/>
      </c>
      <c r="N91" s="43">
        <f t="shared" si="31"/>
        <v>0</v>
      </c>
      <c r="O91" s="44">
        <f t="shared" si="32"/>
        <v>0</v>
      </c>
      <c r="P91" s="41" t="str">
        <f t="shared" si="33"/>
        <v/>
      </c>
      <c r="Q91" s="41" t="str">
        <f t="shared" si="34"/>
        <v/>
      </c>
      <c r="R91" s="45"/>
      <c r="S91" s="44" t="str">
        <f>IF(I91&lt;&gt;"",_xlfn.XLOOKUP(D$4+I91,A$26:A$145,$C$26:$C$145,0) * 1000,"")</f>
        <v/>
      </c>
      <c r="T91" s="52">
        <f t="shared" si="60"/>
        <v>0</v>
      </c>
      <c r="U91" s="53" t="str">
        <f t="shared" si="45"/>
        <v/>
      </c>
      <c r="V91" s="53" t="str">
        <f t="shared" si="46"/>
        <v/>
      </c>
      <c r="W91" s="53" t="str">
        <f t="shared" si="47"/>
        <v/>
      </c>
      <c r="X91" s="46" t="str">
        <f t="shared" si="35"/>
        <v/>
      </c>
      <c r="Y91" s="45"/>
      <c r="Z91" s="41" t="str">
        <f t="shared" si="48"/>
        <v/>
      </c>
      <c r="AA91" s="41" t="str">
        <f t="shared" si="49"/>
        <v/>
      </c>
      <c r="AB91" s="41" t="str">
        <f t="shared" si="36"/>
        <v/>
      </c>
      <c r="AC91" s="41" t="str">
        <f t="shared" si="37"/>
        <v/>
      </c>
      <c r="AD91" s="45"/>
      <c r="AE91" s="41" t="str">
        <f t="shared" si="38"/>
        <v/>
      </c>
      <c r="AF91" s="41"/>
      <c r="AG91" s="41" t="str">
        <f t="shared" si="39"/>
        <v/>
      </c>
      <c r="AH91" s="41" t="str">
        <f t="shared" si="50"/>
        <v/>
      </c>
      <c r="AI91" s="41" t="str">
        <f t="shared" si="51"/>
        <v/>
      </c>
      <c r="AJ91" s="41">
        <f t="shared" si="40"/>
        <v>0</v>
      </c>
      <c r="AK91" s="41" t="str">
        <f t="shared" si="41"/>
        <v/>
      </c>
      <c r="AL91" s="41">
        <f t="shared" si="52"/>
        <v>0</v>
      </c>
      <c r="AM91" s="41">
        <f t="shared" si="42"/>
        <v>0</v>
      </c>
      <c r="AN91" s="41" t="str">
        <f t="shared" si="43"/>
        <v/>
      </c>
      <c r="AO91" s="41">
        <f t="shared" si="59"/>
        <v>0</v>
      </c>
      <c r="AP91" s="45"/>
      <c r="AQ91" s="48"/>
      <c r="AR91" s="48"/>
      <c r="AS91" s="48"/>
      <c r="AT91" s="51">
        <f t="shared" si="53"/>
        <v>87</v>
      </c>
      <c r="AU91" s="49" t="str">
        <f t="shared" si="54"/>
        <v/>
      </c>
      <c r="AV91" s="49" t="str">
        <f t="shared" si="55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1.0196837227823099E-2</v>
      </c>
      <c r="C92">
        <f t="shared" si="61"/>
        <v>9.5850269941537124E-3</v>
      </c>
      <c r="D92" s="60"/>
      <c r="E92" s="5"/>
      <c r="F92" s="5"/>
      <c r="I92" s="51"/>
      <c r="J92" s="41"/>
      <c r="K92" s="41" t="str">
        <f t="shared" si="56"/>
        <v/>
      </c>
      <c r="L92" s="42" t="str">
        <f t="shared" si="57"/>
        <v/>
      </c>
      <c r="M92" s="41" t="str">
        <f t="shared" si="58"/>
        <v/>
      </c>
      <c r="N92" s="43">
        <f t="shared" si="31"/>
        <v>0</v>
      </c>
      <c r="O92" s="44">
        <f t="shared" si="32"/>
        <v>0</v>
      </c>
      <c r="P92" s="41" t="str">
        <f t="shared" si="33"/>
        <v/>
      </c>
      <c r="Q92" s="41" t="str">
        <f t="shared" si="34"/>
        <v/>
      </c>
      <c r="R92" s="45"/>
      <c r="S92" s="44" t="str">
        <f>IF(I92&lt;&gt;"",_xlfn.XLOOKUP(D$4+I92,A$26:A$145,$C$26:$C$145,0) * 1000,"")</f>
        <v/>
      </c>
      <c r="T92" s="52">
        <f t="shared" si="60"/>
        <v>0</v>
      </c>
      <c r="U92" s="53" t="str">
        <f t="shared" si="45"/>
        <v/>
      </c>
      <c r="V92" s="53" t="str">
        <f t="shared" si="46"/>
        <v/>
      </c>
      <c r="W92" s="53" t="str">
        <f t="shared" si="47"/>
        <v/>
      </c>
      <c r="X92" s="46" t="str">
        <f t="shared" si="35"/>
        <v/>
      </c>
      <c r="Y92" s="45"/>
      <c r="Z92" s="41" t="str">
        <f t="shared" si="48"/>
        <v/>
      </c>
      <c r="AA92" s="41" t="str">
        <f t="shared" si="49"/>
        <v/>
      </c>
      <c r="AB92" s="41" t="str">
        <f t="shared" si="36"/>
        <v/>
      </c>
      <c r="AC92" s="41" t="str">
        <f t="shared" si="37"/>
        <v/>
      </c>
      <c r="AD92" s="45"/>
      <c r="AE92" s="41" t="str">
        <f t="shared" si="38"/>
        <v/>
      </c>
      <c r="AF92" s="41"/>
      <c r="AG92" s="41" t="str">
        <f t="shared" si="39"/>
        <v/>
      </c>
      <c r="AH92" s="41" t="str">
        <f t="shared" si="50"/>
        <v/>
      </c>
      <c r="AI92" s="41" t="str">
        <f t="shared" si="51"/>
        <v/>
      </c>
      <c r="AJ92" s="41">
        <f t="shared" si="40"/>
        <v>0</v>
      </c>
      <c r="AK92" s="41" t="str">
        <f t="shared" si="41"/>
        <v/>
      </c>
      <c r="AL92" s="41">
        <f t="shared" si="52"/>
        <v>0</v>
      </c>
      <c r="AM92" s="41">
        <f t="shared" si="42"/>
        <v>0</v>
      </c>
      <c r="AN92" s="41" t="str">
        <f t="shared" si="43"/>
        <v/>
      </c>
      <c r="AO92" s="41">
        <f t="shared" si="59"/>
        <v>0</v>
      </c>
      <c r="AP92" s="45"/>
      <c r="AQ92" s="48"/>
      <c r="AR92" s="48"/>
      <c r="AS92" s="48"/>
      <c r="AT92" s="51">
        <f t="shared" si="53"/>
        <v>88</v>
      </c>
      <c r="AU92" s="49" t="str">
        <f t="shared" si="54"/>
        <v/>
      </c>
      <c r="AV92" s="49" t="str">
        <f t="shared" si="55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1.1143882174944201E-2</v>
      </c>
      <c r="C93">
        <f t="shared" si="61"/>
        <v>1.0475249244447548E-2</v>
      </c>
      <c r="D93" s="60"/>
      <c r="E93" s="5"/>
      <c r="F93" s="5"/>
      <c r="I93" s="51"/>
      <c r="J93" s="41"/>
      <c r="K93" s="41" t="str">
        <f t="shared" si="56"/>
        <v/>
      </c>
      <c r="L93" s="42" t="str">
        <f t="shared" si="57"/>
        <v/>
      </c>
      <c r="M93" s="41" t="str">
        <f t="shared" si="58"/>
        <v/>
      </c>
      <c r="N93" s="43">
        <f t="shared" si="31"/>
        <v>0</v>
      </c>
      <c r="O93" s="44">
        <f t="shared" si="32"/>
        <v>0</v>
      </c>
      <c r="P93" s="41" t="str">
        <f t="shared" si="33"/>
        <v/>
      </c>
      <c r="Q93" s="41" t="str">
        <f t="shared" si="34"/>
        <v/>
      </c>
      <c r="R93" s="45"/>
      <c r="S93" s="44" t="str">
        <f>IF(I93&lt;&gt;"",_xlfn.XLOOKUP(D$4+I93,A$26:A$145,$C$26:$C$145,0) * 1000,"")</f>
        <v/>
      </c>
      <c r="T93" s="52">
        <f t="shared" si="60"/>
        <v>0</v>
      </c>
      <c r="U93" s="53" t="str">
        <f t="shared" si="45"/>
        <v/>
      </c>
      <c r="V93" s="53" t="str">
        <f t="shared" si="46"/>
        <v/>
      </c>
      <c r="W93" s="53" t="str">
        <f t="shared" si="47"/>
        <v/>
      </c>
      <c r="X93" s="46" t="str">
        <f t="shared" si="35"/>
        <v/>
      </c>
      <c r="Y93" s="45"/>
      <c r="Z93" s="41" t="str">
        <f t="shared" si="48"/>
        <v/>
      </c>
      <c r="AA93" s="41" t="str">
        <f t="shared" si="49"/>
        <v/>
      </c>
      <c r="AB93" s="41" t="str">
        <f t="shared" si="36"/>
        <v/>
      </c>
      <c r="AC93" s="41" t="str">
        <f t="shared" si="37"/>
        <v/>
      </c>
      <c r="AD93" s="45"/>
      <c r="AE93" s="41" t="str">
        <f t="shared" si="38"/>
        <v/>
      </c>
      <c r="AF93" s="41"/>
      <c r="AG93" s="41" t="str">
        <f t="shared" si="39"/>
        <v/>
      </c>
      <c r="AH93" s="41" t="str">
        <f t="shared" si="50"/>
        <v/>
      </c>
      <c r="AI93" s="41" t="str">
        <f t="shared" si="51"/>
        <v/>
      </c>
      <c r="AJ93" s="41">
        <f t="shared" si="40"/>
        <v>0</v>
      </c>
      <c r="AK93" s="41" t="str">
        <f t="shared" si="41"/>
        <v/>
      </c>
      <c r="AL93" s="41">
        <f t="shared" si="52"/>
        <v>0</v>
      </c>
      <c r="AM93" s="41">
        <f t="shared" si="42"/>
        <v>0</v>
      </c>
      <c r="AN93" s="41" t="str">
        <f t="shared" si="43"/>
        <v/>
      </c>
      <c r="AO93" s="41">
        <f t="shared" si="59"/>
        <v>0</v>
      </c>
      <c r="AP93" s="45"/>
      <c r="AQ93" s="48"/>
      <c r="AR93" s="48"/>
      <c r="AS93" s="48"/>
      <c r="AT93" s="51">
        <f t="shared" si="53"/>
        <v>89</v>
      </c>
      <c r="AU93" s="49" t="str">
        <f t="shared" si="54"/>
        <v/>
      </c>
      <c r="AV93" s="49" t="str">
        <f t="shared" si="55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1.22102344013446E-2</v>
      </c>
      <c r="C94">
        <f t="shared" si="61"/>
        <v>1.1477620337263924E-2</v>
      </c>
      <c r="D94" s="60"/>
      <c r="E94" s="5"/>
      <c r="F94" s="5"/>
      <c r="I94" s="40"/>
      <c r="J94" s="41"/>
      <c r="K94" s="41" t="str">
        <f t="shared" si="56"/>
        <v/>
      </c>
      <c r="L94" s="42" t="str">
        <f t="shared" si="57"/>
        <v/>
      </c>
      <c r="M94" s="41" t="str">
        <f t="shared" si="58"/>
        <v/>
      </c>
      <c r="N94" s="43">
        <f t="shared" si="31"/>
        <v>0</v>
      </c>
      <c r="O94" s="44">
        <f>AW94</f>
        <v>0</v>
      </c>
      <c r="P94" s="41" t="str">
        <f t="shared" si="33"/>
        <v/>
      </c>
      <c r="Q94" s="41" t="str">
        <f t="shared" si="34"/>
        <v/>
      </c>
      <c r="R94" s="48"/>
      <c r="S94" s="44" t="str">
        <f>IF(I94&lt;&gt;"",_xlfn.XLOOKUP(D$4+I94,A$26:A$145,$C$26:$C$145,0) * 1000,"")</f>
        <v/>
      </c>
      <c r="T94" s="52">
        <f t="shared" si="60"/>
        <v>0</v>
      </c>
      <c r="U94" s="53" t="str">
        <f t="shared" si="45"/>
        <v/>
      </c>
      <c r="V94" s="53" t="str">
        <f t="shared" si="46"/>
        <v/>
      </c>
      <c r="W94" s="53" t="str">
        <f t="shared" si="47"/>
        <v/>
      </c>
      <c r="X94" s="46" t="str">
        <f t="shared" si="35"/>
        <v/>
      </c>
      <c r="Y94" s="48"/>
      <c r="Z94" s="41" t="str">
        <f t="shared" si="48"/>
        <v/>
      </c>
      <c r="AA94" s="41" t="str">
        <f t="shared" si="49"/>
        <v/>
      </c>
      <c r="AB94" s="41" t="str">
        <f t="shared" si="36"/>
        <v/>
      </c>
      <c r="AC94" s="41" t="str">
        <f t="shared" si="37"/>
        <v/>
      </c>
      <c r="AD94" s="48"/>
      <c r="AE94" s="41" t="str">
        <f t="shared" si="38"/>
        <v/>
      </c>
      <c r="AF94" s="41"/>
      <c r="AG94" s="41" t="str">
        <f t="shared" si="39"/>
        <v/>
      </c>
      <c r="AH94" s="41" t="str">
        <f t="shared" si="50"/>
        <v/>
      </c>
      <c r="AI94" s="41" t="str">
        <f t="shared" si="51"/>
        <v/>
      </c>
      <c r="AJ94" s="41">
        <f t="shared" si="40"/>
        <v>0</v>
      </c>
      <c r="AK94" s="41" t="str">
        <f t="shared" si="41"/>
        <v/>
      </c>
      <c r="AL94" s="41">
        <f t="shared" si="52"/>
        <v>0</v>
      </c>
      <c r="AM94" s="41">
        <f t="shared" si="42"/>
        <v>0</v>
      </c>
      <c r="AN94" s="41" t="str">
        <f t="shared" si="43"/>
        <v/>
      </c>
      <c r="AO94" s="41">
        <f t="shared" si="59"/>
        <v>0</v>
      </c>
      <c r="AP94" s="48"/>
      <c r="AQ94" s="48"/>
      <c r="AR94" s="48"/>
      <c r="AS94" s="48"/>
      <c r="AT94" s="51">
        <f t="shared" si="53"/>
        <v>90</v>
      </c>
      <c r="AU94" s="49" t="str">
        <f t="shared" si="54"/>
        <v/>
      </c>
      <c r="AV94" s="49" t="str">
        <f t="shared" si="55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1.3412894745542501E-2</v>
      </c>
      <c r="C95">
        <f t="shared" si="61"/>
        <v>1.2608121060809951E-2</v>
      </c>
      <c r="D95" s="60"/>
      <c r="E95" s="5"/>
      <c r="F95" s="5"/>
      <c r="I95" s="40"/>
      <c r="J95" s="41"/>
      <c r="K95" s="41" t="str">
        <f t="shared" si="56"/>
        <v/>
      </c>
      <c r="L95" s="42" t="str">
        <f t="shared" si="57"/>
        <v/>
      </c>
      <c r="M95" s="41" t="str">
        <f t="shared" si="58"/>
        <v/>
      </c>
      <c r="N95" s="43">
        <f t="shared" si="31"/>
        <v>0</v>
      </c>
      <c r="O95" s="44">
        <f t="shared" si="32"/>
        <v>0</v>
      </c>
      <c r="P95" s="41" t="str">
        <f t="shared" si="33"/>
        <v/>
      </c>
      <c r="Q95" s="41" t="str">
        <f t="shared" si="34"/>
        <v/>
      </c>
      <c r="R95" s="48"/>
      <c r="S95" s="44" t="str">
        <f>IF(I95&lt;&gt;"",_xlfn.XLOOKUP(D$4+I95,A$26:A$145,$C$26:$C$145,0) * 1000,"")</f>
        <v/>
      </c>
      <c r="T95" s="52">
        <f t="shared" si="60"/>
        <v>0</v>
      </c>
      <c r="U95" s="53" t="str">
        <f t="shared" si="45"/>
        <v/>
      </c>
      <c r="V95" s="53" t="str">
        <f t="shared" si="46"/>
        <v/>
      </c>
      <c r="W95" s="53" t="str">
        <f t="shared" si="47"/>
        <v/>
      </c>
      <c r="X95" s="46" t="str">
        <f t="shared" si="35"/>
        <v/>
      </c>
      <c r="Y95" s="48"/>
      <c r="Z95" s="41" t="str">
        <f t="shared" si="48"/>
        <v/>
      </c>
      <c r="AA95" s="41" t="str">
        <f t="shared" si="49"/>
        <v/>
      </c>
      <c r="AB95" s="41" t="str">
        <f t="shared" si="36"/>
        <v/>
      </c>
      <c r="AC95" s="41" t="str">
        <f t="shared" si="37"/>
        <v/>
      </c>
      <c r="AD95" s="48"/>
      <c r="AE95" s="41" t="str">
        <f t="shared" si="38"/>
        <v/>
      </c>
      <c r="AF95" s="41"/>
      <c r="AG95" s="41" t="str">
        <f t="shared" si="39"/>
        <v/>
      </c>
      <c r="AH95" s="41" t="str">
        <f t="shared" si="50"/>
        <v/>
      </c>
      <c r="AI95" s="41" t="str">
        <f t="shared" si="51"/>
        <v/>
      </c>
      <c r="AJ95" s="41">
        <f t="shared" si="40"/>
        <v>0</v>
      </c>
      <c r="AK95" s="41" t="str">
        <f t="shared" si="41"/>
        <v/>
      </c>
      <c r="AL95" s="41">
        <f t="shared" si="52"/>
        <v>0</v>
      </c>
      <c r="AM95" s="41">
        <f t="shared" si="42"/>
        <v>0</v>
      </c>
      <c r="AN95" s="41" t="str">
        <f t="shared" si="43"/>
        <v/>
      </c>
      <c r="AO95" s="41">
        <f t="shared" si="59"/>
        <v>0</v>
      </c>
      <c r="AP95" s="48"/>
      <c r="AQ95" s="48"/>
      <c r="AR95" s="48"/>
      <c r="AS95" s="48"/>
      <c r="AT95" s="51">
        <f t="shared" si="53"/>
        <v>91</v>
      </c>
      <c r="AU95" s="49" t="str">
        <f t="shared" si="54"/>
        <v/>
      </c>
      <c r="AV95" s="49" t="str">
        <f t="shared" si="55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1.4790989154491299E-2</v>
      </c>
      <c r="C96">
        <f t="shared" si="61"/>
        <v>1.3903529805221821E-2</v>
      </c>
      <c r="D96" s="60"/>
      <c r="E96" s="5"/>
      <c r="F96" s="5"/>
      <c r="I96" s="40"/>
      <c r="J96" s="41"/>
      <c r="K96" s="41" t="str">
        <f t="shared" si="56"/>
        <v/>
      </c>
      <c r="L96" s="42" t="str">
        <f t="shared" si="57"/>
        <v/>
      </c>
      <c r="M96" s="41" t="str">
        <f t="shared" si="58"/>
        <v/>
      </c>
      <c r="N96" s="43">
        <f t="shared" si="31"/>
        <v>0</v>
      </c>
      <c r="O96" s="44">
        <f t="shared" si="32"/>
        <v>0</v>
      </c>
      <c r="P96" s="41" t="str">
        <f t="shared" si="33"/>
        <v/>
      </c>
      <c r="Q96" s="41" t="str">
        <f t="shared" si="34"/>
        <v/>
      </c>
      <c r="R96" s="48"/>
      <c r="S96" s="44" t="str">
        <f>IF(I96&lt;&gt;"",_xlfn.XLOOKUP(D$4+I96,A$26:A$145,$C$26:$C$145,0) * 1000,"")</f>
        <v/>
      </c>
      <c r="T96" s="52">
        <f t="shared" si="60"/>
        <v>0</v>
      </c>
      <c r="U96" s="53" t="str">
        <f t="shared" si="45"/>
        <v/>
      </c>
      <c r="V96" s="53" t="str">
        <f t="shared" si="46"/>
        <v/>
      </c>
      <c r="W96" s="53" t="str">
        <f t="shared" si="47"/>
        <v/>
      </c>
      <c r="X96" s="46" t="str">
        <f t="shared" si="35"/>
        <v/>
      </c>
      <c r="Y96" s="48"/>
      <c r="Z96" s="41" t="str">
        <f t="shared" si="48"/>
        <v/>
      </c>
      <c r="AA96" s="41" t="str">
        <f t="shared" si="49"/>
        <v/>
      </c>
      <c r="AB96" s="41" t="str">
        <f t="shared" si="36"/>
        <v/>
      </c>
      <c r="AC96" s="41" t="str">
        <f t="shared" si="37"/>
        <v/>
      </c>
      <c r="AD96" s="48"/>
      <c r="AE96" s="41" t="str">
        <f t="shared" si="38"/>
        <v/>
      </c>
      <c r="AF96" s="41"/>
      <c r="AG96" s="41" t="str">
        <f t="shared" si="39"/>
        <v/>
      </c>
      <c r="AH96" s="41" t="str">
        <f t="shared" si="50"/>
        <v/>
      </c>
      <c r="AI96" s="41" t="str">
        <f t="shared" si="51"/>
        <v/>
      </c>
      <c r="AJ96" s="41">
        <f>SUM(AE96:AI96)</f>
        <v>0</v>
      </c>
      <c r="AK96" s="41" t="str">
        <f t="shared" si="41"/>
        <v/>
      </c>
      <c r="AL96" s="41">
        <f t="shared" si="52"/>
        <v>0</v>
      </c>
      <c r="AM96" s="41">
        <f t="shared" si="42"/>
        <v>0</v>
      </c>
      <c r="AN96" s="41" t="str">
        <f t="shared" si="43"/>
        <v/>
      </c>
      <c r="AO96" s="41">
        <f t="shared" si="59"/>
        <v>0</v>
      </c>
      <c r="AP96" s="48"/>
      <c r="AQ96" s="48"/>
      <c r="AR96" s="48"/>
      <c r="AS96" s="48"/>
      <c r="AT96" s="51">
        <f t="shared" si="53"/>
        <v>92</v>
      </c>
      <c r="AU96" s="49" t="str">
        <f t="shared" si="54"/>
        <v/>
      </c>
      <c r="AV96" s="49" t="str">
        <f t="shared" si="55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1.63810272022115E-2</v>
      </c>
      <c r="C97">
        <f t="shared" si="61"/>
        <v>1.5398165570078809E-2</v>
      </c>
      <c r="D97" s="60"/>
      <c r="E97" s="5"/>
      <c r="F97" s="5"/>
      <c r="I97" s="40"/>
      <c r="J97" s="41"/>
      <c r="K97" s="41" t="str">
        <f t="shared" si="56"/>
        <v/>
      </c>
      <c r="L97" s="42" t="str">
        <f t="shared" si="57"/>
        <v/>
      </c>
      <c r="M97" s="41" t="str">
        <f t="shared" si="58"/>
        <v/>
      </c>
      <c r="N97" s="43">
        <f t="shared" si="31"/>
        <v>0</v>
      </c>
      <c r="O97" s="44">
        <f t="shared" si="32"/>
        <v>0</v>
      </c>
      <c r="P97" s="41" t="str">
        <f t="shared" si="33"/>
        <v/>
      </c>
      <c r="Q97" s="41" t="str">
        <f t="shared" si="34"/>
        <v/>
      </c>
      <c r="R97" s="48"/>
      <c r="S97" s="44" t="str">
        <f>IF(I97&lt;&gt;"",_xlfn.XLOOKUP(D$4+I97,A$26:A$145,$C$26:$C$145,0) * 1000,"")</f>
        <v/>
      </c>
      <c r="T97" s="52">
        <f t="shared" si="60"/>
        <v>0</v>
      </c>
      <c r="U97" s="53" t="str">
        <f t="shared" si="45"/>
        <v/>
      </c>
      <c r="V97" s="53" t="str">
        <f t="shared" si="46"/>
        <v/>
      </c>
      <c r="W97" s="53" t="str">
        <f t="shared" si="47"/>
        <v/>
      </c>
      <c r="X97" s="46" t="str">
        <f t="shared" si="35"/>
        <v/>
      </c>
      <c r="Y97" s="48"/>
      <c r="Z97" s="41" t="str">
        <f t="shared" si="48"/>
        <v/>
      </c>
      <c r="AA97" s="41" t="str">
        <f t="shared" si="49"/>
        <v/>
      </c>
      <c r="AB97" s="41" t="str">
        <f t="shared" si="36"/>
        <v/>
      </c>
      <c r="AC97" s="41" t="str">
        <f t="shared" si="37"/>
        <v/>
      </c>
      <c r="AD97" s="48"/>
      <c r="AE97" s="41" t="str">
        <f t="shared" si="38"/>
        <v/>
      </c>
      <c r="AF97" s="41"/>
      <c r="AG97" s="41" t="str">
        <f t="shared" si="39"/>
        <v/>
      </c>
      <c r="AH97" s="41" t="str">
        <f t="shared" si="50"/>
        <v/>
      </c>
      <c r="AI97" s="41" t="str">
        <f t="shared" si="51"/>
        <v/>
      </c>
      <c r="AJ97" s="41">
        <f t="shared" si="40"/>
        <v>0</v>
      </c>
      <c r="AK97" s="41" t="str">
        <f t="shared" si="41"/>
        <v/>
      </c>
      <c r="AL97" s="41">
        <f t="shared" si="52"/>
        <v>0</v>
      </c>
      <c r="AM97" s="41">
        <f t="shared" si="42"/>
        <v>0</v>
      </c>
      <c r="AN97" s="41" t="str">
        <f t="shared" si="43"/>
        <v/>
      </c>
      <c r="AO97" s="41">
        <f t="shared" si="59"/>
        <v>0</v>
      </c>
      <c r="AP97" s="48"/>
      <c r="AQ97" s="48"/>
      <c r="AR97" s="48"/>
      <c r="AS97" s="48"/>
      <c r="AT97" s="51">
        <f t="shared" si="53"/>
        <v>93</v>
      </c>
      <c r="AU97" s="49" t="str">
        <f t="shared" si="54"/>
        <v/>
      </c>
      <c r="AV97" s="49" t="str">
        <f t="shared" si="55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1.8216473337138699E-2</v>
      </c>
      <c r="C98">
        <f t="shared" si="61"/>
        <v>1.7123484936910377E-2</v>
      </c>
      <c r="D98" s="60"/>
      <c r="E98" s="5"/>
      <c r="F98" s="5"/>
      <c r="I98" s="40"/>
      <c r="J98" s="41"/>
      <c r="K98" s="41" t="str">
        <f t="shared" si="56"/>
        <v/>
      </c>
      <c r="L98" s="42" t="str">
        <f t="shared" si="57"/>
        <v/>
      </c>
      <c r="M98" s="41" t="str">
        <f t="shared" si="58"/>
        <v/>
      </c>
      <c r="N98" s="43">
        <f t="shared" si="31"/>
        <v>0</v>
      </c>
      <c r="O98" s="44">
        <f t="shared" si="32"/>
        <v>0</v>
      </c>
      <c r="P98" s="41" t="str">
        <f t="shared" si="33"/>
        <v/>
      </c>
      <c r="Q98" s="41" t="str">
        <f t="shared" si="34"/>
        <v/>
      </c>
      <c r="R98" s="48"/>
      <c r="S98" s="44" t="str">
        <f>IF(I98&lt;&gt;"",_xlfn.XLOOKUP(D$4+I98,A$26:A$145,$C$26:$C$145,0) * 1000,"")</f>
        <v/>
      </c>
      <c r="T98" s="52">
        <f t="shared" si="60"/>
        <v>0</v>
      </c>
      <c r="U98" s="53" t="str">
        <f t="shared" si="45"/>
        <v/>
      </c>
      <c r="V98" s="53" t="str">
        <f t="shared" si="46"/>
        <v/>
      </c>
      <c r="W98" s="53" t="str">
        <f t="shared" si="47"/>
        <v/>
      </c>
      <c r="X98" s="46" t="str">
        <f t="shared" si="35"/>
        <v/>
      </c>
      <c r="Y98" s="48"/>
      <c r="Z98" s="41" t="str">
        <f t="shared" si="48"/>
        <v/>
      </c>
      <c r="AA98" s="41" t="str">
        <f t="shared" si="49"/>
        <v/>
      </c>
      <c r="AB98" s="41" t="str">
        <f t="shared" si="36"/>
        <v/>
      </c>
      <c r="AC98" s="41" t="str">
        <f t="shared" si="37"/>
        <v/>
      </c>
      <c r="AD98" s="48"/>
      <c r="AE98" s="41" t="str">
        <f t="shared" si="38"/>
        <v/>
      </c>
      <c r="AF98" s="41"/>
      <c r="AG98" s="41" t="str">
        <f t="shared" si="39"/>
        <v/>
      </c>
      <c r="AH98" s="41" t="str">
        <f t="shared" si="50"/>
        <v/>
      </c>
      <c r="AI98" s="41" t="str">
        <f t="shared" si="51"/>
        <v/>
      </c>
      <c r="AJ98" s="41">
        <f t="shared" si="40"/>
        <v>0</v>
      </c>
      <c r="AK98" s="41" t="str">
        <f t="shared" si="41"/>
        <v/>
      </c>
      <c r="AL98" s="41">
        <f t="shared" si="52"/>
        <v>0</v>
      </c>
      <c r="AM98" s="41">
        <f t="shared" si="42"/>
        <v>0</v>
      </c>
      <c r="AN98" s="41" t="str">
        <f t="shared" si="43"/>
        <v/>
      </c>
      <c r="AO98" s="41">
        <f t="shared" si="59"/>
        <v>0</v>
      </c>
      <c r="AP98" s="48"/>
      <c r="AQ98" s="48"/>
      <c r="AR98" s="48"/>
      <c r="AS98" s="48"/>
      <c r="AT98" s="51">
        <f t="shared" si="53"/>
        <v>94</v>
      </c>
      <c r="AU98" s="49" t="str">
        <f t="shared" si="54"/>
        <v/>
      </c>
      <c r="AV98" s="49" t="str">
        <f t="shared" si="55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2.0404164627192401E-2</v>
      </c>
      <c r="C99">
        <f t="shared" si="61"/>
        <v>1.9179914749560857E-2</v>
      </c>
      <c r="D99" s="60"/>
      <c r="E99" s="5"/>
      <c r="F99" s="5"/>
      <c r="I99" s="40"/>
      <c r="J99" s="41"/>
      <c r="K99" s="41" t="str">
        <f t="shared" si="56"/>
        <v/>
      </c>
      <c r="L99" s="42" t="str">
        <f t="shared" si="57"/>
        <v/>
      </c>
      <c r="M99" s="41" t="str">
        <f t="shared" si="58"/>
        <v/>
      </c>
      <c r="N99" s="43">
        <f t="shared" si="31"/>
        <v>0</v>
      </c>
      <c r="O99" s="44">
        <f t="shared" si="32"/>
        <v>0</v>
      </c>
      <c r="P99" s="41" t="str">
        <f t="shared" si="33"/>
        <v/>
      </c>
      <c r="Q99" s="41" t="str">
        <f t="shared" si="34"/>
        <v/>
      </c>
      <c r="R99" s="48"/>
      <c r="S99" s="44" t="str">
        <f>IF(I99&lt;&gt;"",_xlfn.XLOOKUP(D$4+I99,A$26:A$145,$C$26:$C$145,0) * 1000,"")</f>
        <v/>
      </c>
      <c r="T99" s="52">
        <f t="shared" si="60"/>
        <v>0</v>
      </c>
      <c r="U99" s="53" t="str">
        <f t="shared" si="45"/>
        <v/>
      </c>
      <c r="V99" s="53" t="str">
        <f t="shared" si="46"/>
        <v/>
      </c>
      <c r="W99" s="53" t="str">
        <f t="shared" si="47"/>
        <v/>
      </c>
      <c r="X99" s="46" t="str">
        <f t="shared" si="35"/>
        <v/>
      </c>
      <c r="Y99" s="48"/>
      <c r="Z99" s="41" t="str">
        <f t="shared" si="48"/>
        <v/>
      </c>
      <c r="AA99" s="41" t="str">
        <f t="shared" si="49"/>
        <v/>
      </c>
      <c r="AB99" s="41" t="str">
        <f t="shared" si="36"/>
        <v/>
      </c>
      <c r="AC99" s="41" t="str">
        <f t="shared" si="37"/>
        <v/>
      </c>
      <c r="AD99" s="48"/>
      <c r="AE99" s="41" t="str">
        <f t="shared" si="38"/>
        <v/>
      </c>
      <c r="AF99" s="41"/>
      <c r="AG99" s="41" t="str">
        <f t="shared" si="39"/>
        <v/>
      </c>
      <c r="AH99" s="41" t="str">
        <f t="shared" si="50"/>
        <v/>
      </c>
      <c r="AI99" s="41" t="str">
        <f t="shared" si="51"/>
        <v/>
      </c>
      <c r="AJ99" s="41">
        <f t="shared" si="40"/>
        <v>0</v>
      </c>
      <c r="AK99" s="41" t="str">
        <f t="shared" si="41"/>
        <v/>
      </c>
      <c r="AL99" s="41">
        <f t="shared" si="52"/>
        <v>0</v>
      </c>
      <c r="AM99" s="41">
        <f t="shared" si="42"/>
        <v>0</v>
      </c>
      <c r="AN99" s="41" t="str">
        <f t="shared" si="43"/>
        <v/>
      </c>
      <c r="AO99" s="41">
        <f t="shared" si="59"/>
        <v>0</v>
      </c>
      <c r="AP99" s="48"/>
      <c r="AQ99" s="48"/>
      <c r="AR99" s="48"/>
      <c r="AS99" s="48"/>
      <c r="AT99" s="51">
        <f t="shared" si="53"/>
        <v>95</v>
      </c>
      <c r="AU99" s="49" t="str">
        <f t="shared" si="54"/>
        <v/>
      </c>
      <c r="AV99" s="49" t="str">
        <f t="shared" si="55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2.2929392279035701E-2</v>
      </c>
      <c r="C100">
        <f t="shared" si="61"/>
        <v>2.1553628742293558E-2</v>
      </c>
      <c r="D100" s="60"/>
      <c r="E100" s="5"/>
      <c r="F100" s="5"/>
      <c r="I100" s="40"/>
      <c r="J100" s="41"/>
      <c r="K100" s="41" t="str">
        <f t="shared" si="56"/>
        <v/>
      </c>
      <c r="L100" s="42" t="str">
        <f t="shared" si="57"/>
        <v/>
      </c>
      <c r="M100" s="41" t="str">
        <f t="shared" si="58"/>
        <v/>
      </c>
      <c r="N100" s="43">
        <f t="shared" si="31"/>
        <v>0</v>
      </c>
      <c r="O100" s="44">
        <f t="shared" si="32"/>
        <v>0</v>
      </c>
      <c r="P100" s="41" t="str">
        <f t="shared" si="33"/>
        <v/>
      </c>
      <c r="Q100" s="41" t="str">
        <f t="shared" si="34"/>
        <v/>
      </c>
      <c r="R100" s="48"/>
      <c r="S100" s="44" t="str">
        <f>IF(I100&lt;&gt;"",_xlfn.XLOOKUP(D$4+I100,A$26:A$145,$C$26:$C$145,0) * 1000,"")</f>
        <v/>
      </c>
      <c r="T100" s="52">
        <f t="shared" si="60"/>
        <v>0</v>
      </c>
      <c r="U100" s="53" t="str">
        <f t="shared" si="45"/>
        <v/>
      </c>
      <c r="V100" s="53" t="str">
        <f t="shared" si="46"/>
        <v/>
      </c>
      <c r="W100" s="53" t="str">
        <f t="shared" si="47"/>
        <v/>
      </c>
      <c r="X100" s="46" t="str">
        <f t="shared" si="35"/>
        <v/>
      </c>
      <c r="Y100" s="48"/>
      <c r="Z100" s="41" t="str">
        <f t="shared" si="48"/>
        <v/>
      </c>
      <c r="AA100" s="41" t="str">
        <f t="shared" si="49"/>
        <v/>
      </c>
      <c r="AB100" s="41" t="str">
        <f t="shared" si="36"/>
        <v/>
      </c>
      <c r="AC100" s="41" t="str">
        <f t="shared" si="37"/>
        <v/>
      </c>
      <c r="AD100" s="48"/>
      <c r="AE100" s="41" t="str">
        <f t="shared" si="38"/>
        <v/>
      </c>
      <c r="AF100" s="41"/>
      <c r="AG100" s="41" t="str">
        <f t="shared" si="39"/>
        <v/>
      </c>
      <c r="AH100" s="41" t="str">
        <f t="shared" si="50"/>
        <v/>
      </c>
      <c r="AI100" s="41" t="str">
        <f t="shared" si="51"/>
        <v/>
      </c>
      <c r="AJ100" s="41">
        <f t="shared" si="40"/>
        <v>0</v>
      </c>
      <c r="AK100" s="41" t="str">
        <f t="shared" si="41"/>
        <v/>
      </c>
      <c r="AL100" s="41">
        <f t="shared" si="52"/>
        <v>0</v>
      </c>
      <c r="AM100" s="41">
        <f t="shared" si="42"/>
        <v>0</v>
      </c>
      <c r="AN100" s="41" t="str">
        <f t="shared" si="43"/>
        <v/>
      </c>
      <c r="AO100" s="41">
        <f t="shared" si="59"/>
        <v>0</v>
      </c>
      <c r="AP100" s="48"/>
      <c r="AQ100" s="48"/>
      <c r="AR100" s="48"/>
      <c r="AS100" s="48"/>
      <c r="AT100" s="51">
        <f t="shared" si="53"/>
        <v>96</v>
      </c>
      <c r="AU100" s="49" t="str">
        <f t="shared" si="54"/>
        <v/>
      </c>
      <c r="AV100" s="49" t="str">
        <f t="shared" si="55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2.9626299014128801E-2</v>
      </c>
      <c r="C101">
        <f t="shared" si="61"/>
        <v>2.7848721073281072E-2</v>
      </c>
      <c r="D101" s="60"/>
      <c r="E101" s="5"/>
      <c r="F101" s="5"/>
      <c r="I101" s="40"/>
      <c r="J101" s="41"/>
      <c r="K101" s="41" t="str">
        <f t="shared" si="56"/>
        <v/>
      </c>
      <c r="L101" s="42" t="str">
        <f t="shared" si="57"/>
        <v/>
      </c>
      <c r="M101" s="41" t="str">
        <f t="shared" si="58"/>
        <v/>
      </c>
      <c r="N101" s="43">
        <f t="shared" si="31"/>
        <v>0</v>
      </c>
      <c r="O101" s="44">
        <f t="shared" si="32"/>
        <v>0</v>
      </c>
      <c r="P101" s="41" t="str">
        <f t="shared" si="33"/>
        <v/>
      </c>
      <c r="Q101" s="41" t="str">
        <f t="shared" si="34"/>
        <v/>
      </c>
      <c r="R101" s="48"/>
      <c r="S101" s="44" t="str">
        <f>IF(I101&lt;&gt;"",_xlfn.XLOOKUP(D$4+I101,A$26:A$145,$C$26:$C$145,0) * 1000,"")</f>
        <v/>
      </c>
      <c r="T101" s="52">
        <f t="shared" si="60"/>
        <v>0</v>
      </c>
      <c r="U101" s="53" t="str">
        <f t="shared" si="45"/>
        <v/>
      </c>
      <c r="V101" s="53" t="str">
        <f t="shared" si="46"/>
        <v/>
      </c>
      <c r="W101" s="53" t="str">
        <f t="shared" si="47"/>
        <v/>
      </c>
      <c r="X101" s="46" t="str">
        <f t="shared" si="35"/>
        <v/>
      </c>
      <c r="Y101" s="48"/>
      <c r="Z101" s="41" t="str">
        <f t="shared" si="48"/>
        <v/>
      </c>
      <c r="AA101" s="41" t="str">
        <f t="shared" si="49"/>
        <v/>
      </c>
      <c r="AB101" s="41" t="str">
        <f t="shared" si="36"/>
        <v/>
      </c>
      <c r="AC101" s="41" t="str">
        <f t="shared" si="37"/>
        <v/>
      </c>
      <c r="AD101" s="48"/>
      <c r="AE101" s="41" t="str">
        <f t="shared" si="38"/>
        <v/>
      </c>
      <c r="AF101" s="41"/>
      <c r="AG101" s="41" t="str">
        <f t="shared" si="39"/>
        <v/>
      </c>
      <c r="AH101" s="41" t="str">
        <f t="shared" si="50"/>
        <v/>
      </c>
      <c r="AI101" s="41" t="str">
        <f t="shared" si="51"/>
        <v/>
      </c>
      <c r="AJ101" s="41">
        <f t="shared" si="40"/>
        <v>0</v>
      </c>
      <c r="AK101" s="41" t="str">
        <f t="shared" si="41"/>
        <v/>
      </c>
      <c r="AL101" s="41">
        <f t="shared" si="52"/>
        <v>0</v>
      </c>
      <c r="AM101" s="41">
        <f t="shared" si="42"/>
        <v>0</v>
      </c>
      <c r="AN101" s="41" t="str">
        <f t="shared" si="43"/>
        <v/>
      </c>
      <c r="AO101" s="41">
        <f t="shared" si="59"/>
        <v>0</v>
      </c>
      <c r="AP101" s="48"/>
      <c r="AQ101" s="48"/>
      <c r="AR101" s="48"/>
      <c r="AS101" s="48"/>
      <c r="AT101" s="51">
        <f t="shared" si="53"/>
        <v>97</v>
      </c>
      <c r="AU101" s="49" t="str">
        <f t="shared" si="54"/>
        <v/>
      </c>
      <c r="AV101" s="49" t="str">
        <f t="shared" si="55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3.3469124984595498E-2</v>
      </c>
      <c r="C102">
        <f t="shared" si="61"/>
        <v>3.1460977485519764E-2</v>
      </c>
      <c r="D102" s="60"/>
      <c r="E102" s="5"/>
      <c r="F102" s="5"/>
      <c r="I102" s="40"/>
      <c r="J102" s="41"/>
      <c r="K102" s="41" t="str">
        <f t="shared" si="56"/>
        <v/>
      </c>
      <c r="L102" s="42" t="str">
        <f t="shared" si="57"/>
        <v/>
      </c>
      <c r="M102" s="41" t="str">
        <f t="shared" si="58"/>
        <v/>
      </c>
      <c r="N102" s="43">
        <f t="shared" si="31"/>
        <v>0</v>
      </c>
      <c r="O102" s="44">
        <f t="shared" si="32"/>
        <v>0</v>
      </c>
      <c r="P102" s="41" t="str">
        <f t="shared" si="33"/>
        <v/>
      </c>
      <c r="Q102" s="41" t="str">
        <f t="shared" si="34"/>
        <v/>
      </c>
      <c r="R102" s="48"/>
      <c r="S102" s="44" t="str">
        <f>IF(I102&lt;&gt;"",_xlfn.XLOOKUP(D$4+I102,A$26:A$145,$C$26:$C$145,0) * 1000,"")</f>
        <v/>
      </c>
      <c r="T102" s="52">
        <f t="shared" si="60"/>
        <v>0</v>
      </c>
      <c r="U102" s="53" t="str">
        <f t="shared" si="45"/>
        <v/>
      </c>
      <c r="V102" s="53" t="str">
        <f t="shared" si="46"/>
        <v/>
      </c>
      <c r="W102" s="53" t="str">
        <f t="shared" si="47"/>
        <v/>
      </c>
      <c r="X102" s="46" t="str">
        <f t="shared" si="35"/>
        <v/>
      </c>
      <c r="Y102" s="48"/>
      <c r="Z102" s="41" t="str">
        <f t="shared" si="48"/>
        <v/>
      </c>
      <c r="AA102" s="41" t="str">
        <f t="shared" si="49"/>
        <v/>
      </c>
      <c r="AB102" s="41" t="str">
        <f t="shared" si="36"/>
        <v/>
      </c>
      <c r="AC102" s="41" t="str">
        <f t="shared" si="37"/>
        <v/>
      </c>
      <c r="AD102" s="48"/>
      <c r="AE102" s="41" t="str">
        <f t="shared" si="38"/>
        <v/>
      </c>
      <c r="AF102" s="41"/>
      <c r="AG102" s="41" t="str">
        <f t="shared" si="39"/>
        <v/>
      </c>
      <c r="AH102" s="41" t="str">
        <f t="shared" si="50"/>
        <v/>
      </c>
      <c r="AI102" s="41" t="str">
        <f t="shared" si="51"/>
        <v/>
      </c>
      <c r="AJ102" s="41">
        <f t="shared" si="40"/>
        <v>0</v>
      </c>
      <c r="AK102" s="41" t="str">
        <f t="shared" si="41"/>
        <v/>
      </c>
      <c r="AL102" s="41">
        <f t="shared" si="52"/>
        <v>0</v>
      </c>
      <c r="AM102" s="41">
        <f t="shared" si="42"/>
        <v>0</v>
      </c>
      <c r="AN102" s="41" t="str">
        <f t="shared" si="43"/>
        <v/>
      </c>
      <c r="AO102" s="41">
        <f t="shared" si="59"/>
        <v>0</v>
      </c>
      <c r="AP102" s="48"/>
      <c r="AQ102" s="48"/>
      <c r="AR102" s="48"/>
      <c r="AS102" s="48"/>
      <c r="AT102" s="51">
        <f t="shared" si="53"/>
        <v>98</v>
      </c>
      <c r="AU102" s="49" t="str">
        <f t="shared" si="54"/>
        <v/>
      </c>
      <c r="AV102" s="49" t="str">
        <f t="shared" si="55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3.7769932885946697E-2</v>
      </c>
      <c r="C103">
        <f t="shared" si="61"/>
        <v>3.5503736912789893E-2</v>
      </c>
      <c r="D103" s="60"/>
      <c r="E103" s="5"/>
      <c r="F103" s="5"/>
      <c r="I103" s="40"/>
      <c r="J103" s="41"/>
      <c r="K103" s="41" t="str">
        <f t="shared" si="56"/>
        <v/>
      </c>
      <c r="L103" s="42" t="str">
        <f t="shared" si="57"/>
        <v/>
      </c>
      <c r="M103" s="41" t="str">
        <f t="shared" si="58"/>
        <v/>
      </c>
      <c r="N103" s="43">
        <f t="shared" si="31"/>
        <v>0</v>
      </c>
      <c r="O103" s="44">
        <f t="shared" si="32"/>
        <v>0</v>
      </c>
      <c r="P103" s="41" t="str">
        <f t="shared" si="33"/>
        <v/>
      </c>
      <c r="Q103" s="41" t="str">
        <f t="shared" si="34"/>
        <v/>
      </c>
      <c r="R103" s="48"/>
      <c r="S103" s="44" t="str">
        <f>IF(I103&lt;&gt;"",_xlfn.XLOOKUP(D$4+I103,A$26:A$145,$C$26:$C$145,0) * 1000,"")</f>
        <v/>
      </c>
      <c r="T103" s="52">
        <f t="shared" si="60"/>
        <v>0</v>
      </c>
      <c r="U103" s="53" t="str">
        <f t="shared" si="45"/>
        <v/>
      </c>
      <c r="V103" s="53" t="str">
        <f t="shared" si="46"/>
        <v/>
      </c>
      <c r="W103" s="53" t="str">
        <f t="shared" si="47"/>
        <v/>
      </c>
      <c r="X103" s="46" t="str">
        <f t="shared" si="35"/>
        <v/>
      </c>
      <c r="Y103" s="48"/>
      <c r="Z103" s="41" t="str">
        <f t="shared" si="48"/>
        <v/>
      </c>
      <c r="AA103" s="41" t="str">
        <f t="shared" si="49"/>
        <v/>
      </c>
      <c r="AB103" s="41" t="str">
        <f t="shared" si="36"/>
        <v/>
      </c>
      <c r="AC103" s="41" t="str">
        <f t="shared" si="37"/>
        <v/>
      </c>
      <c r="AD103" s="48"/>
      <c r="AE103" s="41" t="str">
        <f t="shared" si="38"/>
        <v/>
      </c>
      <c r="AF103" s="41"/>
      <c r="AG103" s="41" t="str">
        <f t="shared" si="39"/>
        <v/>
      </c>
      <c r="AH103" s="41" t="str">
        <f t="shared" si="50"/>
        <v/>
      </c>
      <c r="AI103" s="41" t="str">
        <f t="shared" si="51"/>
        <v/>
      </c>
      <c r="AJ103" s="41">
        <f t="shared" si="40"/>
        <v>0</v>
      </c>
      <c r="AK103" s="41" t="str">
        <f t="shared" si="41"/>
        <v/>
      </c>
      <c r="AL103" s="41">
        <f t="shared" si="52"/>
        <v>0</v>
      </c>
      <c r="AM103" s="41">
        <f t="shared" si="42"/>
        <v>0</v>
      </c>
      <c r="AN103" s="41" t="str">
        <f t="shared" si="43"/>
        <v/>
      </c>
      <c r="AO103" s="41">
        <f t="shared" si="59"/>
        <v>0</v>
      </c>
      <c r="AP103" s="48"/>
      <c r="AQ103" s="48"/>
      <c r="AR103" s="48"/>
      <c r="AS103" s="48"/>
      <c r="AT103" s="51">
        <f t="shared" si="53"/>
        <v>99</v>
      </c>
      <c r="AU103" s="49" t="str">
        <f t="shared" si="54"/>
        <v/>
      </c>
      <c r="AV103" s="49" t="str">
        <f t="shared" si="55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4.2560780604462299E-2</v>
      </c>
      <c r="C104">
        <f t="shared" si="61"/>
        <v>4.0007133768194557E-2</v>
      </c>
      <c r="D104" s="60"/>
      <c r="E104" s="5"/>
      <c r="F104" s="5"/>
      <c r="I104" s="40"/>
      <c r="J104" s="41"/>
      <c r="K104" s="41" t="str">
        <f t="shared" si="56"/>
        <v/>
      </c>
      <c r="L104" s="42" t="str">
        <f t="shared" si="57"/>
        <v/>
      </c>
      <c r="M104" s="41" t="str">
        <f t="shared" si="58"/>
        <v/>
      </c>
      <c r="N104" s="43">
        <f t="shared" si="31"/>
        <v>0</v>
      </c>
      <c r="O104" s="44">
        <f t="shared" si="32"/>
        <v>0</v>
      </c>
      <c r="P104" s="41" t="str">
        <f t="shared" si="33"/>
        <v/>
      </c>
      <c r="Q104" s="41" t="str">
        <f t="shared" si="34"/>
        <v/>
      </c>
      <c r="R104" s="48"/>
      <c r="S104" s="44" t="str">
        <f>IF(I104&lt;&gt;"",_xlfn.XLOOKUP(D$4+I104,A$26:A$145,$C$26:$C$145,0) * 1000,"")</f>
        <v/>
      </c>
      <c r="T104" s="52">
        <f t="shared" si="60"/>
        <v>0</v>
      </c>
      <c r="U104" s="53" t="str">
        <f t="shared" si="45"/>
        <v/>
      </c>
      <c r="V104" s="53" t="str">
        <f t="shared" si="46"/>
        <v/>
      </c>
      <c r="W104" s="53" t="str">
        <f t="shared" si="47"/>
        <v/>
      </c>
      <c r="X104" s="46" t="str">
        <f t="shared" si="35"/>
        <v/>
      </c>
      <c r="Y104" s="48"/>
      <c r="Z104" s="41" t="str">
        <f t="shared" si="48"/>
        <v/>
      </c>
      <c r="AA104" s="41" t="str">
        <f t="shared" si="49"/>
        <v/>
      </c>
      <c r="AB104" s="41" t="str">
        <f t="shared" si="36"/>
        <v/>
      </c>
      <c r="AC104" s="41" t="str">
        <f t="shared" si="37"/>
        <v/>
      </c>
      <c r="AD104" s="48"/>
      <c r="AE104" s="41" t="str">
        <f t="shared" si="38"/>
        <v/>
      </c>
      <c r="AF104" s="41"/>
      <c r="AG104" s="41" t="str">
        <f t="shared" si="39"/>
        <v/>
      </c>
      <c r="AH104" s="41" t="str">
        <f t="shared" si="50"/>
        <v/>
      </c>
      <c r="AI104" s="41" t="str">
        <f t="shared" si="51"/>
        <v/>
      </c>
      <c r="AJ104" s="41">
        <f t="shared" si="40"/>
        <v>0</v>
      </c>
      <c r="AK104" s="41" t="str">
        <f t="shared" si="41"/>
        <v/>
      </c>
      <c r="AL104" s="41">
        <f t="shared" si="52"/>
        <v>0</v>
      </c>
      <c r="AM104" s="41">
        <f t="shared" si="42"/>
        <v>0</v>
      </c>
      <c r="AN104" s="41" t="str">
        <f t="shared" si="43"/>
        <v/>
      </c>
      <c r="AO104" s="41">
        <f t="shared" si="59"/>
        <v>0</v>
      </c>
      <c r="AP104" s="48"/>
      <c r="AQ104" s="48"/>
      <c r="AR104" s="48"/>
      <c r="AS104" s="48"/>
      <c r="AT104" s="51">
        <f t="shared" si="53"/>
        <v>100</v>
      </c>
      <c r="AU104" s="49" t="str">
        <f t="shared" si="54"/>
        <v/>
      </c>
      <c r="AV104" s="49" t="str">
        <f t="shared" si="55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4.7795789741909699E-2</v>
      </c>
      <c r="C105">
        <f t="shared" si="61"/>
        <v>4.4928042357395115E-2</v>
      </c>
      <c r="D105" s="60"/>
      <c r="E105" s="5"/>
      <c r="F105" s="5"/>
      <c r="I105" s="40"/>
      <c r="J105" s="41"/>
      <c r="K105" s="41" t="str">
        <f t="shared" si="56"/>
        <v/>
      </c>
      <c r="L105" s="42" t="str">
        <f t="shared" si="57"/>
        <v/>
      </c>
      <c r="M105" s="41" t="str">
        <f t="shared" si="58"/>
        <v/>
      </c>
      <c r="N105" s="43">
        <f t="shared" si="31"/>
        <v>0</v>
      </c>
      <c r="O105" s="44">
        <f t="shared" si="32"/>
        <v>0</v>
      </c>
      <c r="P105" s="41" t="str">
        <f t="shared" si="33"/>
        <v/>
      </c>
      <c r="Q105" s="41" t="str">
        <f t="shared" si="34"/>
        <v/>
      </c>
      <c r="R105" s="48"/>
      <c r="S105" s="44" t="str">
        <f>IF(I105&lt;&gt;"",_xlfn.XLOOKUP(D$4+I105,A$26:A$145,$C$26:$C$145,0) * 1000,"")</f>
        <v/>
      </c>
      <c r="T105" s="52">
        <f t="shared" si="60"/>
        <v>0</v>
      </c>
      <c r="U105" s="53" t="str">
        <f t="shared" si="45"/>
        <v/>
      </c>
      <c r="V105" s="53" t="str">
        <f t="shared" si="46"/>
        <v/>
      </c>
      <c r="W105" s="53" t="str">
        <f t="shared" si="47"/>
        <v/>
      </c>
      <c r="X105" s="46" t="str">
        <f t="shared" si="35"/>
        <v/>
      </c>
      <c r="Y105" s="48"/>
      <c r="Z105" s="41" t="str">
        <f t="shared" si="48"/>
        <v/>
      </c>
      <c r="AA105" s="41" t="str">
        <f t="shared" si="49"/>
        <v/>
      </c>
      <c r="AB105" s="41" t="str">
        <f t="shared" si="36"/>
        <v/>
      </c>
      <c r="AC105" s="41" t="str">
        <f t="shared" si="37"/>
        <v/>
      </c>
      <c r="AD105" s="48"/>
      <c r="AE105" s="41" t="str">
        <f t="shared" si="38"/>
        <v/>
      </c>
      <c r="AF105" s="41"/>
      <c r="AG105" s="41" t="str">
        <f t="shared" si="39"/>
        <v/>
      </c>
      <c r="AH105" s="41" t="str">
        <f t="shared" si="50"/>
        <v/>
      </c>
      <c r="AI105" s="41" t="str">
        <f t="shared" si="51"/>
        <v/>
      </c>
      <c r="AJ105" s="41">
        <f t="shared" si="40"/>
        <v>0</v>
      </c>
      <c r="AK105" s="41" t="str">
        <f t="shared" si="41"/>
        <v/>
      </c>
      <c r="AL105" s="41">
        <f t="shared" si="52"/>
        <v>0</v>
      </c>
      <c r="AM105" s="41">
        <f t="shared" si="42"/>
        <v>0</v>
      </c>
      <c r="AN105" s="41" t="str">
        <f t="shared" si="43"/>
        <v/>
      </c>
      <c r="AO105" s="41">
        <f t="shared" si="59"/>
        <v>0</v>
      </c>
      <c r="AP105" s="48"/>
      <c r="AQ105" s="48"/>
      <c r="AR105" s="48"/>
      <c r="AS105" s="48"/>
      <c r="AT105" s="51">
        <f t="shared" si="53"/>
        <v>101</v>
      </c>
      <c r="AU105" s="49" t="str">
        <f t="shared" si="54"/>
        <v/>
      </c>
      <c r="AV105" s="49" t="str">
        <f t="shared" si="55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5.3557429341000502E-2</v>
      </c>
      <c r="C106">
        <f t="shared" si="61"/>
        <v>5.0343983580540472E-2</v>
      </c>
      <c r="D106" s="60"/>
      <c r="E106" s="5"/>
      <c r="F106" s="5"/>
      <c r="I106" s="40"/>
      <c r="J106" s="41"/>
      <c r="K106" s="41" t="str">
        <f t="shared" si="56"/>
        <v/>
      </c>
      <c r="L106" s="42" t="str">
        <f t="shared" si="57"/>
        <v/>
      </c>
      <c r="M106" s="41" t="str">
        <f t="shared" si="58"/>
        <v/>
      </c>
      <c r="N106" s="43">
        <f t="shared" si="31"/>
        <v>0</v>
      </c>
      <c r="O106" s="44">
        <f t="shared" si="32"/>
        <v>0</v>
      </c>
      <c r="P106" s="41" t="str">
        <f t="shared" si="33"/>
        <v/>
      </c>
      <c r="Q106" s="41" t="str">
        <f t="shared" si="34"/>
        <v/>
      </c>
      <c r="R106" s="48"/>
      <c r="S106" s="44" t="str">
        <f>IF(I106&lt;&gt;"",_xlfn.XLOOKUP(D$4+I106,A$26:A$145,$C$26:$C$145,0) * 1000,"")</f>
        <v/>
      </c>
      <c r="T106" s="52">
        <f t="shared" si="60"/>
        <v>0</v>
      </c>
      <c r="U106" s="53" t="str">
        <f t="shared" si="45"/>
        <v/>
      </c>
      <c r="V106" s="53" t="str">
        <f t="shared" si="46"/>
        <v/>
      </c>
      <c r="W106" s="53" t="str">
        <f t="shared" si="47"/>
        <v/>
      </c>
      <c r="X106" s="46" t="str">
        <f t="shared" si="35"/>
        <v/>
      </c>
      <c r="Y106" s="48"/>
      <c r="Z106" s="41" t="str">
        <f t="shared" si="48"/>
        <v/>
      </c>
      <c r="AA106" s="41" t="str">
        <f t="shared" si="49"/>
        <v/>
      </c>
      <c r="AB106" s="41" t="str">
        <f t="shared" si="36"/>
        <v/>
      </c>
      <c r="AC106" s="41" t="str">
        <f t="shared" si="37"/>
        <v/>
      </c>
      <c r="AD106" s="48"/>
      <c r="AE106" s="41" t="str">
        <f t="shared" si="38"/>
        <v/>
      </c>
      <c r="AF106" s="41"/>
      <c r="AG106" s="41" t="str">
        <f t="shared" si="39"/>
        <v/>
      </c>
      <c r="AH106" s="41" t="str">
        <f t="shared" si="50"/>
        <v/>
      </c>
      <c r="AI106" s="41" t="str">
        <f t="shared" si="51"/>
        <v/>
      </c>
      <c r="AJ106" s="41">
        <f t="shared" si="40"/>
        <v>0</v>
      </c>
      <c r="AK106" s="41" t="str">
        <f t="shared" si="41"/>
        <v/>
      </c>
      <c r="AL106" s="41">
        <f t="shared" si="52"/>
        <v>0</v>
      </c>
      <c r="AM106" s="41">
        <f t="shared" si="42"/>
        <v>0</v>
      </c>
      <c r="AN106" s="41" t="str">
        <f t="shared" si="43"/>
        <v/>
      </c>
      <c r="AO106" s="41">
        <f t="shared" si="59"/>
        <v>0</v>
      </c>
      <c r="AP106" s="48"/>
      <c r="AQ106" s="48"/>
      <c r="AR106" s="48"/>
      <c r="AS106" s="48"/>
      <c r="AT106" s="51">
        <f t="shared" si="53"/>
        <v>102</v>
      </c>
      <c r="AU106" s="49" t="str">
        <f t="shared" si="54"/>
        <v/>
      </c>
      <c r="AV106" s="49" t="str">
        <f t="shared" si="55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6.0048558902911102E-2</v>
      </c>
      <c r="C107">
        <f t="shared" si="61"/>
        <v>5.6445645368736433E-2</v>
      </c>
      <c r="D107" s="60"/>
      <c r="E107" s="5"/>
      <c r="F107" s="5"/>
      <c r="I107" s="40"/>
      <c r="J107" s="41"/>
      <c r="K107" s="41" t="str">
        <f t="shared" si="56"/>
        <v/>
      </c>
      <c r="L107" s="42" t="str">
        <f t="shared" si="57"/>
        <v/>
      </c>
      <c r="M107" s="41" t="str">
        <f t="shared" si="58"/>
        <v/>
      </c>
      <c r="N107" s="43">
        <f t="shared" si="31"/>
        <v>0</v>
      </c>
      <c r="O107" s="44">
        <f t="shared" si="32"/>
        <v>0</v>
      </c>
      <c r="P107" s="41" t="str">
        <f t="shared" si="33"/>
        <v/>
      </c>
      <c r="Q107" s="41" t="str">
        <f t="shared" si="34"/>
        <v/>
      </c>
      <c r="R107" s="48"/>
      <c r="S107" s="44" t="str">
        <f>IF(I107&lt;&gt;"",_xlfn.XLOOKUP(D$4+I107,A$26:A$145,$C$26:$C$145,0) * 1000,"")</f>
        <v/>
      </c>
      <c r="T107" s="52">
        <f t="shared" si="60"/>
        <v>0</v>
      </c>
      <c r="U107" s="53" t="str">
        <f t="shared" si="45"/>
        <v/>
      </c>
      <c r="V107" s="53" t="str">
        <f t="shared" si="46"/>
        <v/>
      </c>
      <c r="W107" s="53" t="str">
        <f t="shared" si="47"/>
        <v/>
      </c>
      <c r="X107" s="46" t="str">
        <f t="shared" si="35"/>
        <v/>
      </c>
      <c r="Y107" s="48"/>
      <c r="Z107" s="41" t="str">
        <f t="shared" si="48"/>
        <v/>
      </c>
      <c r="AA107" s="41" t="str">
        <f t="shared" si="49"/>
        <v/>
      </c>
      <c r="AB107" s="41" t="str">
        <f t="shared" si="36"/>
        <v/>
      </c>
      <c r="AC107" s="41" t="str">
        <f t="shared" si="37"/>
        <v/>
      </c>
      <c r="AD107" s="48"/>
      <c r="AE107" s="41" t="str">
        <f t="shared" si="38"/>
        <v/>
      </c>
      <c r="AF107" s="41"/>
      <c r="AG107" s="41" t="str">
        <f t="shared" si="39"/>
        <v/>
      </c>
      <c r="AH107" s="41" t="str">
        <f t="shared" si="50"/>
        <v/>
      </c>
      <c r="AI107" s="41" t="str">
        <f t="shared" si="51"/>
        <v/>
      </c>
      <c r="AJ107" s="41">
        <f t="shared" si="40"/>
        <v>0</v>
      </c>
      <c r="AK107" s="41" t="str">
        <f t="shared" si="41"/>
        <v/>
      </c>
      <c r="AL107" s="41">
        <f t="shared" si="52"/>
        <v>0</v>
      </c>
      <c r="AM107" s="41">
        <f t="shared" si="42"/>
        <v>0</v>
      </c>
      <c r="AN107" s="41" t="str">
        <f t="shared" si="43"/>
        <v/>
      </c>
      <c r="AO107" s="41">
        <f t="shared" si="59"/>
        <v>0</v>
      </c>
      <c r="AP107" s="48"/>
      <c r="AQ107" s="48"/>
      <c r="AR107" s="48"/>
      <c r="AS107" s="48"/>
      <c r="AT107" s="51">
        <f t="shared" si="53"/>
        <v>103</v>
      </c>
      <c r="AU107" s="49" t="str">
        <f t="shared" si="54"/>
        <v/>
      </c>
      <c r="AV107" s="49" t="str">
        <f t="shared" si="55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6.7353858678097803E-2</v>
      </c>
      <c r="C108">
        <f t="shared" si="61"/>
        <v>6.3312627157411927E-2</v>
      </c>
      <c r="D108" s="60"/>
      <c r="E108" s="5"/>
      <c r="F108" s="5"/>
      <c r="I108" s="40"/>
      <c r="J108" s="41"/>
      <c r="K108" s="41" t="str">
        <f t="shared" si="56"/>
        <v/>
      </c>
      <c r="L108" s="42" t="str">
        <f t="shared" si="57"/>
        <v/>
      </c>
      <c r="M108" s="41" t="str">
        <f t="shared" si="58"/>
        <v/>
      </c>
      <c r="N108" s="43">
        <f t="shared" si="31"/>
        <v>0</v>
      </c>
      <c r="O108" s="44">
        <f t="shared" si="32"/>
        <v>0</v>
      </c>
      <c r="P108" s="41" t="str">
        <f t="shared" si="33"/>
        <v/>
      </c>
      <c r="Q108" s="41" t="str">
        <f t="shared" si="34"/>
        <v/>
      </c>
      <c r="R108" s="48"/>
      <c r="S108" s="44" t="str">
        <f>IF(I108&lt;&gt;"",_xlfn.XLOOKUP(D$4+I108,A$26:A$145,$C$26:$C$145,0) * 1000,"")</f>
        <v/>
      </c>
      <c r="T108" s="52">
        <f t="shared" si="60"/>
        <v>0</v>
      </c>
      <c r="U108" s="53" t="str">
        <f t="shared" si="45"/>
        <v/>
      </c>
      <c r="V108" s="53" t="str">
        <f t="shared" si="46"/>
        <v/>
      </c>
      <c r="W108" s="53" t="str">
        <f t="shared" si="47"/>
        <v/>
      </c>
      <c r="X108" s="46" t="str">
        <f t="shared" si="35"/>
        <v/>
      </c>
      <c r="Y108" s="48"/>
      <c r="Z108" s="41" t="str">
        <f t="shared" si="48"/>
        <v/>
      </c>
      <c r="AA108" s="41" t="str">
        <f t="shared" si="49"/>
        <v/>
      </c>
      <c r="AB108" s="41" t="str">
        <f t="shared" si="36"/>
        <v/>
      </c>
      <c r="AC108" s="41" t="str">
        <f t="shared" si="37"/>
        <v/>
      </c>
      <c r="AD108" s="48"/>
      <c r="AE108" s="41" t="str">
        <f t="shared" si="38"/>
        <v/>
      </c>
      <c r="AF108" s="41"/>
      <c r="AG108" s="41" t="str">
        <f t="shared" si="39"/>
        <v/>
      </c>
      <c r="AH108" s="41" t="str">
        <f t="shared" si="50"/>
        <v/>
      </c>
      <c r="AI108" s="41" t="str">
        <f t="shared" si="51"/>
        <v/>
      </c>
      <c r="AJ108" s="41">
        <f t="shared" si="40"/>
        <v>0</v>
      </c>
      <c r="AK108" s="41" t="str">
        <f t="shared" si="41"/>
        <v/>
      </c>
      <c r="AL108" s="41">
        <f t="shared" si="52"/>
        <v>0</v>
      </c>
      <c r="AM108" s="41">
        <f t="shared" si="42"/>
        <v>0</v>
      </c>
      <c r="AN108" s="41" t="str">
        <f t="shared" si="43"/>
        <v/>
      </c>
      <c r="AO108" s="41">
        <f t="shared" si="59"/>
        <v>0</v>
      </c>
      <c r="AP108" s="48"/>
      <c r="AQ108" s="48"/>
      <c r="AR108" s="48"/>
      <c r="AS108" s="48"/>
      <c r="AT108" s="51">
        <f t="shared" si="53"/>
        <v>104</v>
      </c>
      <c r="AU108" s="49" t="str">
        <f t="shared" si="54"/>
        <v/>
      </c>
      <c r="AV108" s="49" t="str">
        <f t="shared" si="55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7.5607462247925E-2</v>
      </c>
      <c r="C109">
        <f t="shared" si="61"/>
        <v>7.1071014513049494E-2</v>
      </c>
      <c r="D109" s="60"/>
      <c r="E109" s="5"/>
      <c r="F109" s="5"/>
      <c r="I109" s="40"/>
      <c r="J109" s="41"/>
      <c r="K109" s="41" t="str">
        <f t="shared" si="56"/>
        <v/>
      </c>
      <c r="L109" s="42" t="str">
        <f t="shared" si="57"/>
        <v/>
      </c>
      <c r="M109" s="41" t="str">
        <f t="shared" si="58"/>
        <v/>
      </c>
      <c r="N109" s="43">
        <f t="shared" si="31"/>
        <v>0</v>
      </c>
      <c r="O109" s="44">
        <f t="shared" si="32"/>
        <v>0</v>
      </c>
      <c r="P109" s="41" t="str">
        <f t="shared" si="33"/>
        <v/>
      </c>
      <c r="Q109" s="41" t="str">
        <f t="shared" si="34"/>
        <v/>
      </c>
      <c r="R109" s="48"/>
      <c r="S109" s="44" t="str">
        <f>IF(I109&lt;&gt;"",_xlfn.XLOOKUP(D$4+I109,A$26:A$145,$C$26:$C$145,0) * 1000,"")</f>
        <v/>
      </c>
      <c r="T109" s="52">
        <f t="shared" si="60"/>
        <v>0</v>
      </c>
      <c r="U109" s="53" t="str">
        <f t="shared" si="45"/>
        <v/>
      </c>
      <c r="V109" s="53" t="str">
        <f t="shared" si="46"/>
        <v/>
      </c>
      <c r="W109" s="53" t="str">
        <f t="shared" si="47"/>
        <v/>
      </c>
      <c r="X109" s="46" t="str">
        <f t="shared" si="35"/>
        <v/>
      </c>
      <c r="Y109" s="48"/>
      <c r="Z109" s="41" t="str">
        <f t="shared" si="48"/>
        <v/>
      </c>
      <c r="AA109" s="41" t="str">
        <f t="shared" si="49"/>
        <v/>
      </c>
      <c r="AB109" s="41" t="str">
        <f t="shared" si="36"/>
        <v/>
      </c>
      <c r="AC109" s="41" t="str">
        <f t="shared" si="37"/>
        <v/>
      </c>
      <c r="AD109" s="48"/>
      <c r="AE109" s="41" t="str">
        <f t="shared" si="38"/>
        <v/>
      </c>
      <c r="AF109" s="41"/>
      <c r="AG109" s="41" t="str">
        <f t="shared" si="39"/>
        <v/>
      </c>
      <c r="AH109" s="41" t="str">
        <f t="shared" si="50"/>
        <v/>
      </c>
      <c r="AI109" s="41" t="str">
        <f t="shared" si="51"/>
        <v/>
      </c>
      <c r="AJ109" s="41">
        <f t="shared" si="40"/>
        <v>0</v>
      </c>
      <c r="AK109" s="41" t="str">
        <f t="shared" si="41"/>
        <v/>
      </c>
      <c r="AL109" s="41">
        <f t="shared" si="52"/>
        <v>0</v>
      </c>
      <c r="AM109" s="41">
        <f t="shared" si="42"/>
        <v>0</v>
      </c>
      <c r="AN109" s="41" t="str">
        <f t="shared" si="43"/>
        <v/>
      </c>
      <c r="AO109" s="41">
        <f t="shared" si="59"/>
        <v>0</v>
      </c>
      <c r="AP109" s="48"/>
      <c r="AQ109" s="48"/>
      <c r="AR109" s="48"/>
      <c r="AS109" s="48"/>
      <c r="AT109" s="51">
        <f t="shared" si="53"/>
        <v>105</v>
      </c>
      <c r="AU109" s="49" t="str">
        <f t="shared" si="54"/>
        <v/>
      </c>
      <c r="AV109" s="49" t="str">
        <f t="shared" si="55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8.4541493126360306E-2</v>
      </c>
      <c r="C110">
        <f t="shared" si="61"/>
        <v>7.9469003538778685E-2</v>
      </c>
      <c r="D110" s="60"/>
      <c r="E110" s="5"/>
      <c r="F110" s="5"/>
      <c r="I110" s="40"/>
      <c r="J110" s="41"/>
      <c r="K110" s="41" t="str">
        <f t="shared" si="56"/>
        <v/>
      </c>
      <c r="L110" s="42" t="str">
        <f t="shared" si="57"/>
        <v/>
      </c>
      <c r="M110" s="41" t="str">
        <f t="shared" si="58"/>
        <v/>
      </c>
      <c r="N110" s="43">
        <f t="shared" si="31"/>
        <v>0</v>
      </c>
      <c r="O110" s="44">
        <f t="shared" si="32"/>
        <v>0</v>
      </c>
      <c r="P110" s="41" t="str">
        <f t="shared" si="33"/>
        <v/>
      </c>
      <c r="Q110" s="41" t="str">
        <f t="shared" si="34"/>
        <v/>
      </c>
      <c r="R110" s="48"/>
      <c r="S110" s="44" t="str">
        <f>IF(I110&lt;&gt;"",_xlfn.XLOOKUP(D$4+I110,A$26:A$145,$C$26:$C$145,0) * 1000,"")</f>
        <v/>
      </c>
      <c r="T110" s="52">
        <f t="shared" si="60"/>
        <v>0</v>
      </c>
      <c r="U110" s="53" t="str">
        <f t="shared" si="45"/>
        <v/>
      </c>
      <c r="V110" s="53" t="str">
        <f t="shared" si="46"/>
        <v/>
      </c>
      <c r="W110" s="53" t="str">
        <f t="shared" si="47"/>
        <v/>
      </c>
      <c r="X110" s="46" t="str">
        <f t="shared" si="35"/>
        <v/>
      </c>
      <c r="Y110" s="48"/>
      <c r="Z110" s="41" t="str">
        <f t="shared" si="48"/>
        <v/>
      </c>
      <c r="AA110" s="41" t="str">
        <f t="shared" si="49"/>
        <v/>
      </c>
      <c r="AB110" s="41" t="str">
        <f t="shared" si="36"/>
        <v/>
      </c>
      <c r="AC110" s="41" t="str">
        <f t="shared" si="37"/>
        <v/>
      </c>
      <c r="AD110" s="48"/>
      <c r="AE110" s="41" t="str">
        <f t="shared" si="38"/>
        <v/>
      </c>
      <c r="AF110" s="41"/>
      <c r="AG110" s="41" t="str">
        <f t="shared" si="39"/>
        <v/>
      </c>
      <c r="AH110" s="41" t="str">
        <f t="shared" si="50"/>
        <v/>
      </c>
      <c r="AI110" s="41" t="str">
        <f t="shared" si="51"/>
        <v/>
      </c>
      <c r="AJ110" s="41">
        <f t="shared" si="40"/>
        <v>0</v>
      </c>
      <c r="AK110" s="41" t="str">
        <f t="shared" si="41"/>
        <v/>
      </c>
      <c r="AL110" s="41">
        <f t="shared" si="52"/>
        <v>0</v>
      </c>
      <c r="AM110" s="41">
        <f t="shared" si="42"/>
        <v>0</v>
      </c>
      <c r="AN110" s="41" t="str">
        <f t="shared" si="43"/>
        <v/>
      </c>
      <c r="AO110" s="41">
        <f t="shared" si="59"/>
        <v>0</v>
      </c>
      <c r="AP110" s="48"/>
      <c r="AQ110" s="48"/>
      <c r="AR110" s="48"/>
      <c r="AS110" s="48"/>
      <c r="AT110" s="51">
        <f t="shared" si="53"/>
        <v>106</v>
      </c>
      <c r="AU110" s="49" t="str">
        <f t="shared" si="54"/>
        <v/>
      </c>
      <c r="AV110" s="49" t="str">
        <f t="shared" si="55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9.3896984302318506E-2</v>
      </c>
      <c r="C111">
        <f t="shared" si="61"/>
        <v>8.826316524417939E-2</v>
      </c>
      <c r="D111" s="60"/>
      <c r="E111" s="5"/>
      <c r="F111" s="5"/>
      <c r="I111" s="40"/>
      <c r="J111" s="41"/>
      <c r="K111" s="41" t="str">
        <f t="shared" si="56"/>
        <v/>
      </c>
      <c r="L111" s="42" t="str">
        <f t="shared" si="57"/>
        <v/>
      </c>
      <c r="M111" s="41" t="str">
        <f t="shared" si="58"/>
        <v/>
      </c>
      <c r="N111" s="43">
        <f t="shared" si="31"/>
        <v>0</v>
      </c>
      <c r="O111" s="44">
        <f t="shared" si="32"/>
        <v>0</v>
      </c>
      <c r="P111" s="41" t="str">
        <f t="shared" si="33"/>
        <v/>
      </c>
      <c r="Q111" s="41" t="str">
        <f t="shared" si="34"/>
        <v/>
      </c>
      <c r="R111" s="48"/>
      <c r="S111" s="44" t="str">
        <f>IF(I111&lt;&gt;"",_xlfn.XLOOKUP(D$4+I111,A$26:A$145,$C$26:$C$145,0) * 1000,"")</f>
        <v/>
      </c>
      <c r="T111" s="52">
        <f t="shared" si="60"/>
        <v>0</v>
      </c>
      <c r="U111" s="53" t="str">
        <f t="shared" si="45"/>
        <v/>
      </c>
      <c r="V111" s="53" t="str">
        <f t="shared" si="46"/>
        <v/>
      </c>
      <c r="W111" s="53" t="str">
        <f t="shared" si="47"/>
        <v/>
      </c>
      <c r="X111" s="46" t="str">
        <f t="shared" si="35"/>
        <v/>
      </c>
      <c r="Y111" s="48"/>
      <c r="Z111" s="41" t="str">
        <f t="shared" si="48"/>
        <v/>
      </c>
      <c r="AA111" s="41" t="str">
        <f t="shared" si="49"/>
        <v/>
      </c>
      <c r="AB111" s="41" t="str">
        <f t="shared" si="36"/>
        <v/>
      </c>
      <c r="AC111" s="41" t="str">
        <f t="shared" si="37"/>
        <v/>
      </c>
      <c r="AD111" s="48"/>
      <c r="AE111" s="41" t="str">
        <f t="shared" si="38"/>
        <v/>
      </c>
      <c r="AF111" s="41"/>
      <c r="AG111" s="41" t="str">
        <f t="shared" si="39"/>
        <v/>
      </c>
      <c r="AH111" s="41" t="str">
        <f t="shared" si="50"/>
        <v/>
      </c>
      <c r="AI111" s="41" t="str">
        <f t="shared" si="51"/>
        <v/>
      </c>
      <c r="AJ111" s="41">
        <f t="shared" si="40"/>
        <v>0</v>
      </c>
      <c r="AK111" s="41" t="str">
        <f t="shared" si="41"/>
        <v/>
      </c>
      <c r="AL111" s="41">
        <f t="shared" si="52"/>
        <v>0</v>
      </c>
      <c r="AM111" s="41">
        <f t="shared" si="42"/>
        <v>0</v>
      </c>
      <c r="AN111" s="41" t="str">
        <f t="shared" si="43"/>
        <v/>
      </c>
      <c r="AO111" s="41">
        <f t="shared" si="59"/>
        <v>0</v>
      </c>
      <c r="AP111" s="48"/>
      <c r="AQ111" s="48"/>
      <c r="AR111" s="48"/>
      <c r="AS111" s="48"/>
      <c r="AT111" s="51">
        <f t="shared" si="53"/>
        <v>107</v>
      </c>
      <c r="AU111" s="49" t="str">
        <f t="shared" si="54"/>
        <v/>
      </c>
      <c r="AV111" s="49" t="str">
        <f t="shared" si="55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0.104132323537525</v>
      </c>
      <c r="C112">
        <f t="shared" si="61"/>
        <v>9.7884384125273491E-2</v>
      </c>
      <c r="D112" s="60"/>
      <c r="E112" s="5"/>
      <c r="F112" s="5"/>
      <c r="I112" s="40"/>
      <c r="J112" s="41"/>
      <c r="K112" s="41" t="str">
        <f t="shared" si="56"/>
        <v/>
      </c>
      <c r="L112" s="42" t="str">
        <f t="shared" si="57"/>
        <v/>
      </c>
      <c r="M112" s="41" t="str">
        <f t="shared" si="58"/>
        <v/>
      </c>
      <c r="N112" s="43">
        <f t="shared" si="31"/>
        <v>0</v>
      </c>
      <c r="O112" s="44">
        <f t="shared" si="32"/>
        <v>0</v>
      </c>
      <c r="P112" s="41" t="str">
        <f t="shared" si="33"/>
        <v/>
      </c>
      <c r="Q112" s="41" t="str">
        <f t="shared" si="34"/>
        <v/>
      </c>
      <c r="R112" s="48"/>
      <c r="S112" s="44" t="str">
        <f>IF(I112&lt;&gt;"",_xlfn.XLOOKUP(D$4+I112,A$26:A$145,$C$26:$C$145,0) * 1000,"")</f>
        <v/>
      </c>
      <c r="T112" s="52">
        <f t="shared" si="60"/>
        <v>0</v>
      </c>
      <c r="U112" s="53" t="str">
        <f t="shared" si="45"/>
        <v/>
      </c>
      <c r="V112" s="53" t="str">
        <f t="shared" si="46"/>
        <v/>
      </c>
      <c r="W112" s="53" t="str">
        <f t="shared" si="47"/>
        <v/>
      </c>
      <c r="X112" s="46" t="str">
        <f t="shared" si="35"/>
        <v/>
      </c>
      <c r="Y112" s="48"/>
      <c r="Z112" s="41" t="str">
        <f t="shared" si="48"/>
        <v/>
      </c>
      <c r="AA112" s="41" t="str">
        <f t="shared" si="49"/>
        <v/>
      </c>
      <c r="AB112" s="41" t="str">
        <f t="shared" si="36"/>
        <v/>
      </c>
      <c r="AC112" s="41" t="str">
        <f t="shared" si="37"/>
        <v/>
      </c>
      <c r="AD112" s="48"/>
      <c r="AE112" s="41" t="str">
        <f t="shared" si="38"/>
        <v/>
      </c>
      <c r="AF112" s="41"/>
      <c r="AG112" s="41" t="str">
        <f t="shared" si="39"/>
        <v/>
      </c>
      <c r="AH112" s="41" t="str">
        <f t="shared" si="50"/>
        <v/>
      </c>
      <c r="AI112" s="41" t="str">
        <f t="shared" si="51"/>
        <v/>
      </c>
      <c r="AJ112" s="41">
        <f t="shared" si="40"/>
        <v>0</v>
      </c>
      <c r="AK112" s="41" t="str">
        <f t="shared" si="41"/>
        <v/>
      </c>
      <c r="AL112" s="41">
        <f t="shared" si="52"/>
        <v>0</v>
      </c>
      <c r="AM112" s="41">
        <f t="shared" si="42"/>
        <v>0</v>
      </c>
      <c r="AN112" s="41" t="str">
        <f t="shared" si="43"/>
        <v/>
      </c>
      <c r="AO112" s="41">
        <f t="shared" si="59"/>
        <v>0</v>
      </c>
      <c r="AP112" s="48"/>
      <c r="AQ112" s="48"/>
      <c r="AR112" s="48"/>
      <c r="AS112" s="48"/>
      <c r="AT112" s="51">
        <f t="shared" si="53"/>
        <v>108</v>
      </c>
      <c r="AU112" s="49" t="str">
        <f t="shared" si="54"/>
        <v/>
      </c>
      <c r="AV112" s="49" t="str">
        <f t="shared" si="55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0.11521772642735099</v>
      </c>
      <c r="C113">
        <f t="shared" si="61"/>
        <v>0.10830466284170993</v>
      </c>
      <c r="D113" s="60"/>
      <c r="E113" s="5"/>
      <c r="F113" s="5"/>
      <c r="I113" s="40"/>
      <c r="J113" s="41"/>
      <c r="K113" s="41" t="str">
        <f t="shared" si="56"/>
        <v/>
      </c>
      <c r="L113" s="42" t="str">
        <f t="shared" si="57"/>
        <v/>
      </c>
      <c r="M113" s="41" t="str">
        <f t="shared" si="58"/>
        <v/>
      </c>
      <c r="N113" s="43">
        <f t="shared" si="31"/>
        <v>0</v>
      </c>
      <c r="O113" s="44">
        <f t="shared" si="32"/>
        <v>0</v>
      </c>
      <c r="P113" s="41" t="str">
        <f t="shared" si="33"/>
        <v/>
      </c>
      <c r="Q113" s="41" t="str">
        <f t="shared" si="34"/>
        <v/>
      </c>
      <c r="R113" s="48"/>
      <c r="S113" s="44" t="str">
        <f>IF(I113&lt;&gt;"",_xlfn.XLOOKUP(D$4+I113,A$26:A$145,$C$26:$C$145,0) * 1000,"")</f>
        <v/>
      </c>
      <c r="T113" s="52">
        <f t="shared" si="60"/>
        <v>0</v>
      </c>
      <c r="U113" s="53" t="str">
        <f t="shared" si="45"/>
        <v/>
      </c>
      <c r="V113" s="53" t="str">
        <f t="shared" si="46"/>
        <v/>
      </c>
      <c r="W113" s="53" t="str">
        <f t="shared" si="47"/>
        <v/>
      </c>
      <c r="X113" s="46" t="str">
        <f t="shared" si="35"/>
        <v/>
      </c>
      <c r="Y113" s="48"/>
      <c r="Z113" s="41" t="str">
        <f t="shared" si="48"/>
        <v/>
      </c>
      <c r="AA113" s="41" t="str">
        <f t="shared" si="49"/>
        <v/>
      </c>
      <c r="AB113" s="41" t="str">
        <f t="shared" si="36"/>
        <v/>
      </c>
      <c r="AC113" s="41" t="str">
        <f t="shared" si="37"/>
        <v/>
      </c>
      <c r="AD113" s="48"/>
      <c r="AE113" s="41" t="str">
        <f t="shared" si="38"/>
        <v/>
      </c>
      <c r="AF113" s="41"/>
      <c r="AG113" s="41" t="str">
        <f t="shared" si="39"/>
        <v/>
      </c>
      <c r="AH113" s="41" t="str">
        <f t="shared" si="50"/>
        <v/>
      </c>
      <c r="AI113" s="41" t="str">
        <f t="shared" si="51"/>
        <v/>
      </c>
      <c r="AJ113" s="41">
        <f t="shared" si="40"/>
        <v>0</v>
      </c>
      <c r="AK113" s="41" t="str">
        <f t="shared" si="41"/>
        <v/>
      </c>
      <c r="AL113" s="41">
        <f t="shared" si="52"/>
        <v>0</v>
      </c>
      <c r="AM113" s="41">
        <f t="shared" si="42"/>
        <v>0</v>
      </c>
      <c r="AN113" s="41" t="str">
        <f t="shared" si="43"/>
        <v/>
      </c>
      <c r="AO113" s="41">
        <f t="shared" si="59"/>
        <v>0</v>
      </c>
      <c r="AP113" s="48"/>
      <c r="AQ113" s="48"/>
      <c r="AR113" s="48"/>
      <c r="AS113" s="48"/>
      <c r="AT113" s="51">
        <f t="shared" si="53"/>
        <v>109</v>
      </c>
      <c r="AU113" s="49" t="str">
        <f t="shared" si="54"/>
        <v/>
      </c>
      <c r="AV113" s="49" t="str">
        <f t="shared" si="55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0.12746674554676199</v>
      </c>
      <c r="C114">
        <f t="shared" si="61"/>
        <v>0.11981874081395626</v>
      </c>
      <c r="D114" s="60"/>
      <c r="E114" s="5"/>
      <c r="F114" s="5"/>
      <c r="I114" s="40"/>
      <c r="J114" s="41"/>
      <c r="K114" s="41" t="str">
        <f t="shared" si="56"/>
        <v/>
      </c>
      <c r="L114" s="42" t="str">
        <f t="shared" si="57"/>
        <v/>
      </c>
      <c r="M114" s="41" t="str">
        <f t="shared" si="58"/>
        <v/>
      </c>
      <c r="N114" s="43">
        <f t="shared" si="31"/>
        <v>0</v>
      </c>
      <c r="O114" s="44">
        <f t="shared" si="32"/>
        <v>0</v>
      </c>
      <c r="P114" s="41" t="str">
        <f t="shared" si="33"/>
        <v/>
      </c>
      <c r="Q114" s="41" t="str">
        <f t="shared" si="34"/>
        <v/>
      </c>
      <c r="R114" s="48"/>
      <c r="S114" s="44" t="str">
        <f>IF(I114&lt;&gt;"",_xlfn.XLOOKUP(D$4+I114,A$26:A$145,$C$26:$C$145,0) * 1000,"")</f>
        <v/>
      </c>
      <c r="T114" s="52">
        <f t="shared" si="60"/>
        <v>0</v>
      </c>
      <c r="U114" s="53" t="str">
        <f t="shared" si="45"/>
        <v/>
      </c>
      <c r="V114" s="53" t="str">
        <f t="shared" si="46"/>
        <v/>
      </c>
      <c r="W114" s="53" t="str">
        <f t="shared" si="47"/>
        <v/>
      </c>
      <c r="X114" s="46" t="str">
        <f t="shared" si="35"/>
        <v/>
      </c>
      <c r="Y114" s="48"/>
      <c r="Z114" s="41" t="str">
        <f t="shared" si="48"/>
        <v/>
      </c>
      <c r="AA114" s="41" t="str">
        <f t="shared" si="49"/>
        <v/>
      </c>
      <c r="AB114" s="41" t="str">
        <f t="shared" si="36"/>
        <v/>
      </c>
      <c r="AC114" s="41" t="str">
        <f t="shared" si="37"/>
        <v/>
      </c>
      <c r="AD114" s="48"/>
      <c r="AE114" s="41" t="str">
        <f t="shared" si="38"/>
        <v/>
      </c>
      <c r="AF114" s="41"/>
      <c r="AG114" s="41" t="str">
        <f t="shared" si="39"/>
        <v/>
      </c>
      <c r="AH114" s="41" t="str">
        <f t="shared" si="50"/>
        <v/>
      </c>
      <c r="AI114" s="41" t="str">
        <f t="shared" si="51"/>
        <v/>
      </c>
      <c r="AJ114" s="41">
        <f t="shared" si="40"/>
        <v>0</v>
      </c>
      <c r="AK114" s="41" t="str">
        <f t="shared" si="41"/>
        <v/>
      </c>
      <c r="AL114" s="41">
        <f t="shared" si="52"/>
        <v>0</v>
      </c>
      <c r="AM114" s="41">
        <f t="shared" si="42"/>
        <v>0</v>
      </c>
      <c r="AN114" s="41" t="str">
        <f t="shared" si="43"/>
        <v/>
      </c>
      <c r="AO114" s="41">
        <f t="shared" si="59"/>
        <v>0</v>
      </c>
      <c r="AP114" s="48"/>
      <c r="AQ114" s="48"/>
      <c r="AR114" s="48"/>
      <c r="AS114" s="48"/>
      <c r="AT114" s="51">
        <f t="shared" si="53"/>
        <v>110</v>
      </c>
      <c r="AU114" s="49" t="str">
        <f t="shared" si="54"/>
        <v/>
      </c>
      <c r="AV114" s="49" t="str">
        <f t="shared" si="55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0.14105491140353299</v>
      </c>
      <c r="C115">
        <f t="shared" si="61"/>
        <v>0.13259161671932101</v>
      </c>
      <c r="D115" s="60"/>
      <c r="E115" s="5"/>
      <c r="F115" s="5"/>
      <c r="I115" s="40"/>
      <c r="J115" s="41"/>
      <c r="K115" s="41" t="str">
        <f t="shared" si="56"/>
        <v/>
      </c>
      <c r="L115" s="42" t="str">
        <f t="shared" si="57"/>
        <v/>
      </c>
      <c r="M115" s="41" t="str">
        <f t="shared" si="58"/>
        <v/>
      </c>
      <c r="N115" s="43">
        <f t="shared" si="31"/>
        <v>0</v>
      </c>
      <c r="O115" s="44">
        <f t="shared" si="32"/>
        <v>0</v>
      </c>
      <c r="P115" s="41" t="str">
        <f t="shared" si="33"/>
        <v/>
      </c>
      <c r="Q115" s="41" t="str">
        <f t="shared" si="34"/>
        <v/>
      </c>
      <c r="R115" s="48"/>
      <c r="S115" s="44" t="str">
        <f>IF(I115&lt;&gt;"",_xlfn.XLOOKUP(D$4+I115,A$26:A$145,$C$26:$C$145,0) * 1000,"")</f>
        <v/>
      </c>
      <c r="T115" s="52">
        <f t="shared" si="60"/>
        <v>0</v>
      </c>
      <c r="U115" s="53" t="str">
        <f t="shared" si="45"/>
        <v/>
      </c>
      <c r="V115" s="53" t="str">
        <f t="shared" si="46"/>
        <v/>
      </c>
      <c r="W115" s="53" t="str">
        <f t="shared" si="47"/>
        <v/>
      </c>
      <c r="X115" s="46" t="str">
        <f t="shared" si="35"/>
        <v/>
      </c>
      <c r="Y115" s="48"/>
      <c r="Z115" s="41" t="str">
        <f t="shared" si="48"/>
        <v/>
      </c>
      <c r="AA115" s="41" t="str">
        <f t="shared" si="49"/>
        <v/>
      </c>
      <c r="AB115" s="41" t="str">
        <f t="shared" si="36"/>
        <v/>
      </c>
      <c r="AC115" s="41" t="str">
        <f t="shared" si="37"/>
        <v/>
      </c>
      <c r="AD115" s="48"/>
      <c r="AE115" s="41" t="str">
        <f t="shared" si="38"/>
        <v/>
      </c>
      <c r="AF115" s="41"/>
      <c r="AG115" s="41" t="str">
        <f t="shared" si="39"/>
        <v/>
      </c>
      <c r="AH115" s="41" t="str">
        <f t="shared" si="50"/>
        <v/>
      </c>
      <c r="AI115" s="41" t="str">
        <f t="shared" si="51"/>
        <v/>
      </c>
      <c r="AJ115" s="41">
        <f t="shared" si="40"/>
        <v>0</v>
      </c>
      <c r="AK115" s="41" t="str">
        <f t="shared" si="41"/>
        <v/>
      </c>
      <c r="AL115" s="41">
        <f t="shared" si="52"/>
        <v>0</v>
      </c>
      <c r="AM115" s="41">
        <f t="shared" si="42"/>
        <v>0</v>
      </c>
      <c r="AN115" s="41" t="str">
        <f t="shared" si="43"/>
        <v/>
      </c>
      <c r="AO115" s="41">
        <f t="shared" si="59"/>
        <v>0</v>
      </c>
      <c r="AP115" s="48"/>
      <c r="AQ115" s="48"/>
      <c r="AR115" s="48"/>
      <c r="AS115" s="48"/>
      <c r="AT115" s="51">
        <f t="shared" si="53"/>
        <v>111</v>
      </c>
      <c r="AU115" s="49" t="str">
        <f t="shared" si="54"/>
        <v/>
      </c>
      <c r="AV115" s="49" t="str">
        <f t="shared" si="55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0.15459666301480199</v>
      </c>
      <c r="C116">
        <f t="shared" si="61"/>
        <v>0.14532086323391386</v>
      </c>
      <c r="D116" s="60"/>
      <c r="E116" s="5"/>
      <c r="F116" s="5"/>
      <c r="I116" s="40"/>
      <c r="J116" s="41"/>
      <c r="K116" s="41" t="str">
        <f t="shared" si="56"/>
        <v/>
      </c>
      <c r="L116" s="42" t="str">
        <f t="shared" si="57"/>
        <v/>
      </c>
      <c r="M116" s="41" t="str">
        <f t="shared" si="58"/>
        <v/>
      </c>
      <c r="N116" s="43">
        <f t="shared" si="31"/>
        <v>0</v>
      </c>
      <c r="O116" s="44">
        <f t="shared" si="32"/>
        <v>0</v>
      </c>
      <c r="P116" s="41" t="str">
        <f t="shared" si="33"/>
        <v/>
      </c>
      <c r="Q116" s="41" t="str">
        <f t="shared" si="34"/>
        <v/>
      </c>
      <c r="R116" s="48"/>
      <c r="S116" s="44" t="str">
        <f>IF(I116&lt;&gt;"",_xlfn.XLOOKUP(D$4+I116,A$26:A$145,$C$26:$C$145,0) * 1000,"")</f>
        <v/>
      </c>
      <c r="T116" s="52">
        <f t="shared" si="60"/>
        <v>0</v>
      </c>
      <c r="U116" s="53" t="str">
        <f t="shared" si="45"/>
        <v/>
      </c>
      <c r="V116" s="53" t="str">
        <f t="shared" si="46"/>
        <v/>
      </c>
      <c r="W116" s="53" t="str">
        <f t="shared" si="47"/>
        <v/>
      </c>
      <c r="X116" s="46" t="str">
        <f t="shared" si="35"/>
        <v/>
      </c>
      <c r="Y116" s="48"/>
      <c r="Z116" s="41" t="str">
        <f t="shared" si="48"/>
        <v/>
      </c>
      <c r="AA116" s="41" t="str">
        <f t="shared" si="49"/>
        <v/>
      </c>
      <c r="AB116" s="41" t="str">
        <f t="shared" si="36"/>
        <v/>
      </c>
      <c r="AC116" s="41" t="str">
        <f t="shared" si="37"/>
        <v/>
      </c>
      <c r="AD116" s="48"/>
      <c r="AE116" s="41" t="str">
        <f t="shared" si="38"/>
        <v/>
      </c>
      <c r="AF116" s="41"/>
      <c r="AG116" s="41" t="str">
        <f t="shared" si="39"/>
        <v/>
      </c>
      <c r="AH116" s="41" t="str">
        <f t="shared" si="50"/>
        <v/>
      </c>
      <c r="AI116" s="41" t="str">
        <f t="shared" si="51"/>
        <v/>
      </c>
      <c r="AJ116" s="41">
        <f t="shared" si="40"/>
        <v>0</v>
      </c>
      <c r="AK116" s="41" t="str">
        <f t="shared" si="41"/>
        <v/>
      </c>
      <c r="AL116" s="41">
        <f t="shared" si="52"/>
        <v>0</v>
      </c>
      <c r="AM116" s="41">
        <f t="shared" si="42"/>
        <v>0</v>
      </c>
      <c r="AN116" s="41" t="str">
        <f t="shared" si="43"/>
        <v/>
      </c>
      <c r="AO116" s="41">
        <f t="shared" si="59"/>
        <v>0</v>
      </c>
      <c r="AP116" s="48"/>
      <c r="AQ116" s="48"/>
      <c r="AR116" s="48"/>
      <c r="AS116" s="48"/>
      <c r="AT116" s="51">
        <f t="shared" si="53"/>
        <v>112</v>
      </c>
      <c r="AU116" s="49" t="str">
        <f t="shared" si="54"/>
        <v/>
      </c>
      <c r="AV116" s="49" t="str">
        <f t="shared" si="55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0.16927346614104</v>
      </c>
      <c r="C117">
        <f t="shared" si="61"/>
        <v>0.1591170581725776</v>
      </c>
      <c r="D117" s="60"/>
      <c r="E117" s="5"/>
      <c r="F117" s="5"/>
      <c r="I117" s="40"/>
      <c r="J117" s="41"/>
      <c r="K117" s="41" t="str">
        <f t="shared" si="56"/>
        <v/>
      </c>
      <c r="L117" s="42" t="str">
        <f t="shared" si="57"/>
        <v/>
      </c>
      <c r="M117" s="41" t="str">
        <f t="shared" si="58"/>
        <v/>
      </c>
      <c r="N117" s="43">
        <f t="shared" si="31"/>
        <v>0</v>
      </c>
      <c r="O117" s="44">
        <f t="shared" si="32"/>
        <v>0</v>
      </c>
      <c r="P117" s="41" t="str">
        <f t="shared" si="33"/>
        <v/>
      </c>
      <c r="Q117" s="41" t="str">
        <f t="shared" si="34"/>
        <v/>
      </c>
      <c r="R117" s="48"/>
      <c r="S117" s="44" t="str">
        <f>IF(I117&lt;&gt;"",_xlfn.XLOOKUP(D$4+I117,A$26:A$145,$C$26:$C$145,0) * 1000,"")</f>
        <v/>
      </c>
      <c r="T117" s="52">
        <f t="shared" si="60"/>
        <v>0</v>
      </c>
      <c r="U117" s="53" t="str">
        <f t="shared" si="45"/>
        <v/>
      </c>
      <c r="V117" s="53" t="str">
        <f t="shared" si="46"/>
        <v/>
      </c>
      <c r="W117" s="53" t="str">
        <f t="shared" si="47"/>
        <v/>
      </c>
      <c r="X117" s="46" t="str">
        <f t="shared" si="35"/>
        <v/>
      </c>
      <c r="Y117" s="48"/>
      <c r="Z117" s="41" t="str">
        <f t="shared" si="48"/>
        <v/>
      </c>
      <c r="AA117" s="41" t="str">
        <f t="shared" si="49"/>
        <v/>
      </c>
      <c r="AB117" s="41" t="str">
        <f t="shared" si="36"/>
        <v/>
      </c>
      <c r="AC117" s="41" t="str">
        <f t="shared" si="37"/>
        <v/>
      </c>
      <c r="AD117" s="48"/>
      <c r="AE117" s="41" t="str">
        <f t="shared" si="38"/>
        <v/>
      </c>
      <c r="AF117" s="41"/>
      <c r="AG117" s="41" t="str">
        <f t="shared" si="39"/>
        <v/>
      </c>
      <c r="AH117" s="41" t="str">
        <f t="shared" si="50"/>
        <v/>
      </c>
      <c r="AI117" s="41" t="str">
        <f t="shared" si="51"/>
        <v/>
      </c>
      <c r="AJ117" s="41">
        <f t="shared" si="40"/>
        <v>0</v>
      </c>
      <c r="AK117" s="41" t="str">
        <f t="shared" si="41"/>
        <v/>
      </c>
      <c r="AL117" s="41">
        <f t="shared" si="52"/>
        <v>0</v>
      </c>
      <c r="AM117" s="41">
        <f t="shared" si="42"/>
        <v>0</v>
      </c>
      <c r="AN117" s="41" t="str">
        <f t="shared" si="43"/>
        <v/>
      </c>
      <c r="AO117" s="41">
        <f t="shared" si="59"/>
        <v>0</v>
      </c>
      <c r="AP117" s="48"/>
      <c r="AQ117" s="48"/>
      <c r="AR117" s="48"/>
      <c r="AS117" s="48"/>
      <c r="AT117" s="51">
        <f t="shared" si="53"/>
        <v>113</v>
      </c>
      <c r="AU117" s="49" t="str">
        <f t="shared" si="54"/>
        <v/>
      </c>
      <c r="AV117" s="49" t="str">
        <f t="shared" si="55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0.18471219355947499</v>
      </c>
      <c r="C118">
        <f t="shared" si="61"/>
        <v>0.17362946194590648</v>
      </c>
      <c r="D118" s="60"/>
      <c r="E118" s="5"/>
      <c r="F118" s="5"/>
      <c r="I118" s="40"/>
      <c r="J118" s="41"/>
      <c r="K118" s="41" t="str">
        <f t="shared" si="56"/>
        <v/>
      </c>
      <c r="L118" s="42" t="str">
        <f t="shared" si="57"/>
        <v/>
      </c>
      <c r="M118" s="41" t="str">
        <f t="shared" si="58"/>
        <v/>
      </c>
      <c r="N118" s="43">
        <f t="shared" si="31"/>
        <v>0</v>
      </c>
      <c r="O118" s="44">
        <f t="shared" si="32"/>
        <v>0</v>
      </c>
      <c r="P118" s="41" t="str">
        <f t="shared" si="33"/>
        <v/>
      </c>
      <c r="Q118" s="41" t="str">
        <f t="shared" si="34"/>
        <v/>
      </c>
      <c r="R118" s="48"/>
      <c r="S118" s="44" t="str">
        <f>IF(I118&lt;&gt;"",_xlfn.XLOOKUP(D$4+I118,A$26:A$145,$C$26:$C$145,0) * 1000,"")</f>
        <v/>
      </c>
      <c r="T118" s="52">
        <f t="shared" si="60"/>
        <v>0</v>
      </c>
      <c r="U118" s="53" t="str">
        <f t="shared" si="45"/>
        <v/>
      </c>
      <c r="V118" s="53" t="str">
        <f t="shared" si="46"/>
        <v/>
      </c>
      <c r="W118" s="53" t="str">
        <f t="shared" si="47"/>
        <v/>
      </c>
      <c r="X118" s="46" t="str">
        <f t="shared" si="35"/>
        <v/>
      </c>
      <c r="Y118" s="48"/>
      <c r="Z118" s="41" t="str">
        <f t="shared" si="48"/>
        <v/>
      </c>
      <c r="AA118" s="41" t="str">
        <f t="shared" si="49"/>
        <v/>
      </c>
      <c r="AB118" s="41" t="str">
        <f t="shared" si="36"/>
        <v/>
      </c>
      <c r="AC118" s="41" t="str">
        <f t="shared" si="37"/>
        <v/>
      </c>
      <c r="AD118" s="48"/>
      <c r="AE118" s="41" t="str">
        <f t="shared" si="38"/>
        <v/>
      </c>
      <c r="AF118" s="41"/>
      <c r="AG118" s="41" t="str">
        <f t="shared" si="39"/>
        <v/>
      </c>
      <c r="AH118" s="41" t="str">
        <f t="shared" si="50"/>
        <v/>
      </c>
      <c r="AI118" s="41" t="str">
        <f t="shared" si="51"/>
        <v/>
      </c>
      <c r="AJ118" s="41">
        <f t="shared" si="40"/>
        <v>0</v>
      </c>
      <c r="AK118" s="41" t="str">
        <f t="shared" si="41"/>
        <v/>
      </c>
      <c r="AL118" s="41">
        <f t="shared" si="52"/>
        <v>0</v>
      </c>
      <c r="AM118" s="41">
        <f t="shared" si="42"/>
        <v>0</v>
      </c>
      <c r="AN118" s="41" t="str">
        <f t="shared" si="43"/>
        <v/>
      </c>
      <c r="AO118" s="41">
        <f t="shared" si="59"/>
        <v>0</v>
      </c>
      <c r="AP118" s="48"/>
      <c r="AQ118" s="48"/>
      <c r="AR118" s="48"/>
      <c r="AS118" s="48"/>
      <c r="AT118" s="51">
        <f t="shared" si="53"/>
        <v>114</v>
      </c>
      <c r="AU118" s="49" t="str">
        <f t="shared" si="54"/>
        <v/>
      </c>
      <c r="AV118" s="49" t="str">
        <f t="shared" si="55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0.20072935476423301</v>
      </c>
      <c r="C119">
        <f t="shared" si="61"/>
        <v>0.18868559347837902</v>
      </c>
      <c r="D119" s="60"/>
      <c r="E119" s="5"/>
      <c r="F119" s="5"/>
      <c r="I119" s="40"/>
      <c r="J119" s="41"/>
      <c r="K119" s="41" t="str">
        <f t="shared" si="56"/>
        <v/>
      </c>
      <c r="L119" s="42" t="str">
        <f t="shared" si="57"/>
        <v/>
      </c>
      <c r="M119" s="41" t="str">
        <f t="shared" si="58"/>
        <v/>
      </c>
      <c r="N119" s="43">
        <f t="shared" si="31"/>
        <v>0</v>
      </c>
      <c r="O119" s="44">
        <f t="shared" si="32"/>
        <v>0</v>
      </c>
      <c r="P119" s="41" t="str">
        <f t="shared" si="33"/>
        <v/>
      </c>
      <c r="Q119" s="41" t="str">
        <f t="shared" si="34"/>
        <v/>
      </c>
      <c r="R119" s="48"/>
      <c r="S119" s="44" t="str">
        <f>IF(I119&lt;&gt;"",_xlfn.XLOOKUP(D$4+I119,A$26:A$145,$C$26:$C$145,0) * 1000,"")</f>
        <v/>
      </c>
      <c r="T119" s="52">
        <f t="shared" si="60"/>
        <v>0</v>
      </c>
      <c r="U119" s="53" t="str">
        <f t="shared" si="45"/>
        <v/>
      </c>
      <c r="V119" s="53" t="str">
        <f t="shared" si="46"/>
        <v/>
      </c>
      <c r="W119" s="53" t="str">
        <f t="shared" si="47"/>
        <v/>
      </c>
      <c r="X119" s="46" t="str">
        <f t="shared" si="35"/>
        <v/>
      </c>
      <c r="Y119" s="48"/>
      <c r="Z119" s="41" t="str">
        <f t="shared" si="48"/>
        <v/>
      </c>
      <c r="AA119" s="41" t="str">
        <f t="shared" si="49"/>
        <v/>
      </c>
      <c r="AB119" s="41" t="str">
        <f t="shared" si="36"/>
        <v/>
      </c>
      <c r="AC119" s="41" t="str">
        <f t="shared" si="37"/>
        <v/>
      </c>
      <c r="AD119" s="48"/>
      <c r="AE119" s="41" t="str">
        <f t="shared" si="38"/>
        <v/>
      </c>
      <c r="AF119" s="41"/>
      <c r="AG119" s="41" t="str">
        <f t="shared" si="39"/>
        <v/>
      </c>
      <c r="AH119" s="41" t="str">
        <f t="shared" si="50"/>
        <v/>
      </c>
      <c r="AI119" s="41" t="str">
        <f t="shared" si="51"/>
        <v/>
      </c>
      <c r="AJ119" s="41">
        <f t="shared" si="40"/>
        <v>0</v>
      </c>
      <c r="AK119" s="41" t="str">
        <f t="shared" si="41"/>
        <v/>
      </c>
      <c r="AL119" s="41">
        <f t="shared" si="52"/>
        <v>0</v>
      </c>
      <c r="AM119" s="41">
        <f t="shared" si="42"/>
        <v>0</v>
      </c>
      <c r="AN119" s="41" t="str">
        <f t="shared" si="43"/>
        <v/>
      </c>
      <c r="AO119" s="41">
        <f t="shared" si="59"/>
        <v>0</v>
      </c>
      <c r="AP119" s="48"/>
      <c r="AQ119" s="48"/>
      <c r="AR119" s="48"/>
      <c r="AS119" s="48"/>
      <c r="AT119" s="51">
        <f t="shared" si="53"/>
        <v>115</v>
      </c>
      <c r="AU119" s="49" t="str">
        <f t="shared" si="54"/>
        <v/>
      </c>
      <c r="AV119" s="49" t="str">
        <f t="shared" si="55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0.21799107375417401</v>
      </c>
      <c r="C120">
        <f t="shared" si="61"/>
        <v>0.20491160932892355</v>
      </c>
      <c r="D120" s="60"/>
      <c r="E120" s="5"/>
      <c r="F120" s="5"/>
      <c r="I120" s="40"/>
      <c r="J120" s="41"/>
      <c r="K120" s="41" t="str">
        <f t="shared" si="56"/>
        <v/>
      </c>
      <c r="L120" s="42" t="str">
        <f t="shared" si="57"/>
        <v/>
      </c>
      <c r="M120" s="41" t="str">
        <f t="shared" si="58"/>
        <v/>
      </c>
      <c r="N120" s="43">
        <f t="shared" si="31"/>
        <v>0</v>
      </c>
      <c r="O120" s="44">
        <f t="shared" si="32"/>
        <v>0</v>
      </c>
      <c r="P120" s="41" t="str">
        <f t="shared" si="33"/>
        <v/>
      </c>
      <c r="Q120" s="41" t="str">
        <f t="shared" si="34"/>
        <v/>
      </c>
      <c r="R120" s="48"/>
      <c r="S120" s="44" t="str">
        <f>IF(I120&lt;&gt;"",_xlfn.XLOOKUP(D$4+I120,A$26:A$145,$C$26:$C$145,0) * 1000,"")</f>
        <v/>
      </c>
      <c r="T120" s="52">
        <f t="shared" si="60"/>
        <v>0</v>
      </c>
      <c r="U120" s="53" t="str">
        <f t="shared" si="45"/>
        <v/>
      </c>
      <c r="V120" s="53" t="str">
        <f t="shared" si="46"/>
        <v/>
      </c>
      <c r="W120" s="53" t="str">
        <f t="shared" si="47"/>
        <v/>
      </c>
      <c r="X120" s="46" t="str">
        <f t="shared" si="35"/>
        <v/>
      </c>
      <c r="Y120" s="48"/>
      <c r="Z120" s="41" t="str">
        <f t="shared" si="48"/>
        <v/>
      </c>
      <c r="AA120" s="41" t="str">
        <f t="shared" si="49"/>
        <v/>
      </c>
      <c r="AB120" s="41" t="str">
        <f t="shared" si="36"/>
        <v/>
      </c>
      <c r="AC120" s="41" t="str">
        <f t="shared" si="37"/>
        <v/>
      </c>
      <c r="AD120" s="48"/>
      <c r="AE120" s="41" t="str">
        <f t="shared" si="38"/>
        <v/>
      </c>
      <c r="AF120" s="41"/>
      <c r="AG120" s="41" t="str">
        <f t="shared" si="39"/>
        <v/>
      </c>
      <c r="AH120" s="41" t="str">
        <f t="shared" si="50"/>
        <v/>
      </c>
      <c r="AI120" s="41" t="str">
        <f t="shared" si="51"/>
        <v/>
      </c>
      <c r="AJ120" s="41">
        <f t="shared" si="40"/>
        <v>0</v>
      </c>
      <c r="AK120" s="41" t="str">
        <f t="shared" si="41"/>
        <v/>
      </c>
      <c r="AL120" s="41">
        <f t="shared" si="52"/>
        <v>0</v>
      </c>
      <c r="AM120" s="41">
        <f t="shared" si="42"/>
        <v>0</v>
      </c>
      <c r="AN120" s="41" t="str">
        <f t="shared" si="43"/>
        <v/>
      </c>
      <c r="AO120" s="41">
        <f t="shared" si="59"/>
        <v>0</v>
      </c>
      <c r="AP120" s="48"/>
      <c r="AQ120" s="48"/>
      <c r="AR120" s="48"/>
      <c r="AS120" s="48"/>
      <c r="AT120" s="51">
        <f t="shared" si="53"/>
        <v>116</v>
      </c>
      <c r="AU120" s="49" t="str">
        <f t="shared" si="54"/>
        <v/>
      </c>
      <c r="AV120" s="49" t="str">
        <f t="shared" si="55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0.23583000026086301</v>
      </c>
      <c r="C121">
        <f t="shared" si="61"/>
        <v>0.22168020024521121</v>
      </c>
      <c r="D121" s="60"/>
      <c r="E121" s="5"/>
      <c r="F121" s="5"/>
      <c r="I121" s="40"/>
      <c r="J121" s="41"/>
      <c r="K121" s="41" t="str">
        <f t="shared" si="56"/>
        <v/>
      </c>
      <c r="L121" s="42" t="str">
        <f t="shared" si="57"/>
        <v/>
      </c>
      <c r="M121" s="41" t="str">
        <f t="shared" si="58"/>
        <v/>
      </c>
      <c r="N121" s="43">
        <f t="shared" si="31"/>
        <v>0</v>
      </c>
      <c r="O121" s="44">
        <f t="shared" si="32"/>
        <v>0</v>
      </c>
      <c r="P121" s="41" t="str">
        <f t="shared" si="33"/>
        <v/>
      </c>
      <c r="Q121" s="41" t="str">
        <f t="shared" si="34"/>
        <v/>
      </c>
      <c r="R121" s="48"/>
      <c r="S121" s="44" t="str">
        <f>IF(I121&lt;&gt;"",_xlfn.XLOOKUP(D$4+I121,A$26:A$145,$C$26:$C$145,0) * 1000,"")</f>
        <v/>
      </c>
      <c r="T121" s="52">
        <f t="shared" si="60"/>
        <v>0</v>
      </c>
      <c r="U121" s="53" t="str">
        <f t="shared" si="45"/>
        <v/>
      </c>
      <c r="V121" s="53" t="str">
        <f t="shared" si="46"/>
        <v/>
      </c>
      <c r="W121" s="53" t="str">
        <f t="shared" si="47"/>
        <v/>
      </c>
      <c r="X121" s="46" t="str">
        <f t="shared" si="35"/>
        <v/>
      </c>
      <c r="Y121" s="48"/>
      <c r="Z121" s="41" t="str">
        <f t="shared" si="48"/>
        <v/>
      </c>
      <c r="AA121" s="41" t="str">
        <f t="shared" si="49"/>
        <v/>
      </c>
      <c r="AB121" s="41" t="str">
        <f t="shared" si="36"/>
        <v/>
      </c>
      <c r="AC121" s="41" t="str">
        <f t="shared" si="37"/>
        <v/>
      </c>
      <c r="AD121" s="48"/>
      <c r="AE121" s="41" t="str">
        <f t="shared" si="38"/>
        <v/>
      </c>
      <c r="AF121" s="41"/>
      <c r="AG121" s="41" t="str">
        <f t="shared" si="39"/>
        <v/>
      </c>
      <c r="AH121" s="41" t="str">
        <f t="shared" si="50"/>
        <v/>
      </c>
      <c r="AI121" s="41" t="str">
        <f t="shared" si="51"/>
        <v/>
      </c>
      <c r="AJ121" s="41">
        <f t="shared" si="40"/>
        <v>0</v>
      </c>
      <c r="AK121" s="41" t="str">
        <f t="shared" si="41"/>
        <v/>
      </c>
      <c r="AL121" s="41">
        <f t="shared" si="52"/>
        <v>0</v>
      </c>
      <c r="AM121" s="41">
        <f t="shared" si="42"/>
        <v>0</v>
      </c>
      <c r="AN121" s="41" t="str">
        <f t="shared" si="43"/>
        <v/>
      </c>
      <c r="AO121" s="41">
        <f t="shared" si="59"/>
        <v>0</v>
      </c>
      <c r="AP121" s="48"/>
      <c r="AQ121" s="48"/>
      <c r="AR121" s="48"/>
      <c r="AS121" s="48"/>
      <c r="AT121" s="51">
        <f t="shared" si="53"/>
        <v>117</v>
      </c>
      <c r="AU121" s="49" t="str">
        <f t="shared" si="54"/>
        <v/>
      </c>
      <c r="AV121" s="49" t="str">
        <f t="shared" si="55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0.25482058477845099</v>
      </c>
      <c r="C122">
        <f t="shared" si="61"/>
        <v>0.23953134969174392</v>
      </c>
      <c r="D122" s="60"/>
      <c r="E122" s="5"/>
      <c r="F122" s="5"/>
      <c r="I122" s="40"/>
      <c r="J122" s="41"/>
      <c r="K122" s="41" t="str">
        <f t="shared" si="56"/>
        <v/>
      </c>
      <c r="L122" s="42" t="str">
        <f t="shared" si="57"/>
        <v/>
      </c>
      <c r="M122" s="41" t="str">
        <f t="shared" si="58"/>
        <v/>
      </c>
      <c r="N122" s="43">
        <f t="shared" si="31"/>
        <v>0</v>
      </c>
      <c r="O122" s="44">
        <f t="shared" si="32"/>
        <v>0</v>
      </c>
      <c r="P122" s="41" t="str">
        <f t="shared" si="33"/>
        <v/>
      </c>
      <c r="Q122" s="41" t="str">
        <f t="shared" si="34"/>
        <v/>
      </c>
      <c r="R122" s="48"/>
      <c r="S122" s="44" t="str">
        <f>IF(I122&lt;&gt;"",_xlfn.XLOOKUP(D$4+I122,A$26:A$145,$C$26:$C$145,0) * 1000,"")</f>
        <v/>
      </c>
      <c r="T122" s="52">
        <f t="shared" si="60"/>
        <v>0</v>
      </c>
      <c r="U122" s="53" t="str">
        <f t="shared" si="45"/>
        <v/>
      </c>
      <c r="V122" s="53" t="str">
        <f t="shared" si="46"/>
        <v/>
      </c>
      <c r="W122" s="53" t="str">
        <f t="shared" si="47"/>
        <v/>
      </c>
      <c r="X122" s="46" t="str">
        <f t="shared" si="35"/>
        <v/>
      </c>
      <c r="Y122" s="48"/>
      <c r="Z122" s="41" t="str">
        <f t="shared" si="48"/>
        <v/>
      </c>
      <c r="AA122" s="41" t="str">
        <f t="shared" si="49"/>
        <v/>
      </c>
      <c r="AB122" s="41" t="str">
        <f t="shared" si="36"/>
        <v/>
      </c>
      <c r="AC122" s="41" t="str">
        <f t="shared" si="37"/>
        <v/>
      </c>
      <c r="AD122" s="48"/>
      <c r="AE122" s="41" t="str">
        <f t="shared" si="38"/>
        <v/>
      </c>
      <c r="AF122" s="41"/>
      <c r="AG122" s="41" t="str">
        <f t="shared" si="39"/>
        <v/>
      </c>
      <c r="AH122" s="41" t="str">
        <f t="shared" si="50"/>
        <v/>
      </c>
      <c r="AI122" s="41" t="str">
        <f t="shared" si="51"/>
        <v/>
      </c>
      <c r="AJ122" s="41">
        <f t="shared" si="40"/>
        <v>0</v>
      </c>
      <c r="AK122" s="41" t="str">
        <f t="shared" si="41"/>
        <v/>
      </c>
      <c r="AL122" s="41">
        <f t="shared" si="52"/>
        <v>0</v>
      </c>
      <c r="AM122" s="41">
        <f t="shared" si="42"/>
        <v>0</v>
      </c>
      <c r="AN122" s="41" t="str">
        <f t="shared" si="43"/>
        <v/>
      </c>
      <c r="AO122" s="41">
        <f t="shared" si="59"/>
        <v>0</v>
      </c>
      <c r="AP122" s="48"/>
      <c r="AQ122" s="48"/>
      <c r="AR122" s="48"/>
      <c r="AS122" s="48"/>
      <c r="AT122" s="51">
        <f t="shared" si="53"/>
        <v>118</v>
      </c>
      <c r="AU122" s="49" t="str">
        <f t="shared" si="54"/>
        <v/>
      </c>
      <c r="AV122" s="49" t="str">
        <f t="shared" si="55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0.27503759909077802</v>
      </c>
      <c r="C123">
        <f t="shared" si="61"/>
        <v>0.25853534314533133</v>
      </c>
      <c r="D123" s="60"/>
      <c r="E123" s="5"/>
      <c r="F123" s="5"/>
      <c r="I123" s="40"/>
      <c r="J123" s="41"/>
      <c r="K123" s="41" t="str">
        <f t="shared" si="56"/>
        <v/>
      </c>
      <c r="L123" s="42" t="str">
        <f t="shared" si="57"/>
        <v/>
      </c>
      <c r="M123" s="41" t="str">
        <f t="shared" si="58"/>
        <v/>
      </c>
      <c r="N123" s="43">
        <f t="shared" si="31"/>
        <v>0</v>
      </c>
      <c r="O123" s="44">
        <f t="shared" si="32"/>
        <v>0</v>
      </c>
      <c r="P123" s="41" t="str">
        <f t="shared" si="33"/>
        <v/>
      </c>
      <c r="Q123" s="41" t="str">
        <f t="shared" si="34"/>
        <v/>
      </c>
      <c r="R123" s="48"/>
      <c r="S123" s="44" t="str">
        <f>IF(I123&lt;&gt;"",_xlfn.XLOOKUP(D$4+I123,A$26:A$145,$C$26:$C$145,0) * 1000,"")</f>
        <v/>
      </c>
      <c r="T123" s="52">
        <f t="shared" si="60"/>
        <v>0</v>
      </c>
      <c r="U123" s="53" t="str">
        <f t="shared" si="45"/>
        <v/>
      </c>
      <c r="V123" s="53" t="str">
        <f t="shared" si="46"/>
        <v/>
      </c>
      <c r="W123" s="53" t="str">
        <f t="shared" si="47"/>
        <v/>
      </c>
      <c r="X123" s="46" t="str">
        <f t="shared" si="35"/>
        <v/>
      </c>
      <c r="Y123" s="48"/>
      <c r="Z123" s="41" t="str">
        <f t="shared" si="48"/>
        <v/>
      </c>
      <c r="AA123" s="41" t="str">
        <f t="shared" si="49"/>
        <v/>
      </c>
      <c r="AB123" s="41" t="str">
        <f t="shared" si="36"/>
        <v/>
      </c>
      <c r="AC123" s="41" t="str">
        <f t="shared" si="37"/>
        <v/>
      </c>
      <c r="AD123" s="48"/>
      <c r="AE123" s="41" t="str">
        <f t="shared" si="38"/>
        <v/>
      </c>
      <c r="AF123" s="41"/>
      <c r="AG123" s="41" t="str">
        <f t="shared" si="39"/>
        <v/>
      </c>
      <c r="AH123" s="41" t="str">
        <f t="shared" si="50"/>
        <v/>
      </c>
      <c r="AI123" s="41" t="str">
        <f t="shared" si="51"/>
        <v/>
      </c>
      <c r="AJ123" s="41">
        <f t="shared" si="40"/>
        <v>0</v>
      </c>
      <c r="AK123" s="41" t="str">
        <f t="shared" si="41"/>
        <v/>
      </c>
      <c r="AL123" s="41">
        <f t="shared" si="52"/>
        <v>0</v>
      </c>
      <c r="AM123" s="41">
        <f t="shared" si="42"/>
        <v>0</v>
      </c>
      <c r="AN123" s="41" t="str">
        <f t="shared" si="43"/>
        <v/>
      </c>
      <c r="AO123" s="41">
        <f t="shared" si="59"/>
        <v>0</v>
      </c>
      <c r="AP123" s="48"/>
      <c r="AQ123" s="48"/>
      <c r="AR123" s="48"/>
      <c r="AS123" s="48"/>
      <c r="AT123" s="51">
        <f t="shared" si="53"/>
        <v>119</v>
      </c>
      <c r="AU123" s="49" t="str">
        <f t="shared" si="54"/>
        <v/>
      </c>
      <c r="AV123" s="49" t="str">
        <f t="shared" si="55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0.29575266332708999</v>
      </c>
      <c r="C124">
        <f t="shared" si="61"/>
        <v>0.27800750352746456</v>
      </c>
      <c r="D124" s="60"/>
      <c r="E124" s="5"/>
      <c r="F124" s="5"/>
      <c r="I124" s="40"/>
      <c r="J124" s="41"/>
      <c r="K124" s="41" t="str">
        <f t="shared" si="56"/>
        <v/>
      </c>
      <c r="L124" s="42" t="str">
        <f t="shared" si="57"/>
        <v/>
      </c>
      <c r="M124" s="41" t="str">
        <f t="shared" si="58"/>
        <v/>
      </c>
      <c r="N124" s="43">
        <f>AX124</f>
        <v>0</v>
      </c>
      <c r="O124" s="44">
        <f>AW124</f>
        <v>0</v>
      </c>
      <c r="P124" s="41" t="str">
        <f t="shared" si="33"/>
        <v/>
      </c>
      <c r="Q124" s="41" t="str">
        <f t="shared" si="34"/>
        <v/>
      </c>
      <c r="R124" s="48"/>
      <c r="S124" s="44" t="str">
        <f>IF(I124&lt;&gt;"",_xlfn.XLOOKUP(D$4+I124,A$26:A$145,$C$26:$C$145,0) * 1000,"")</f>
        <v/>
      </c>
      <c r="T124" s="52">
        <f t="shared" si="60"/>
        <v>0</v>
      </c>
      <c r="U124" s="53" t="str">
        <f t="shared" si="45"/>
        <v/>
      </c>
      <c r="V124" s="53" t="str">
        <f t="shared" si="46"/>
        <v/>
      </c>
      <c r="W124" s="53" t="str">
        <f t="shared" si="47"/>
        <v/>
      </c>
      <c r="X124" s="46" t="str">
        <f t="shared" si="35"/>
        <v/>
      </c>
      <c r="Y124" s="48"/>
      <c r="Z124" s="41" t="str">
        <f t="shared" si="48"/>
        <v/>
      </c>
      <c r="AA124" s="41" t="str">
        <f t="shared" si="49"/>
        <v/>
      </c>
      <c r="AB124" s="41" t="str">
        <f t="shared" si="36"/>
        <v/>
      </c>
      <c r="AC124" s="41" t="str">
        <f t="shared" si="37"/>
        <v/>
      </c>
      <c r="AD124" s="48"/>
      <c r="AE124" s="41" t="str">
        <f t="shared" si="38"/>
        <v/>
      </c>
      <c r="AF124" s="41"/>
      <c r="AG124" s="41" t="str">
        <f t="shared" si="39"/>
        <v/>
      </c>
      <c r="AH124" s="41" t="str">
        <f t="shared" si="50"/>
        <v/>
      </c>
      <c r="AI124" s="41" t="str">
        <f t="shared" si="51"/>
        <v/>
      </c>
      <c r="AJ124" s="41">
        <f t="shared" si="40"/>
        <v>0</v>
      </c>
      <c r="AK124" s="41" t="str">
        <f t="shared" si="41"/>
        <v/>
      </c>
      <c r="AL124" s="41">
        <f t="shared" si="52"/>
        <v>0</v>
      </c>
      <c r="AM124" s="41">
        <f t="shared" si="42"/>
        <v>0</v>
      </c>
      <c r="AN124" s="41" t="str">
        <f t="shared" si="43"/>
        <v/>
      </c>
      <c r="AO124" s="41">
        <f t="shared" si="59"/>
        <v>0</v>
      </c>
      <c r="AP124" s="48"/>
      <c r="AQ124" s="48"/>
      <c r="AR124" s="48"/>
      <c r="AS124" s="48"/>
      <c r="AT124" s="51">
        <f t="shared" si="53"/>
        <v>120</v>
      </c>
      <c r="AU124" s="49" t="str">
        <f t="shared" si="54"/>
        <v/>
      </c>
      <c r="AV124" s="49" t="str">
        <f t="shared" si="55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0.317541190931034</v>
      </c>
      <c r="C125">
        <f t="shared" si="61"/>
        <v>0.29848871947517197</v>
      </c>
      <c r="D125" s="60"/>
      <c r="E125" s="5"/>
      <c r="F125" s="5"/>
    </row>
    <row r="126" spans="1:50" x14ac:dyDescent="0.2">
      <c r="A126">
        <v>101</v>
      </c>
      <c r="B126">
        <v>0.33962695672275001</v>
      </c>
      <c r="C126">
        <f t="shared" si="61"/>
        <v>0.31924933931938498</v>
      </c>
      <c r="D126" s="60"/>
      <c r="E126" s="5"/>
      <c r="F126" s="5"/>
      <c r="K126" s="11"/>
    </row>
    <row r="127" spans="1:50" x14ac:dyDescent="0.2">
      <c r="A127">
        <v>102</v>
      </c>
      <c r="B127">
        <v>0.36150683300951297</v>
      </c>
      <c r="C127">
        <f t="shared" si="61"/>
        <v>0.33981642302894216</v>
      </c>
      <c r="D127" s="60"/>
      <c r="E127" s="5"/>
      <c r="F127" s="5"/>
      <c r="S127" s="58"/>
    </row>
    <row r="128" spans="1:50" x14ac:dyDescent="0.2">
      <c r="A128">
        <v>103</v>
      </c>
      <c r="B128">
        <v>0.38407633691336701</v>
      </c>
      <c r="C128">
        <f t="shared" si="61"/>
        <v>0.36103175669856497</v>
      </c>
      <c r="D128" s="60"/>
      <c r="E128" s="5"/>
      <c r="F128" s="5"/>
    </row>
    <row r="129" spans="1:41" ht="15" x14ac:dyDescent="0.25">
      <c r="A129">
        <v>104</v>
      </c>
      <c r="B129">
        <v>0.40722353323420302</v>
      </c>
      <c r="C129">
        <f t="shared" si="61"/>
        <v>0.38279012124015083</v>
      </c>
      <c r="D129" s="60"/>
      <c r="E129" s="5"/>
      <c r="F129" s="5"/>
      <c r="AD129" s="56" t="s">
        <v>56</v>
      </c>
      <c r="AE129" s="57">
        <f t="shared" ref="AE129:AO129" si="62">SUM(AE4:AE124)</f>
        <v>1674447.2565342933</v>
      </c>
      <c r="AF129" s="57">
        <f t="shared" si="62"/>
        <v>-502334.17696028796</v>
      </c>
      <c r="AG129" s="57">
        <f t="shared" si="62"/>
        <v>-84383.026950454121</v>
      </c>
      <c r="AH129" s="57">
        <f t="shared" si="62"/>
        <v>-1999999.9999999993</v>
      </c>
      <c r="AI129" s="57">
        <f t="shared" si="62"/>
        <v>0</v>
      </c>
      <c r="AJ129" s="57">
        <f t="shared" si="62"/>
        <v>-912269.94737644913</v>
      </c>
      <c r="AK129" s="57">
        <f t="shared" si="62"/>
        <v>1.5265566588595902E-15</v>
      </c>
      <c r="AL129" s="57">
        <f t="shared" si="62"/>
        <v>622485.80632186378</v>
      </c>
      <c r="AM129" s="57">
        <f t="shared" si="62"/>
        <v>-289784.14105458534</v>
      </c>
      <c r="AN129" s="57">
        <f t="shared" si="62"/>
        <v>-5.9265201253488886E-17</v>
      </c>
      <c r="AO129" s="57">
        <f t="shared" si="62"/>
        <v>-289784.14105458517</v>
      </c>
    </row>
    <row r="130" spans="1:41" ht="15" x14ac:dyDescent="0.25">
      <c r="A130">
        <v>105</v>
      </c>
      <c r="B130">
        <v>0.43081789158893702</v>
      </c>
      <c r="C130">
        <f t="shared" si="61"/>
        <v>0.4049688180936008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0.45472577874192099</v>
      </c>
      <c r="C131">
        <f t="shared" si="61"/>
        <v>0.42744223201740572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O131" si="63">AE4+NPV($D$6,AE5:AE124)</f>
        <v>1674447.2565342933</v>
      </c>
      <c r="AF131" s="57">
        <f t="shared" si="63"/>
        <v>-502334.17696028796</v>
      </c>
      <c r="AG131" s="57">
        <f t="shared" si="63"/>
        <v>-84215.374261170931</v>
      </c>
      <c r="AH131" s="57">
        <f t="shared" si="63"/>
        <v>-948185.85274071444</v>
      </c>
      <c r="AI131" s="57">
        <f t="shared" si="63"/>
        <v>0</v>
      </c>
      <c r="AJ131" s="57">
        <f t="shared" si="63"/>
        <v>139711.85257211956</v>
      </c>
      <c r="AK131" s="57">
        <f t="shared" si="63"/>
        <v>-329468.30530396174</v>
      </c>
      <c r="AL131" s="57">
        <f t="shared" si="63"/>
        <v>339986.44677655434</v>
      </c>
      <c r="AM131" s="57">
        <f t="shared" si="63"/>
        <v>150229.9940447117</v>
      </c>
      <c r="AN131" s="57">
        <f t="shared" si="63"/>
        <v>-10518.141472592853</v>
      </c>
      <c r="AO131" s="57">
        <f t="shared" si="63"/>
        <v>139711.85257211945</v>
      </c>
    </row>
    <row r="132" spans="1:41" ht="15" x14ac:dyDescent="0.25">
      <c r="A132">
        <v>107</v>
      </c>
      <c r="B132">
        <v>0.478987904435281</v>
      </c>
      <c r="C132">
        <f t="shared" si="61"/>
        <v>0.45024863016916411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0.50366971393054905</v>
      </c>
      <c r="C133">
        <f t="shared" si="61"/>
        <v>0.4734495310947161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 t="shared" ref="AE133:AO133" si="64">AE4+NPV($D$7,AE5:AE124)</f>
        <v>1674447.2565342933</v>
      </c>
      <c r="AF133" s="57">
        <f t="shared" si="64"/>
        <v>-502334.17696028796</v>
      </c>
      <c r="AG133" s="57">
        <f t="shared" si="64"/>
        <v>-84247.529265274105</v>
      </c>
      <c r="AH133" s="57">
        <f t="shared" si="64"/>
        <v>-1128017.2193676715</v>
      </c>
      <c r="AI133" s="57">
        <f t="shared" si="64"/>
        <v>0</v>
      </c>
      <c r="AJ133" s="57">
        <f t="shared" si="64"/>
        <v>-40151.669058941305</v>
      </c>
      <c r="AK133" s="57">
        <f t="shared" si="64"/>
        <v>-284722.91237548634</v>
      </c>
      <c r="AL133" s="57">
        <f t="shared" si="64"/>
        <v>391256.98690907896</v>
      </c>
      <c r="AM133" s="57">
        <f t="shared" si="64"/>
        <v>66382.405474651488</v>
      </c>
      <c r="AN133" s="57">
        <f t="shared" si="64"/>
        <v>-8719.8278063232792</v>
      </c>
      <c r="AO133" s="57">
        <f t="shared" si="64"/>
        <v>57662.577668328187</v>
      </c>
    </row>
    <row r="134" spans="1:41" x14ac:dyDescent="0.2">
      <c r="A134">
        <v>109</v>
      </c>
      <c r="B134">
        <v>0.52865017529981595</v>
      </c>
      <c r="C134">
        <f t="shared" si="61"/>
        <v>0.49693116478182697</v>
      </c>
      <c r="D134" s="60"/>
      <c r="E134" s="5"/>
      <c r="F134" s="5"/>
    </row>
    <row r="135" spans="1:41" x14ac:dyDescent="0.2">
      <c r="A135">
        <v>110</v>
      </c>
      <c r="B135">
        <v>0.55380498128422895</v>
      </c>
      <c r="C135">
        <f t="shared" si="61"/>
        <v>0.52057668240717514</v>
      </c>
      <c r="D135" s="60"/>
      <c r="E135" s="5"/>
      <c r="F135" s="5"/>
    </row>
    <row r="136" spans="1:41" x14ac:dyDescent="0.2">
      <c r="A136">
        <v>111</v>
      </c>
      <c r="B136">
        <v>0.58339524707710699</v>
      </c>
      <c r="C136">
        <f t="shared" si="61"/>
        <v>0.5483915322524805</v>
      </c>
      <c r="D136" s="60"/>
      <c r="E136" s="5"/>
      <c r="F136" s="5"/>
    </row>
    <row r="137" spans="1:41" x14ac:dyDescent="0.2">
      <c r="A137">
        <v>112</v>
      </c>
      <c r="B137">
        <v>0.613276722212449</v>
      </c>
      <c r="C137">
        <f t="shared" si="61"/>
        <v>0.57648011887970207</v>
      </c>
      <c r="D137" s="60"/>
      <c r="E137" s="5"/>
      <c r="F137" s="5"/>
    </row>
    <row r="138" spans="1:41" x14ac:dyDescent="0.2">
      <c r="A138">
        <v>113</v>
      </c>
      <c r="B138">
        <v>0.64345436782111398</v>
      </c>
      <c r="C138">
        <f t="shared" si="61"/>
        <v>0.60484710575184708</v>
      </c>
      <c r="D138" s="60"/>
      <c r="E138" s="5"/>
      <c r="F138" s="5"/>
    </row>
    <row r="139" spans="1:41" x14ac:dyDescent="0.2">
      <c r="A139">
        <v>114</v>
      </c>
      <c r="B139">
        <v>0.67394050294274799</v>
      </c>
      <c r="C139">
        <f t="shared" si="61"/>
        <v>0.63350407276618304</v>
      </c>
      <c r="D139" s="60"/>
      <c r="E139" s="5"/>
      <c r="F139" s="5"/>
    </row>
    <row r="140" spans="1:41" x14ac:dyDescent="0.2">
      <c r="A140">
        <v>115</v>
      </c>
      <c r="B140">
        <v>0.70475666313849805</v>
      </c>
      <c r="C140">
        <f t="shared" si="61"/>
        <v>0.66247126335018813</v>
      </c>
      <c r="D140" s="60"/>
      <c r="E140" s="5"/>
      <c r="F140" s="5"/>
    </row>
    <row r="141" spans="1:41" x14ac:dyDescent="0.2">
      <c r="A141">
        <v>116</v>
      </c>
      <c r="B141">
        <v>0.73611388337230299</v>
      </c>
      <c r="C141">
        <f t="shared" si="61"/>
        <v>0.69194705036996473</v>
      </c>
      <c r="D141" s="60"/>
      <c r="E141" s="5"/>
      <c r="F141" s="5"/>
    </row>
    <row r="142" spans="1:41" x14ac:dyDescent="0.2">
      <c r="A142">
        <v>117</v>
      </c>
      <c r="B142">
        <v>0.76828966919405794</v>
      </c>
      <c r="C142">
        <f t="shared" si="61"/>
        <v>0.72219228904241439</v>
      </c>
      <c r="D142" s="60"/>
      <c r="E142" s="5"/>
      <c r="F142" s="5"/>
    </row>
    <row r="143" spans="1:41" x14ac:dyDescent="0.2">
      <c r="A143">
        <v>118</v>
      </c>
      <c r="B143">
        <v>0.80145257658282598</v>
      </c>
      <c r="C143">
        <f t="shared" si="61"/>
        <v>0.75336542198785639</v>
      </c>
      <c r="D143" s="60"/>
      <c r="E143" s="5"/>
      <c r="F143" s="5"/>
    </row>
    <row r="144" spans="1:41" x14ac:dyDescent="0.2">
      <c r="A144">
        <v>119</v>
      </c>
      <c r="B144">
        <v>0.83584955993419296</v>
      </c>
      <c r="C144">
        <f t="shared" si="61"/>
        <v>0.78569858633814138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B7C6F-05FE-435A-86DD-2A434707D758}">
  <sheetPr codeName="Sheet14"/>
  <dimension ref="A1:BB145"/>
  <sheetViews>
    <sheetView workbookViewId="0">
      <pane ySplit="3" topLeftCell="A28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4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AU$5+NPV($AT1,AU$6:AU$79)</f>
        <v>10.115631830046627</v>
      </c>
      <c r="AV1" s="35">
        <f>NPV($AT1,AV$5:AV$79)</f>
        <v>0.61093723730589877</v>
      </c>
      <c r="AW1" s="34">
        <f>0.85*AV1*1000/AU1</f>
        <v>51.336056949753605</v>
      </c>
    </row>
    <row r="2" spans="1:54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AU$5+NPV($AT2,AU$6:AU$79)</f>
        <v>8.9706417685098749</v>
      </c>
      <c r="AV2" s="35">
        <f>NPV($AT2,AV$5:AV$79)</f>
        <v>0.4922278244239689</v>
      </c>
      <c r="AW2" s="34">
        <f>1.05*AV2*1000/(AU2-1)</f>
        <v>64.842860920820343</v>
      </c>
    </row>
    <row r="3" spans="1:54" ht="38.25" x14ac:dyDescent="0.2">
      <c r="G3" t="s">
        <v>16</v>
      </c>
      <c r="H3" s="31">
        <v>2087538.11483767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4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59">_xlfn.SEQUENCE(MAX(A26:A145)-D4+1,1,0,1)</f>
        <v>0</v>
      </c>
      <c r="J4" s="41">
        <f>$H$3</f>
        <v>2087538.11483767</v>
      </c>
      <c r="K4" s="41">
        <f>J4*C16</f>
        <v>626261.434451301</v>
      </c>
      <c r="L4" s="42">
        <f>C20 +F18*J4</f>
        <v>104576.9057418835</v>
      </c>
      <c r="M4" s="41">
        <f t="shared" ref="M4:M5" si="0">$E$11</f>
        <v>2000000</v>
      </c>
      <c r="N4" s="43">
        <f>AX4</f>
        <v>0</v>
      </c>
      <c r="O4" s="44">
        <f>AW4</f>
        <v>91.641000000000005</v>
      </c>
      <c r="P4" s="41">
        <f>IF(I4&lt;&gt;"", M4*N4/1000, "")</f>
        <v>0</v>
      </c>
      <c r="Q4" s="41">
        <f>IF(I4&lt;&gt;"", M4*O4/1000, "")</f>
        <v>183282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183282</v>
      </c>
      <c r="AC4" s="41">
        <f>IF(I4&lt;&gt;"", $H$14*M4*X4, "")</f>
        <v>20000</v>
      </c>
      <c r="AD4" s="47"/>
      <c r="AE4" s="41">
        <f>IF(I4&lt;&gt;"", $X4*J4, "")</f>
        <v>2087538.11483767</v>
      </c>
      <c r="AF4" s="41">
        <f>IF(I4&lt;&gt;"", -$X4*K4, "")</f>
        <v>-626261.434451301</v>
      </c>
      <c r="AG4" s="41">
        <f>IF(I4&lt;&gt;"", -$X4*L4, "")</f>
        <v>-104576.9057418835</v>
      </c>
      <c r="AH4" s="41"/>
      <c r="AI4" s="41"/>
      <c r="AJ4" s="41">
        <f>SUM(AE4:AI4)</f>
        <v>1356699.7746444857</v>
      </c>
      <c r="AK4" s="41">
        <f>IF(I4&lt;&gt;"", Z4-AB4, "")</f>
        <v>-183282</v>
      </c>
      <c r="AL4" s="41"/>
      <c r="AM4" s="41">
        <f>SUM(AJ4:AL4)</f>
        <v>1173417.7746444857</v>
      </c>
      <c r="AN4" s="41">
        <f>IF(I4&lt;&gt;"", AA4-AC4, "")</f>
        <v>-20000</v>
      </c>
      <c r="AO4" s="41">
        <f>SUM(AM4:AN4)</f>
        <v>1153417.7746444857</v>
      </c>
      <c r="AP4" s="45"/>
      <c r="AQ4" s="41">
        <f>AM133</f>
        <v>62626.147645784309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91.641000000000005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4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126.78100000000001</v>
      </c>
      <c r="P5" s="41">
        <f t="shared" ref="P5:P68" si="3">IF(I5&lt;&gt;"", M5*N5/1000, "")</f>
        <v>0</v>
      </c>
      <c r="Q5" s="41">
        <f t="shared" ref="Q5:Q68" si="4">IF(I5&lt;&gt;"", M5*O5/1000, "")</f>
        <v>253562</v>
      </c>
      <c r="R5" s="44"/>
      <c r="S5" s="44">
        <f>IF(I5&lt;&gt;"",_xlfn.XLOOKUP($D$4+I5,$A$26:$A$145,$B$26:$B$145,0) * 1000,"")</f>
        <v>25.096702937995701</v>
      </c>
      <c r="T5" s="52">
        <f>C10</f>
        <v>0</v>
      </c>
      <c r="U5" s="53">
        <f>IF(I5&lt;&gt;"", X4, "")</f>
        <v>1</v>
      </c>
      <c r="V5" s="53">
        <f>IF(I5&lt;&gt;"", S5*U5/1000, "")</f>
        <v>2.50967029379957E-2</v>
      </c>
      <c r="W5" s="53">
        <f>IF(I5&lt;&gt;"", MIN(T5*U5,U5-V5), "")</f>
        <v>0</v>
      </c>
      <c r="X5" s="46">
        <f t="shared" ref="X5:X68" si="5">IF(I5&lt;&gt;"", U5-SUM(V5:W5), "")</f>
        <v>0.97490329706200429</v>
      </c>
      <c r="Y5" s="54"/>
      <c r="Z5" s="41">
        <f>IF(I5&lt;&gt;"",AB4,"")</f>
        <v>183282</v>
      </c>
      <c r="AA5" s="41">
        <f>IF(I5&lt;&gt;"", AC4, "")</f>
        <v>20000</v>
      </c>
      <c r="AB5" s="41">
        <f t="shared" ref="AB5:AB68" si="6">IF(I5&lt;&gt;"", Q5*X5, "" )</f>
        <v>247198.42980963594</v>
      </c>
      <c r="AC5" s="41">
        <f t="shared" ref="AC5:AC68" si="7">IF(I5&lt;&gt;"", $H$14*M5*X5, "")</f>
        <v>19498.065941240086</v>
      </c>
      <c r="AD5" s="54"/>
      <c r="AE5" s="41">
        <f t="shared" ref="AE5:AE68" si="8">IF(I5&lt;&gt;"", $X5*J5, "")</f>
        <v>0</v>
      </c>
      <c r="AF5" s="41"/>
      <c r="AG5" s="41">
        <f t="shared" ref="AG5:AG68" si="9">IF(I5&lt;&gt;"", -$X5*L5, "")</f>
        <v>0</v>
      </c>
      <c r="AH5" s="41">
        <f>IF(I5&lt;&gt;"",-M5*V5,"")</f>
        <v>-50193.405875991404</v>
      </c>
      <c r="AI5" s="41">
        <f>IF(I5 &lt;&gt; "", -P5*W5, "")</f>
        <v>0</v>
      </c>
      <c r="AJ5" s="41">
        <f t="shared" ref="AJ5:AJ68" si="10">SUM(AE5:AI5)</f>
        <v>-50193.405875991404</v>
      </c>
      <c r="AK5" s="41">
        <f t="shared" ref="AK5:AK68" si="11">IF(I5&lt;&gt;"", Z5-AB5, "")</f>
        <v>-63916.429809635942</v>
      </c>
      <c r="AL5" s="41">
        <f>$D$6*SUM(Z5:AA5,AE5:AF5)</f>
        <v>8131.28</v>
      </c>
      <c r="AM5" s="41">
        <f t="shared" ref="AM5:AM68" si="12">SUM(AJ5:AL5)</f>
        <v>-105978.55568562735</v>
      </c>
      <c r="AN5" s="41">
        <f t="shared" ref="AN5:AN68" si="13">IF(I5&lt;&gt;"", AA5-AC5, "")</f>
        <v>501.93405875991448</v>
      </c>
      <c r="AO5" s="41">
        <f t="shared" ref="AO5:AO68" si="14">SUM(AM5:AN5)</f>
        <v>-105476.62162686743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2.50967029379957E-2</v>
      </c>
      <c r="AW5" s="50">
        <f xml:space="preserve"> IF(ISERROR(ROUND((1000*NPV($AT$1,$AV6:$AV$124)-$AW$1*($AU6+NPV($AT$1,$AU7:$AU$124)))/AU6,3)), 0, ROUND((1000*NPV($AT$1,$AV6:$AV$124)-$AW$1*($AU6+NPV($AT$1,$AU7:$AU$124)))/AU6,3))</f>
        <v>126.78100000000001</v>
      </c>
      <c r="AX5" s="50">
        <f>IF(ISERROR(ROUND(MAX(0,1000*NPV($AT$2,$AV6:$AV$124)-$AW$2*($AU6+NPV($AT$2,$AU7:$AU$124)))/AU6,3)), 0, ROUND(MAX(0,1000*NPV($AT$2,$AV6:$AV$124)-$AW$2*($AU6+NPV($AT$2,$AU7:$AU$124)))/AU6,3))</f>
        <v>0</v>
      </c>
      <c r="AY5" s="75" t="s">
        <v>79</v>
      </c>
      <c r="AZ5" s="11">
        <f>AM133</f>
        <v>62626.147645784309</v>
      </c>
    </row>
    <row r="6" spans="1:54" ht="15" x14ac:dyDescent="0.25">
      <c r="A6" s="12" t="s">
        <v>14</v>
      </c>
      <c r="B6" s="12"/>
      <c r="C6" s="12"/>
      <c r="D6" s="16">
        <v>0.04</v>
      </c>
      <c r="E6" s="6"/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162.22300000000001</v>
      </c>
      <c r="P6" s="41">
        <f t="shared" si="3"/>
        <v>0</v>
      </c>
      <c r="Q6" s="41">
        <f t="shared" si="4"/>
        <v>324446</v>
      </c>
      <c r="R6" s="44"/>
      <c r="S6" s="44">
        <f>IF(I6&lt;&gt;"",_xlfn.XLOOKUP($D$4+I6,$A$26:$A$145,$B$26:$B$145,0) * 1000,"")</f>
        <v>27.475647578921102</v>
      </c>
      <c r="T6" s="52">
        <f>$C$11</f>
        <v>0</v>
      </c>
      <c r="U6" s="53">
        <f t="shared" ref="U6:U69" si="15">IF(I6&lt;&gt;"", X5, "")</f>
        <v>0.97490329706200429</v>
      </c>
      <c r="V6" s="53">
        <f t="shared" ref="V6:V69" si="16">IF(I6&lt;&gt;"", S6*U6/1000, "")</f>
        <v>2.6786099413603857E-2</v>
      </c>
      <c r="W6" s="53">
        <f t="shared" ref="W6:W69" si="17">IF(I6&lt;&gt;"", MIN(T6*U6,U6-V6), "")</f>
        <v>0</v>
      </c>
      <c r="X6" s="46">
        <f t="shared" si="5"/>
        <v>0.94811719764840041</v>
      </c>
      <c r="Y6" s="54"/>
      <c r="Z6" s="41">
        <f t="shared" ref="Z6:Z69" si="18">IF(I6&lt;&gt;"",AB5,"")</f>
        <v>247198.42980963594</v>
      </c>
      <c r="AA6" s="41">
        <f t="shared" ref="AA6:AA69" si="19">IF(I6&lt;&gt;"", AC5, "")</f>
        <v>19498.065941240086</v>
      </c>
      <c r="AB6" s="41">
        <f t="shared" si="6"/>
        <v>307612.8323082329</v>
      </c>
      <c r="AC6" s="41">
        <f t="shared" si="7"/>
        <v>18962.343952968007</v>
      </c>
      <c r="AD6" s="54"/>
      <c r="AE6" s="41">
        <f t="shared" si="8"/>
        <v>0</v>
      </c>
      <c r="AF6" s="41"/>
      <c r="AG6" s="41">
        <f>IF(I6&lt;&gt;"", -$X6*L6, "")</f>
        <v>-23.702929941210009</v>
      </c>
      <c r="AH6" s="41">
        <f t="shared" ref="AH6:AH69" si="20">IF(I6&lt;&gt;"",-M6*V6,"")</f>
        <v>-53572.198827207714</v>
      </c>
      <c r="AI6" s="41">
        <f t="shared" ref="AI6:AI69" si="21">IF(I6 &lt;&gt; "", -P6*W6, "")</f>
        <v>0</v>
      </c>
      <c r="AJ6" s="41">
        <f t="shared" si="10"/>
        <v>-53595.901757148924</v>
      </c>
      <c r="AK6" s="41">
        <f t="shared" si="11"/>
        <v>-60414.402498596959</v>
      </c>
      <c r="AL6" s="41">
        <f t="shared" ref="AL6:AL69" si="22">$D$6*SUM(Z6:AA6,AE6:AF6)</f>
        <v>10667.85983003504</v>
      </c>
      <c r="AM6" s="41">
        <f t="shared" si="12"/>
        <v>-103342.44442571084</v>
      </c>
      <c r="AN6" s="41">
        <f t="shared" si="13"/>
        <v>535.72198827207831</v>
      </c>
      <c r="AO6" s="41">
        <f t="shared" si="14"/>
        <v>-102806.72243743876</v>
      </c>
      <c r="AP6" s="45"/>
      <c r="AQ6" s="41">
        <f>AO133</f>
        <v>56338.649359530071</v>
      </c>
      <c r="AR6" s="48"/>
      <c r="AS6" s="48"/>
      <c r="AT6" s="51">
        <f t="shared" ref="AT6:AT69" si="23">AT5+1</f>
        <v>2</v>
      </c>
      <c r="AU6" s="49">
        <f t="shared" ref="AU6:AU69" si="24">IF(I6&lt;&gt;"", AU5-AV5, "")</f>
        <v>0.97490329706200429</v>
      </c>
      <c r="AV6" s="49">
        <f t="shared" ref="AV6:AV69" si="25">IF(I6&lt;&gt;"", S6*AU6/1000, "")</f>
        <v>2.6786099413603857E-2</v>
      </c>
      <c r="AW6" s="50">
        <f xml:space="preserve"> IF(ISERROR(ROUND((1000*NPV($AT$1,$AV7:$AV$124)-$AW$1*($AU7+NPV($AT$1,$AU8:$AU$124)))/AU7,3)), 0, ROUND((1000*NPV($AT$1,$AV7:$AV$124)-$AW$1*($AU7+NPV($AT$1,$AU8:$AU$124)))/AU7,3))</f>
        <v>162.22300000000001</v>
      </c>
      <c r="AX6" s="50">
        <f>IF(ISERROR(ROUND(MAX(0,1000*NPV($AT$2,$AV7:$AV$124)-$AW$2*($AU7+NPV($AT$2,$AU8:$AU$124)))/AU7,3)), 0, ROUND(MAX(0,1000*NPV($AT$2,$AV7:$AV$124)-$AW$2*($AU7+NPV($AT$2,$AU8:$AU$124)))/AU7,3))</f>
        <v>0</v>
      </c>
      <c r="AY6" s="75" t="s">
        <v>80</v>
      </c>
    </row>
    <row r="7" spans="1:54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6">IF(J7&lt;&gt;"",J7*$C$17,"")</f>
        <v/>
      </c>
      <c r="L7" s="42">
        <f t="shared" ref="L7:L70" si="27">IF(I7&lt;&gt;"",$C$21,"")</f>
        <v>25</v>
      </c>
      <c r="M7" s="41">
        <f t="shared" ref="M7:M70" si="28">IF(I7&lt;&gt;"",$E$11,"")</f>
        <v>2000000</v>
      </c>
      <c r="N7" s="43">
        <f t="shared" si="1"/>
        <v>23.754000000000001</v>
      </c>
      <c r="O7" s="44">
        <f t="shared" si="2"/>
        <v>198.04</v>
      </c>
      <c r="P7" s="41">
        <f t="shared" si="3"/>
        <v>47508</v>
      </c>
      <c r="Q7" s="41">
        <f t="shared" si="4"/>
        <v>396080</v>
      </c>
      <c r="R7" s="44"/>
      <c r="S7" s="44">
        <f>IF(I7&lt;&gt;"",_xlfn.XLOOKUP($D$4+I7,$A$26:$A$145,$B$26:$B$145,0) * 1000,"")</f>
        <v>30.002964203949897</v>
      </c>
      <c r="T7" s="52">
        <f>$C$11</f>
        <v>0</v>
      </c>
      <c r="U7" s="53">
        <f t="shared" si="15"/>
        <v>0.94811719764840041</v>
      </c>
      <c r="V7" s="53">
        <f t="shared" si="16"/>
        <v>2.8446326342194246E-2</v>
      </c>
      <c r="W7" s="53">
        <f t="shared" si="17"/>
        <v>0</v>
      </c>
      <c r="X7" s="46">
        <f t="shared" si="5"/>
        <v>0.91967087130620617</v>
      </c>
      <c r="Y7" s="54"/>
      <c r="Z7" s="41">
        <f t="shared" si="18"/>
        <v>307612.8323082329</v>
      </c>
      <c r="AA7" s="41">
        <f t="shared" si="19"/>
        <v>18962.343952968007</v>
      </c>
      <c r="AB7" s="41">
        <f t="shared" si="6"/>
        <v>364263.23870696215</v>
      </c>
      <c r="AC7" s="41">
        <f t="shared" si="7"/>
        <v>18393.417426124124</v>
      </c>
      <c r="AD7" s="54"/>
      <c r="AE7" s="41">
        <f t="shared" si="8"/>
        <v>0</v>
      </c>
      <c r="AF7" s="41"/>
      <c r="AG7" s="41">
        <f t="shared" si="9"/>
        <v>-22.991771782655153</v>
      </c>
      <c r="AH7" s="41">
        <f t="shared" si="20"/>
        <v>-56892.652684388493</v>
      </c>
      <c r="AI7" s="41">
        <f t="shared" si="21"/>
        <v>0</v>
      </c>
      <c r="AJ7" s="41">
        <f t="shared" si="10"/>
        <v>-56915.644456171147</v>
      </c>
      <c r="AK7" s="41">
        <f t="shared" si="11"/>
        <v>-56650.406398729247</v>
      </c>
      <c r="AL7" s="41">
        <f t="shared" si="22"/>
        <v>13063.007050448037</v>
      </c>
      <c r="AM7" s="41">
        <f t="shared" si="12"/>
        <v>-100503.04380445235</v>
      </c>
      <c r="AN7" s="41">
        <f t="shared" si="13"/>
        <v>568.92652684388304</v>
      </c>
      <c r="AO7" s="41">
        <f>SUM(AM7:AN7)</f>
        <v>-99934.117277608457</v>
      </c>
      <c r="AP7" s="45"/>
      <c r="AQ7" s="45"/>
      <c r="AR7" s="48"/>
      <c r="AS7" s="48"/>
      <c r="AT7" s="51">
        <f t="shared" si="23"/>
        <v>3</v>
      </c>
      <c r="AU7" s="49">
        <f t="shared" si="24"/>
        <v>0.94811719764840041</v>
      </c>
      <c r="AV7" s="49">
        <f t="shared" si="25"/>
        <v>2.8446326342194246E-2</v>
      </c>
      <c r="AW7" s="50">
        <f xml:space="preserve"> IF(ISERROR(ROUND((1000*NPV($AT$1,$AV8:$AV$124)-$AW$1*($AU8+NPV($AT$1,$AU9:$AU$124)))/AU8,3)), 0, ROUND((1000*NPV($AT$1,$AV8:$AV$124)-$AW$1*($AU8+NPV($AT$1,$AU9:$AU$124)))/AU8,3))</f>
        <v>198.04</v>
      </c>
      <c r="AX7" s="50">
        <f>IF(ISERROR(ROUND(MAX(0,1000*NPV($AT$2,$AV8:$AV$124)-$AW$2*($AU8+NPV($AT$2,$AU9:$AU$124)))/AU8,3)), 0, ROUND(MAX(0,1000*NPV($AT$2,$AV8:$AV$124)-$AW$2*($AU8+NPV($AT$2,$AU9:$AU$124)))/AU8,3))</f>
        <v>23.754000000000001</v>
      </c>
      <c r="AY7" s="75" t="s">
        <v>81</v>
      </c>
      <c r="AZ7" s="65">
        <f>AZ5/AE133</f>
        <v>3.00000020122527E-2</v>
      </c>
      <c r="BB7" s="75" t="s">
        <v>82</v>
      </c>
    </row>
    <row r="8" spans="1:54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6"/>
        <v/>
      </c>
      <c r="L8" s="42">
        <f t="shared" si="27"/>
        <v>25</v>
      </c>
      <c r="M8" s="41">
        <f t="shared" si="28"/>
        <v>2000000</v>
      </c>
      <c r="N8" s="43">
        <f t="shared" si="1"/>
        <v>63.142000000000003</v>
      </c>
      <c r="O8" s="44">
        <f t="shared" si="2"/>
        <v>234.2</v>
      </c>
      <c r="P8" s="41">
        <f t="shared" si="3"/>
        <v>126284</v>
      </c>
      <c r="Q8" s="41">
        <f t="shared" si="4"/>
        <v>468400</v>
      </c>
      <c r="R8" s="44"/>
      <c r="S8" s="44">
        <f>IF(I8&lt;&gt;"",_xlfn.XLOOKUP($D$4+I8,$A$26:$A$145,$B$26:$B$145,0) * 1000,"")</f>
        <v>32.843694613813497</v>
      </c>
      <c r="T8" s="52">
        <f>$C$11</f>
        <v>0</v>
      </c>
      <c r="U8" s="53">
        <f t="shared" si="15"/>
        <v>0.91967087130620617</v>
      </c>
      <c r="V8" s="53">
        <f t="shared" si="16"/>
        <v>3.020538924240081E-2</v>
      </c>
      <c r="W8" s="53">
        <f t="shared" si="17"/>
        <v>0</v>
      </c>
      <c r="X8" s="46">
        <f t="shared" si="5"/>
        <v>0.88946548206380538</v>
      </c>
      <c r="Y8" s="54"/>
      <c r="Z8" s="41">
        <f t="shared" si="18"/>
        <v>364263.23870696215</v>
      </c>
      <c r="AA8" s="41">
        <f t="shared" si="19"/>
        <v>18393.417426124124</v>
      </c>
      <c r="AB8" s="41">
        <f t="shared" si="6"/>
        <v>416625.63179868646</v>
      </c>
      <c r="AC8" s="41">
        <f t="shared" si="7"/>
        <v>17789.309641276108</v>
      </c>
      <c r="AD8" s="54"/>
      <c r="AE8" s="41">
        <f t="shared" si="8"/>
        <v>0</v>
      </c>
      <c r="AF8" s="41"/>
      <c r="AG8" s="41">
        <f t="shared" si="9"/>
        <v>-22.236637051595135</v>
      </c>
      <c r="AH8" s="41">
        <f t="shared" si="20"/>
        <v>-60410.778484801624</v>
      </c>
      <c r="AI8" s="41">
        <f t="shared" si="21"/>
        <v>0</v>
      </c>
      <c r="AJ8" s="41">
        <f t="shared" si="10"/>
        <v>-60433.015121853219</v>
      </c>
      <c r="AK8" s="41">
        <f t="shared" si="11"/>
        <v>-52362.393091724312</v>
      </c>
      <c r="AL8" s="41">
        <f t="shared" si="22"/>
        <v>15306.26624532345</v>
      </c>
      <c r="AM8" s="41">
        <f t="shared" si="12"/>
        <v>-97489.141968254073</v>
      </c>
      <c r="AN8" s="41">
        <f t="shared" si="13"/>
        <v>604.10778484801631</v>
      </c>
      <c r="AO8" s="41">
        <f t="shared" si="14"/>
        <v>-96885.034183406053</v>
      </c>
      <c r="AP8" s="45"/>
      <c r="AQ8" s="45"/>
      <c r="AR8" s="48"/>
      <c r="AS8" s="48"/>
      <c r="AT8" s="51">
        <f t="shared" si="23"/>
        <v>4</v>
      </c>
      <c r="AU8" s="49">
        <f t="shared" si="24"/>
        <v>0.91967087130620617</v>
      </c>
      <c r="AV8" s="49">
        <f t="shared" si="25"/>
        <v>3.020538924240081E-2</v>
      </c>
      <c r="AW8" s="50">
        <f xml:space="preserve"> IF(ISERROR(ROUND((1000*NPV($AT$1,$AV9:$AV$124)-$AW$1*($AU9+NPV($AT$1,$AU10:$AU$124)))/AU9,3)), 0, ROUND((1000*NPV($AT$1,$AV9:$AV$124)-$AW$1*($AU9+NPV($AT$1,$AU10:$AU$124)))/AU9,3))</f>
        <v>234.2</v>
      </c>
      <c r="AX8" s="50">
        <f>IF(ISERROR(ROUND(MAX(0,1000*NPV($AT$2,$AV9:$AV$124)-$AW$2*($AU9+NPV($AT$2,$AU10:$AU$124)))/AU9,3)), 0, ROUND(MAX(0,1000*NPV($AT$2,$AV9:$AV$124)-$AW$2*($AU9+NPV($AT$2,$AU10:$AU$124)))/AU9,3))</f>
        <v>63.142000000000003</v>
      </c>
      <c r="AY8" s="59"/>
    </row>
    <row r="9" spans="1:54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6"/>
        <v/>
      </c>
      <c r="L9" s="42">
        <f t="shared" si="27"/>
        <v>25</v>
      </c>
      <c r="M9" s="41">
        <f t="shared" si="28"/>
        <v>2000000</v>
      </c>
      <c r="N9" s="43">
        <f t="shared" si="1"/>
        <v>103.348</v>
      </c>
      <c r="O9" s="44">
        <f t="shared" si="2"/>
        <v>270.67099999999999</v>
      </c>
      <c r="P9" s="41">
        <f t="shared" si="3"/>
        <v>206696</v>
      </c>
      <c r="Q9" s="41">
        <f t="shared" si="4"/>
        <v>541342</v>
      </c>
      <c r="R9" s="44"/>
      <c r="S9" s="44">
        <f>IF(I9&lt;&gt;"",_xlfn.XLOOKUP($D$4+I9,$A$26:$A$145,$B$26:$B$145,0) * 1000,"")</f>
        <v>36.041229043075802</v>
      </c>
      <c r="T9" s="52">
        <f>$C$11</f>
        <v>0</v>
      </c>
      <c r="U9" s="53">
        <f t="shared" si="15"/>
        <v>0.88946548206380538</v>
      </c>
      <c r="V9" s="53">
        <f t="shared" si="16"/>
        <v>3.2057429164971438E-2</v>
      </c>
      <c r="W9" s="53">
        <f t="shared" si="17"/>
        <v>0</v>
      </c>
      <c r="X9" s="46">
        <f t="shared" si="5"/>
        <v>0.85740805289883393</v>
      </c>
      <c r="Y9" s="54"/>
      <c r="Z9" s="41">
        <f t="shared" si="18"/>
        <v>416625.63179868646</v>
      </c>
      <c r="AA9" s="41">
        <f t="shared" si="19"/>
        <v>17789.309641276108</v>
      </c>
      <c r="AB9" s="41">
        <f t="shared" si="6"/>
        <v>464150.99017236056</v>
      </c>
      <c r="AC9" s="41">
        <f t="shared" si="7"/>
        <v>17148.161057976678</v>
      </c>
      <c r="AD9" s="54"/>
      <c r="AE9" s="41">
        <f t="shared" si="8"/>
        <v>0</v>
      </c>
      <c r="AF9" s="41"/>
      <c r="AG9" s="41">
        <f t="shared" si="9"/>
        <v>-21.435201322470849</v>
      </c>
      <c r="AH9" s="41">
        <f t="shared" si="20"/>
        <v>-64114.858329942872</v>
      </c>
      <c r="AI9" s="41">
        <f t="shared" si="21"/>
        <v>0</v>
      </c>
      <c r="AJ9" s="41">
        <f t="shared" si="10"/>
        <v>-64136.293531265343</v>
      </c>
      <c r="AK9" s="41">
        <f t="shared" si="11"/>
        <v>-47525.358373674098</v>
      </c>
      <c r="AL9" s="41">
        <f t="shared" si="22"/>
        <v>17376.597657598504</v>
      </c>
      <c r="AM9" s="41">
        <f t="shared" si="12"/>
        <v>-94285.054247340944</v>
      </c>
      <c r="AN9" s="41">
        <f t="shared" si="13"/>
        <v>641.14858329942945</v>
      </c>
      <c r="AO9" s="41">
        <f t="shared" si="14"/>
        <v>-93643.905664041522</v>
      </c>
      <c r="AP9" s="45"/>
      <c r="AQ9" s="45"/>
      <c r="AR9" s="48"/>
      <c r="AS9" s="48"/>
      <c r="AT9" s="51">
        <f t="shared" si="23"/>
        <v>5</v>
      </c>
      <c r="AU9" s="49">
        <f t="shared" si="24"/>
        <v>0.88946548206380538</v>
      </c>
      <c r="AV9" s="49">
        <f t="shared" si="25"/>
        <v>3.2057429164971438E-2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270.67099999999999</v>
      </c>
      <c r="AX9" s="50">
        <f>IF(ISERROR(ROUND(MAX(0,1000*NPV($AT$2,$AV10:$AV$124)-$AW$2*($AU10+NPV($AT$2,$AU11:$AU$124)))/AU10,3)), 0, ROUND(MAX(0,1000*NPV($AT$2,$AV10:$AV$124)-$AW$2*($AU10+NPV($AT$2,$AU11:$AU$124)))/AU10,3))</f>
        <v>103.348</v>
      </c>
    </row>
    <row r="10" spans="1:54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6"/>
        <v/>
      </c>
      <c r="L10" s="42">
        <f t="shared" si="27"/>
        <v>25</v>
      </c>
      <c r="M10" s="41">
        <f t="shared" si="28"/>
        <v>2000000</v>
      </c>
      <c r="N10" s="43">
        <f>AX10</f>
        <v>144.31399999999999</v>
      </c>
      <c r="O10" s="44">
        <f t="shared" si="2"/>
        <v>307.39299999999997</v>
      </c>
      <c r="P10" s="41">
        <f t="shared" si="3"/>
        <v>288628</v>
      </c>
      <c r="Q10" s="41">
        <f t="shared" si="4"/>
        <v>614786</v>
      </c>
      <c r="R10" s="44"/>
      <c r="S10" s="44">
        <f>IF(I10&lt;&gt;"",_xlfn.XLOOKUP($D$4+I10,$A$26:$A$145,$B$26:$B$145,0) * 1000,"")</f>
        <v>39.696967801334104</v>
      </c>
      <c r="T10" s="52">
        <f>$C$12</f>
        <v>0</v>
      </c>
      <c r="U10" s="53">
        <f t="shared" si="15"/>
        <v>0.85740805289883393</v>
      </c>
      <c r="V10" s="53">
        <f t="shared" si="16"/>
        <v>3.4036499868529579E-2</v>
      </c>
      <c r="W10" s="53">
        <f t="shared" si="17"/>
        <v>0</v>
      </c>
      <c r="X10" s="46">
        <f t="shared" si="5"/>
        <v>0.82337155303030429</v>
      </c>
      <c r="Y10" s="54"/>
      <c r="Z10" s="41">
        <f t="shared" si="18"/>
        <v>464150.99017236056</v>
      </c>
      <c r="AA10" s="41">
        <f t="shared" si="19"/>
        <v>17148.161057976678</v>
      </c>
      <c r="AB10" s="41">
        <f t="shared" si="6"/>
        <v>506197.30360128864</v>
      </c>
      <c r="AC10" s="41">
        <f t="shared" si="7"/>
        <v>16467.431060606086</v>
      </c>
      <c r="AD10" s="54"/>
      <c r="AE10" s="41">
        <f t="shared" si="8"/>
        <v>0</v>
      </c>
      <c r="AF10" s="41"/>
      <c r="AG10" s="41">
        <f t="shared" si="9"/>
        <v>-20.584288825757607</v>
      </c>
      <c r="AH10" s="41">
        <f t="shared" si="20"/>
        <v>-68072.999737059159</v>
      </c>
      <c r="AI10" s="41">
        <f t="shared" si="21"/>
        <v>0</v>
      </c>
      <c r="AJ10" s="41">
        <f t="shared" si="10"/>
        <v>-68093.58402588492</v>
      </c>
      <c r="AK10" s="41">
        <f t="shared" si="11"/>
        <v>-42046.313428928086</v>
      </c>
      <c r="AL10" s="41">
        <f t="shared" si="22"/>
        <v>19251.96604921349</v>
      </c>
      <c r="AM10" s="41">
        <f t="shared" si="12"/>
        <v>-90887.93140559952</v>
      </c>
      <c r="AN10" s="41">
        <f t="shared" si="13"/>
        <v>680.72999737059217</v>
      </c>
      <c r="AO10" s="41">
        <f t="shared" si="14"/>
        <v>-90207.201408228924</v>
      </c>
      <c r="AP10" s="45"/>
      <c r="AQ10" s="45"/>
      <c r="AR10" s="48"/>
      <c r="AS10" s="48"/>
      <c r="AT10" s="51">
        <f t="shared" si="23"/>
        <v>6</v>
      </c>
      <c r="AU10" s="49">
        <f t="shared" si="24"/>
        <v>0.85740805289883393</v>
      </c>
      <c r="AV10" s="49">
        <f t="shared" si="25"/>
        <v>3.4036499868529579E-2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307.39299999999997</v>
      </c>
      <c r="AX10" s="50">
        <f>IF(ISERROR(ROUND(MAX(0,1000*NPV($AT$2,$AV11:$AV$124)-$AW$2*($AU11+NPV($AT$2,$AU12:$AU$124)))/AU11,3)), 0, ROUND(MAX(0,1000*NPV($AT$2,$AV11:$AV$124)-$AW$2*($AU11+NPV($AT$2,$AU12:$AU$124)))/AU11,3))</f>
        <v>144.31399999999999</v>
      </c>
    </row>
    <row r="11" spans="1:54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6"/>
        <v/>
      </c>
      <c r="L11" s="42">
        <f t="shared" si="27"/>
        <v>25</v>
      </c>
      <c r="M11" s="41">
        <f t="shared" si="28"/>
        <v>2000000</v>
      </c>
      <c r="N11" s="43">
        <f t="shared" si="1"/>
        <v>185.96700000000001</v>
      </c>
      <c r="O11" s="44">
        <f>AW11</f>
        <v>344.29</v>
      </c>
      <c r="P11" s="41">
        <f t="shared" si="3"/>
        <v>371934</v>
      </c>
      <c r="Q11" s="41">
        <f t="shared" si="4"/>
        <v>688580</v>
      </c>
      <c r="R11" s="44"/>
      <c r="S11" s="44">
        <f>IF(I11&lt;&gt;"",_xlfn.XLOOKUP($D$4+I11,$A$26:$A$145,$B$26:$B$145,0) * 1000,"")</f>
        <v>43.904036040879205</v>
      </c>
      <c r="T11" s="52">
        <f>$C$12</f>
        <v>0</v>
      </c>
      <c r="U11" s="53">
        <f t="shared" si="15"/>
        <v>0.82337155303030429</v>
      </c>
      <c r="V11" s="53">
        <f t="shared" si="16"/>
        <v>3.614933433927716E-2</v>
      </c>
      <c r="W11" s="53">
        <f t="shared" si="17"/>
        <v>0</v>
      </c>
      <c r="X11" s="46">
        <f t="shared" si="5"/>
        <v>0.78722221869102715</v>
      </c>
      <c r="Y11" s="54"/>
      <c r="Z11" s="41">
        <f t="shared" si="18"/>
        <v>506197.30360128864</v>
      </c>
      <c r="AA11" s="41">
        <f t="shared" si="19"/>
        <v>16467.431060606086</v>
      </c>
      <c r="AB11" s="41">
        <f t="shared" si="6"/>
        <v>542065.47534626746</v>
      </c>
      <c r="AC11" s="41">
        <f t="shared" si="7"/>
        <v>15744.444373820543</v>
      </c>
      <c r="AD11" s="54"/>
      <c r="AE11" s="41">
        <f t="shared" si="8"/>
        <v>0</v>
      </c>
      <c r="AF11" s="41"/>
      <c r="AG11" s="41">
        <f t="shared" si="9"/>
        <v>-19.680555467275678</v>
      </c>
      <c r="AH11" s="41">
        <f t="shared" si="20"/>
        <v>-72298.668678554313</v>
      </c>
      <c r="AI11" s="41">
        <f t="shared" si="21"/>
        <v>0</v>
      </c>
      <c r="AJ11" s="41">
        <f t="shared" si="10"/>
        <v>-72318.349234021589</v>
      </c>
      <c r="AK11" s="41">
        <f t="shared" si="11"/>
        <v>-35868.171744978812</v>
      </c>
      <c r="AL11" s="41">
        <f t="shared" si="22"/>
        <v>20906.589386475789</v>
      </c>
      <c r="AM11" s="41">
        <f t="shared" si="12"/>
        <v>-87279.931592524605</v>
      </c>
      <c r="AN11" s="41">
        <f t="shared" si="13"/>
        <v>722.9866867855435</v>
      </c>
      <c r="AO11" s="41">
        <f t="shared" si="14"/>
        <v>-86556.944905739059</v>
      </c>
      <c r="AP11" s="45"/>
      <c r="AQ11" s="45"/>
      <c r="AR11" s="48"/>
      <c r="AS11" s="48"/>
      <c r="AT11" s="51">
        <f t="shared" si="23"/>
        <v>7</v>
      </c>
      <c r="AU11" s="49">
        <f t="shared" si="24"/>
        <v>0.82337155303030429</v>
      </c>
      <c r="AV11" s="49">
        <f t="shared" si="25"/>
        <v>3.614933433927716E-2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344.29</v>
      </c>
      <c r="AX11" s="50">
        <f>IF(ISERROR(ROUND(MAX(0,1000*NPV($AT$2,$AV12:$AV$124)-$AW$2*($AU12+NPV($AT$2,$AU13:$AU$124)))/AU12,3)), 0, ROUND(MAX(0,1000*NPV($AT$2,$AV12:$AV$124)-$AW$2*($AU12+NPV($AT$2,$AU13:$AU$124)))/AU12,3))</f>
        <v>185.96700000000001</v>
      </c>
    </row>
    <row r="12" spans="1:54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6"/>
        <v/>
      </c>
      <c r="L12" s="42">
        <f t="shared" si="27"/>
        <v>25</v>
      </c>
      <c r="M12" s="41">
        <f t="shared" si="28"/>
        <v>2000000</v>
      </c>
      <c r="N12" s="43">
        <f>AX12</f>
        <v>228.238</v>
      </c>
      <c r="O12" s="44">
        <f t="shared" si="2"/>
        <v>381.29199999999997</v>
      </c>
      <c r="P12" s="41">
        <f t="shared" si="3"/>
        <v>456476</v>
      </c>
      <c r="Q12" s="41">
        <f t="shared" si="4"/>
        <v>762584</v>
      </c>
      <c r="R12" s="44"/>
      <c r="S12" s="44">
        <f>IF(I12&lt;&gt;"",_xlfn.XLOOKUP($D$4+I12,$A$26:$A$145,$B$26:$B$145,0) * 1000,"")</f>
        <v>48.745918240341695</v>
      </c>
      <c r="T12" s="52">
        <f>$C$12</f>
        <v>0</v>
      </c>
      <c r="U12" s="53">
        <f t="shared" si="15"/>
        <v>0.78722221869102715</v>
      </c>
      <c r="V12" s="53">
        <f t="shared" si="16"/>
        <v>3.8373869909293201E-2</v>
      </c>
      <c r="W12" s="53">
        <f t="shared" si="17"/>
        <v>0</v>
      </c>
      <c r="X12" s="46">
        <f t="shared" si="5"/>
        <v>0.7488483487817339</v>
      </c>
      <c r="Y12" s="54"/>
      <c r="Z12" s="41">
        <f t="shared" si="18"/>
        <v>542065.47534626746</v>
      </c>
      <c r="AA12" s="41">
        <f t="shared" si="19"/>
        <v>15744.444373820543</v>
      </c>
      <c r="AB12" s="41">
        <f t="shared" si="6"/>
        <v>571059.76920736977</v>
      </c>
      <c r="AC12" s="41">
        <f t="shared" si="7"/>
        <v>14976.966975634678</v>
      </c>
      <c r="AD12" s="54"/>
      <c r="AE12" s="41">
        <f t="shared" si="8"/>
        <v>0</v>
      </c>
      <c r="AF12" s="41"/>
      <c r="AG12" s="41">
        <f t="shared" si="9"/>
        <v>-18.721208719543348</v>
      </c>
      <c r="AH12" s="41">
        <f t="shared" si="20"/>
        <v>-76747.7398185864</v>
      </c>
      <c r="AI12" s="41">
        <f t="shared" si="21"/>
        <v>0</v>
      </c>
      <c r="AJ12" s="41">
        <f t="shared" si="10"/>
        <v>-76766.461027305937</v>
      </c>
      <c r="AK12" s="41">
        <f t="shared" si="11"/>
        <v>-28994.293861102313</v>
      </c>
      <c r="AL12" s="41">
        <f t="shared" si="22"/>
        <v>22312.396788803522</v>
      </c>
      <c r="AM12" s="41">
        <f t="shared" si="12"/>
        <v>-83448.358099604724</v>
      </c>
      <c r="AN12" s="41">
        <f t="shared" si="13"/>
        <v>767.47739818586524</v>
      </c>
      <c r="AO12" s="41">
        <f t="shared" si="14"/>
        <v>-82680.880701418864</v>
      </c>
      <c r="AP12" s="45"/>
      <c r="AQ12" s="45"/>
      <c r="AR12" s="48"/>
      <c r="AS12" s="48"/>
      <c r="AT12" s="51">
        <f t="shared" si="23"/>
        <v>8</v>
      </c>
      <c r="AU12" s="49">
        <f t="shared" si="24"/>
        <v>0.78722221869102715</v>
      </c>
      <c r="AV12" s="49">
        <f t="shared" si="25"/>
        <v>3.8373869909293201E-2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381.29199999999997</v>
      </c>
      <c r="AX12" s="50">
        <f>IF(ISERROR(ROUND(MAX(0,1000*NPV($AT$2,$AV13:$AV$124)-$AW$2*($AU13+NPV($AT$2,$AU14:$AU$124)))/AU13,3)), 0, ROUND(MAX(0,1000*NPV($AT$2,$AV13:$AV$124)-$AW$2*($AU13+NPV($AT$2,$AU14:$AU$124)))/AU13,3))</f>
        <v>228.238</v>
      </c>
    </row>
    <row r="13" spans="1:54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6"/>
        <v/>
      </c>
      <c r="L13" s="42">
        <f t="shared" si="27"/>
        <v>25</v>
      </c>
      <c r="M13" s="41">
        <f t="shared" si="28"/>
        <v>2000000</v>
      </c>
      <c r="N13" s="43">
        <f t="shared" si="1"/>
        <v>270.93400000000003</v>
      </c>
      <c r="O13" s="44">
        <f t="shared" si="2"/>
        <v>418.22800000000001</v>
      </c>
      <c r="P13" s="41">
        <f t="shared" si="3"/>
        <v>541868</v>
      </c>
      <c r="Q13" s="41">
        <f t="shared" si="4"/>
        <v>836456</v>
      </c>
      <c r="R13" s="44"/>
      <c r="S13" s="44">
        <f>IF(I13&lt;&gt;"",_xlfn.XLOOKUP($D$4+I13,$A$26:$A$145,$B$26:$B$145,0) * 1000,"")</f>
        <v>54.496735169921294</v>
      </c>
      <c r="T13" s="52">
        <f>$C$12</f>
        <v>0</v>
      </c>
      <c r="U13" s="53">
        <f t="shared" si="15"/>
        <v>0.7488483487817339</v>
      </c>
      <c r="V13" s="53">
        <f t="shared" si="16"/>
        <v>4.0809790145991003E-2</v>
      </c>
      <c r="W13" s="53">
        <f t="shared" si="17"/>
        <v>0</v>
      </c>
      <c r="X13" s="46">
        <f t="shared" si="5"/>
        <v>0.70803855863574294</v>
      </c>
      <c r="Y13" s="54"/>
      <c r="Z13" s="41">
        <f t="shared" si="18"/>
        <v>571059.76920736977</v>
      </c>
      <c r="AA13" s="41">
        <f t="shared" si="19"/>
        <v>14976.966975634678</v>
      </c>
      <c r="AB13" s="41">
        <f t="shared" si="6"/>
        <v>592243.100602219</v>
      </c>
      <c r="AC13" s="41">
        <f t="shared" si="7"/>
        <v>14160.771172714858</v>
      </c>
      <c r="AD13" s="54"/>
      <c r="AE13" s="41">
        <f t="shared" si="8"/>
        <v>0</v>
      </c>
      <c r="AF13" s="41"/>
      <c r="AG13" s="41">
        <f t="shared" si="9"/>
        <v>-17.700963965893575</v>
      </c>
      <c r="AH13" s="41">
        <f t="shared" si="20"/>
        <v>-81619.580291981998</v>
      </c>
      <c r="AI13" s="41">
        <f t="shared" si="21"/>
        <v>0</v>
      </c>
      <c r="AJ13" s="41">
        <f t="shared" si="10"/>
        <v>-81637.281255947892</v>
      </c>
      <c r="AK13" s="41">
        <f t="shared" si="11"/>
        <v>-21183.331394849229</v>
      </c>
      <c r="AL13" s="41">
        <f t="shared" si="22"/>
        <v>23441.469447320178</v>
      </c>
      <c r="AM13" s="41">
        <f t="shared" si="12"/>
        <v>-79379.143203476939</v>
      </c>
      <c r="AN13" s="41">
        <f t="shared" si="13"/>
        <v>816.19580291981947</v>
      </c>
      <c r="AO13" s="41">
        <f t="shared" si="14"/>
        <v>-78562.947400557125</v>
      </c>
      <c r="AP13" s="45"/>
      <c r="AQ13" s="45"/>
      <c r="AR13" s="48"/>
      <c r="AS13" s="48"/>
      <c r="AT13" s="51">
        <f t="shared" si="23"/>
        <v>9</v>
      </c>
      <c r="AU13" s="49">
        <f t="shared" si="24"/>
        <v>0.7488483487817339</v>
      </c>
      <c r="AV13" s="49">
        <f t="shared" si="25"/>
        <v>4.0809790145991003E-2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418.22800000000001</v>
      </c>
      <c r="AX13" s="50">
        <f>IF(ISERROR(ROUND(MAX(0,1000*NPV($AT$2,$AV14:$AV$124)-$AW$2*($AU14+NPV($AT$2,$AU15:$AU$124)))/AU14,3)), 0, ROUND(MAX(0,1000*NPV($AT$2,$AV14:$AV$124)-$AW$2*($AU14+NPV($AT$2,$AU15:$AU$124)))/AU14,3))</f>
        <v>270.93400000000003</v>
      </c>
    </row>
    <row r="14" spans="1:54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6"/>
        <v/>
      </c>
      <c r="L14" s="42">
        <f t="shared" si="27"/>
        <v>25</v>
      </c>
      <c r="M14" s="41">
        <f t="shared" si="28"/>
        <v>2000000</v>
      </c>
      <c r="N14" s="43">
        <f t="shared" si="1"/>
        <v>314.00400000000002</v>
      </c>
      <c r="O14" s="44">
        <f t="shared" si="2"/>
        <v>455.04599999999999</v>
      </c>
      <c r="P14" s="41">
        <f t="shared" si="3"/>
        <v>628008</v>
      </c>
      <c r="Q14" s="41">
        <f t="shared" si="4"/>
        <v>910092</v>
      </c>
      <c r="R14" s="44"/>
      <c r="S14" s="44">
        <f>IF(I14&lt;&gt;"",_xlfn.XLOOKUP($D$4+I14,$A$26:$A$145,$B$26:$B$145,0) * 1000,"")</f>
        <v>61.107455895015498</v>
      </c>
      <c r="T14" s="52">
        <f>$C$12</f>
        <v>0</v>
      </c>
      <c r="U14" s="53">
        <f t="shared" si="15"/>
        <v>0.70803855863574294</v>
      </c>
      <c r="V14" s="53">
        <f t="shared" si="16"/>
        <v>4.3266434993804004E-2</v>
      </c>
      <c r="W14" s="53">
        <f t="shared" si="17"/>
        <v>0</v>
      </c>
      <c r="X14" s="46">
        <f t="shared" si="5"/>
        <v>0.66477212364193894</v>
      </c>
      <c r="Y14" s="54"/>
      <c r="Z14" s="41">
        <f t="shared" si="18"/>
        <v>592243.100602219</v>
      </c>
      <c r="AA14" s="41">
        <f t="shared" si="19"/>
        <v>14160.771172714858</v>
      </c>
      <c r="AB14" s="41">
        <f t="shared" si="6"/>
        <v>605003.79154953954</v>
      </c>
      <c r="AC14" s="41">
        <f t="shared" si="7"/>
        <v>13295.442472838778</v>
      </c>
      <c r="AD14" s="54"/>
      <c r="AE14" s="41">
        <f t="shared" si="8"/>
        <v>0</v>
      </c>
      <c r="AF14" s="41"/>
      <c r="AG14" s="41">
        <f t="shared" si="9"/>
        <v>-16.619303091048472</v>
      </c>
      <c r="AH14" s="41">
        <f t="shared" si="20"/>
        <v>-86532.869987608006</v>
      </c>
      <c r="AI14" s="41">
        <f t="shared" si="21"/>
        <v>0</v>
      </c>
      <c r="AJ14" s="41">
        <f t="shared" si="10"/>
        <v>-86549.489290699057</v>
      </c>
      <c r="AK14" s="41">
        <f t="shared" si="11"/>
        <v>-12760.690947320545</v>
      </c>
      <c r="AL14" s="41">
        <f t="shared" si="22"/>
        <v>24256.154870997354</v>
      </c>
      <c r="AM14" s="41">
        <f t="shared" si="12"/>
        <v>-75054.025367022245</v>
      </c>
      <c r="AN14" s="41">
        <f t="shared" si="13"/>
        <v>865.32869987607955</v>
      </c>
      <c r="AO14" s="41">
        <f t="shared" si="14"/>
        <v>-74188.696667146171</v>
      </c>
      <c r="AP14" s="45"/>
      <c r="AQ14" s="45"/>
      <c r="AR14" s="48"/>
      <c r="AS14" s="48"/>
      <c r="AT14" s="51">
        <f t="shared" si="23"/>
        <v>10</v>
      </c>
      <c r="AU14" s="49">
        <f t="shared" si="24"/>
        <v>0.70803855863574294</v>
      </c>
      <c r="AV14" s="49">
        <f t="shared" si="25"/>
        <v>4.3266434993804004E-2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455.04599999999999</v>
      </c>
      <c r="AX14" s="50">
        <f>IF(ISERROR(ROUND(MAX(0,1000*NPV($AT$2,$AV15:$AV$124)-$AW$2*($AU15+NPV($AT$2,$AU16:$AU$124)))/AU15,3)), 0, ROUND(MAX(0,1000*NPV($AT$2,$AV15:$AV$124)-$AW$2*($AU15+NPV($AT$2,$AU16:$AU$124)))/AU15,3))</f>
        <v>314.00400000000002</v>
      </c>
    </row>
    <row r="15" spans="1:54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6"/>
        <v/>
      </c>
      <c r="L15" s="42">
        <f t="shared" si="27"/>
        <v>25</v>
      </c>
      <c r="M15" s="41">
        <f t="shared" si="28"/>
        <v>2000000</v>
      </c>
      <c r="N15" s="43">
        <f t="shared" si="1"/>
        <v>350.60199999999998</v>
      </c>
      <c r="O15" s="44">
        <f t="shared" si="2"/>
        <v>486.315</v>
      </c>
      <c r="P15" s="41">
        <f t="shared" si="3"/>
        <v>701204</v>
      </c>
      <c r="Q15" s="41">
        <f t="shared" si="4"/>
        <v>972630</v>
      </c>
      <c r="R15" s="44"/>
      <c r="S15" s="44">
        <f>IF(I15&lt;&gt;"",_xlfn.XLOOKUP($D$4+I15,$A$26:$A$145,$B$26:$B$145,0) * 1000,"")</f>
        <v>78.497390460922489</v>
      </c>
      <c r="T15" s="52">
        <f>$C$13</f>
        <v>0</v>
      </c>
      <c r="U15" s="53">
        <f t="shared" si="15"/>
        <v>0.66477212364193894</v>
      </c>
      <c r="V15" s="53">
        <f t="shared" si="16"/>
        <v>5.2182876957057922E-2</v>
      </c>
      <c r="W15" s="53">
        <f t="shared" si="17"/>
        <v>0</v>
      </c>
      <c r="X15" s="46">
        <f t="shared" si="5"/>
        <v>0.61258924668488102</v>
      </c>
      <c r="Y15" s="54"/>
      <c r="Z15" s="41">
        <f t="shared" si="18"/>
        <v>605003.79154953954</v>
      </c>
      <c r="AA15" s="41">
        <f t="shared" si="19"/>
        <v>13295.442472838778</v>
      </c>
      <c r="AB15" s="41">
        <f t="shared" si="6"/>
        <v>595822.67900311586</v>
      </c>
      <c r="AC15" s="41">
        <f t="shared" si="7"/>
        <v>12251.78493369762</v>
      </c>
      <c r="AD15" s="54"/>
      <c r="AE15" s="41">
        <f t="shared" si="8"/>
        <v>0</v>
      </c>
      <c r="AF15" s="41"/>
      <c r="AG15" s="41">
        <f t="shared" si="9"/>
        <v>-15.314731167122025</v>
      </c>
      <c r="AH15" s="41">
        <f t="shared" si="20"/>
        <v>-104365.75391411585</v>
      </c>
      <c r="AI15" s="41">
        <f t="shared" si="21"/>
        <v>0</v>
      </c>
      <c r="AJ15" s="41">
        <f t="shared" si="10"/>
        <v>-104381.06864528297</v>
      </c>
      <c r="AK15" s="41">
        <f t="shared" si="11"/>
        <v>9181.1125464236829</v>
      </c>
      <c r="AL15" s="41">
        <f t="shared" si="22"/>
        <v>24731.969360895135</v>
      </c>
      <c r="AM15" s="41">
        <f t="shared" si="12"/>
        <v>-70467.986737964151</v>
      </c>
      <c r="AN15" s="41">
        <f t="shared" si="13"/>
        <v>1043.6575391411588</v>
      </c>
      <c r="AO15" s="41">
        <f t="shared" si="14"/>
        <v>-69424.32919882299</v>
      </c>
      <c r="AP15" s="45"/>
      <c r="AQ15" s="45"/>
      <c r="AR15" s="48"/>
      <c r="AS15" s="48"/>
      <c r="AT15" s="51">
        <f t="shared" si="23"/>
        <v>11</v>
      </c>
      <c r="AU15" s="49">
        <f t="shared" si="24"/>
        <v>0.66477212364193894</v>
      </c>
      <c r="AV15" s="49">
        <f t="shared" si="25"/>
        <v>5.2182876957057922E-2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486.315</v>
      </c>
      <c r="AX15" s="50">
        <f>IF(ISERROR(ROUND(MAX(0,1000*NPV($AT$2,$AV16:$AV$124)-$AW$2*($AU16+NPV($AT$2,$AU17:$AU$124)))/AU16,3)), 0, ROUND(MAX(0,1000*NPV($AT$2,$AV16:$AV$124)-$AW$2*($AU16+NPV($AT$2,$AU17:$AU$124)))/AU16,3))</f>
        <v>350.60199999999998</v>
      </c>
    </row>
    <row r="16" spans="1:54" ht="15" x14ac:dyDescent="0.25">
      <c r="A16" s="15"/>
      <c r="B16" s="19">
        <v>1</v>
      </c>
      <c r="C16" s="18">
        <v>0.3</v>
      </c>
      <c r="D16" s="1"/>
      <c r="E16" s="19" t="s">
        <v>69</v>
      </c>
      <c r="F16" s="7">
        <v>0.06</v>
      </c>
      <c r="G16" s="5"/>
      <c r="H16" s="1"/>
      <c r="I16" s="51">
        <v>12</v>
      </c>
      <c r="J16" s="41"/>
      <c r="K16" s="41" t="str">
        <f t="shared" si="26"/>
        <v/>
      </c>
      <c r="L16" s="42">
        <f t="shared" si="27"/>
        <v>25</v>
      </c>
      <c r="M16" s="41">
        <f t="shared" si="28"/>
        <v>2000000</v>
      </c>
      <c r="N16" s="43">
        <f t="shared" si="1"/>
        <v>386.11399999999998</v>
      </c>
      <c r="O16" s="44">
        <f t="shared" si="2"/>
        <v>516.41600000000005</v>
      </c>
      <c r="P16" s="41">
        <f t="shared" si="3"/>
        <v>772228</v>
      </c>
      <c r="Q16" s="41">
        <f t="shared" si="4"/>
        <v>1032832.0000000001</v>
      </c>
      <c r="R16" s="44"/>
      <c r="S16" s="44">
        <f>IF(I16&lt;&gt;"",_xlfn.XLOOKUP($D$4+I16,$A$26:$A$145,$B$26:$B$145,0) * 1000,"")</f>
        <v>88.383468295469598</v>
      </c>
      <c r="T16" s="52">
        <f t="shared" ref="T16:T80" si="29">$C$13</f>
        <v>0</v>
      </c>
      <c r="U16" s="53">
        <f t="shared" si="15"/>
        <v>0.61258924668488102</v>
      </c>
      <c r="V16" s="53">
        <f t="shared" si="16"/>
        <v>5.4142762262518788E-2</v>
      </c>
      <c r="W16" s="53">
        <f t="shared" si="17"/>
        <v>0</v>
      </c>
      <c r="X16" s="46">
        <f t="shared" si="5"/>
        <v>0.55844648442236222</v>
      </c>
      <c r="Y16" s="54"/>
      <c r="Z16" s="41">
        <f t="shared" si="18"/>
        <v>595822.67900311586</v>
      </c>
      <c r="AA16" s="41">
        <f t="shared" si="19"/>
        <v>12251.78493369762</v>
      </c>
      <c r="AB16" s="41">
        <f t="shared" si="6"/>
        <v>576781.39939891733</v>
      </c>
      <c r="AC16" s="41">
        <f t="shared" si="7"/>
        <v>11168.929688447244</v>
      </c>
      <c r="AD16" s="54"/>
      <c r="AE16" s="41">
        <f t="shared" si="8"/>
        <v>0</v>
      </c>
      <c r="AF16" s="41"/>
      <c r="AG16" s="41">
        <f t="shared" si="9"/>
        <v>-13.961162110559055</v>
      </c>
      <c r="AH16" s="41">
        <f t="shared" si="20"/>
        <v>-108285.52452503757</v>
      </c>
      <c r="AI16" s="41">
        <f t="shared" si="21"/>
        <v>0</v>
      </c>
      <c r="AJ16" s="41">
        <f t="shared" si="10"/>
        <v>-108299.48568714813</v>
      </c>
      <c r="AK16" s="41">
        <f t="shared" si="11"/>
        <v>19041.279604198528</v>
      </c>
      <c r="AL16" s="41">
        <f t="shared" si="22"/>
        <v>24322.978557472543</v>
      </c>
      <c r="AM16" s="41">
        <f t="shared" si="12"/>
        <v>-64935.227525477065</v>
      </c>
      <c r="AN16" s="41">
        <f t="shared" si="13"/>
        <v>1082.8552452503754</v>
      </c>
      <c r="AO16" s="41">
        <f t="shared" si="14"/>
        <v>-63852.372280226686</v>
      </c>
      <c r="AP16" s="45"/>
      <c r="AQ16" s="45"/>
      <c r="AR16" s="48"/>
      <c r="AS16" s="48"/>
      <c r="AT16" s="51">
        <f t="shared" si="23"/>
        <v>12</v>
      </c>
      <c r="AU16" s="49">
        <f t="shared" si="24"/>
        <v>0.61258924668488102</v>
      </c>
      <c r="AV16" s="49">
        <f t="shared" si="25"/>
        <v>5.4142762262518788E-2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516.41600000000005</v>
      </c>
      <c r="AX16" s="50">
        <f>IF(ISERROR(ROUND(MAX(0,1000*NPV($AT$2,$AV17:$AV$124)-$AW$2*($AU17+NPV($AT$2,$AU18:$AU$124)))/AU17,3)), 0, ROUND(MAX(0,1000*NPV($AT$2,$AV17:$AV$124)-$AW$2*($AU17+NPV($AT$2,$AU18:$AU$124)))/AU17,3))</f>
        <v>386.11399999999998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6"/>
        <v/>
      </c>
      <c r="L17" s="42">
        <f t="shared" si="27"/>
        <v>25</v>
      </c>
      <c r="M17" s="41">
        <f t="shared" si="28"/>
        <v>2000000</v>
      </c>
      <c r="N17" s="43">
        <f t="shared" si="1"/>
        <v>420.423</v>
      </c>
      <c r="O17" s="44">
        <f t="shared" si="2"/>
        <v>545.27700000000004</v>
      </c>
      <c r="P17" s="41">
        <f t="shared" si="3"/>
        <v>840846</v>
      </c>
      <c r="Q17" s="41">
        <f t="shared" si="4"/>
        <v>1090554</v>
      </c>
      <c r="R17" s="44"/>
      <c r="S17" s="44">
        <f>IF(I17&lt;&gt;"",_xlfn.XLOOKUP($D$4+I17,$A$26:$A$145,$B$26:$B$145,0) * 1000,"")</f>
        <v>99.367943057930106</v>
      </c>
      <c r="T17" s="52">
        <f t="shared" si="29"/>
        <v>0</v>
      </c>
      <c r="U17" s="53">
        <f t="shared" si="15"/>
        <v>0.55844648442236222</v>
      </c>
      <c r="V17" s="53">
        <f t="shared" si="16"/>
        <v>5.5491678464982541E-2</v>
      </c>
      <c r="W17" s="53">
        <f t="shared" si="17"/>
        <v>0</v>
      </c>
      <c r="X17" s="46">
        <f t="shared" si="5"/>
        <v>0.50295480595737962</v>
      </c>
      <c r="Y17" s="54"/>
      <c r="Z17" s="41">
        <f t="shared" si="18"/>
        <v>576781.39939891733</v>
      </c>
      <c r="AA17" s="41">
        <f t="shared" si="19"/>
        <v>11168.929688447244</v>
      </c>
      <c r="AB17" s="41">
        <f t="shared" si="6"/>
        <v>548499.37545604422</v>
      </c>
      <c r="AC17" s="41">
        <f t="shared" si="7"/>
        <v>10059.096119147593</v>
      </c>
      <c r="AD17" s="54"/>
      <c r="AE17" s="41">
        <f t="shared" si="8"/>
        <v>0</v>
      </c>
      <c r="AF17" s="41"/>
      <c r="AG17" s="41">
        <f t="shared" si="9"/>
        <v>-12.573870148934491</v>
      </c>
      <c r="AH17" s="41">
        <f t="shared" si="20"/>
        <v>-110983.35692996508</v>
      </c>
      <c r="AI17" s="41">
        <f t="shared" si="21"/>
        <v>0</v>
      </c>
      <c r="AJ17" s="41">
        <f t="shared" si="10"/>
        <v>-110995.93080011402</v>
      </c>
      <c r="AK17" s="41">
        <f t="shared" si="11"/>
        <v>28282.023942873115</v>
      </c>
      <c r="AL17" s="41">
        <f t="shared" si="22"/>
        <v>23518.013163494583</v>
      </c>
      <c r="AM17" s="41">
        <f t="shared" si="12"/>
        <v>-59195.893693746315</v>
      </c>
      <c r="AN17" s="41">
        <f t="shared" si="13"/>
        <v>1109.8335692996516</v>
      </c>
      <c r="AO17" s="41">
        <f t="shared" si="14"/>
        <v>-58086.060124446667</v>
      </c>
      <c r="AP17" s="45"/>
      <c r="AQ17" s="45"/>
      <c r="AR17" s="48"/>
      <c r="AS17" s="48"/>
      <c r="AT17" s="51">
        <f t="shared" si="23"/>
        <v>13</v>
      </c>
      <c r="AU17" s="49">
        <f t="shared" si="24"/>
        <v>0.55844648442236222</v>
      </c>
      <c r="AV17" s="49">
        <f t="shared" si="25"/>
        <v>5.5491678464982541E-2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545.27700000000004</v>
      </c>
      <c r="AX17" s="50">
        <f>IF(ISERROR(ROUND(MAX(0,1000*NPV($AT$2,$AV18:$AV$124)-$AW$2*($AU18+NPV($AT$2,$AU19:$AU$124)))/AU18,3)), 0, ROUND(MAX(0,1000*NPV($AT$2,$AV18:$AV$124)-$AW$2*($AU18+NPV($AT$2,$AU19:$AU$124)))/AU18,3))</f>
        <v>420.423</v>
      </c>
    </row>
    <row r="18" spans="1:50" ht="15" x14ac:dyDescent="0.25">
      <c r="A18" s="12" t="s">
        <v>10</v>
      </c>
      <c r="B18" s="14"/>
      <c r="C18" s="3"/>
      <c r="D18" s="1"/>
      <c r="E18" s="1" t="s">
        <v>74</v>
      </c>
      <c r="F18" s="61">
        <v>0.05</v>
      </c>
      <c r="G18" s="1"/>
      <c r="H18" s="1"/>
      <c r="I18" s="51">
        <v>14</v>
      </c>
      <c r="J18" s="41"/>
      <c r="K18" s="41" t="str">
        <f t="shared" si="26"/>
        <v/>
      </c>
      <c r="L18" s="42">
        <f t="shared" si="27"/>
        <v>25</v>
      </c>
      <c r="M18" s="41">
        <f t="shared" si="28"/>
        <v>2000000</v>
      </c>
      <c r="N18" s="43">
        <f t="shared" si="1"/>
        <v>453.43700000000001</v>
      </c>
      <c r="O18" s="44">
        <f t="shared" si="2"/>
        <v>572.84799999999996</v>
      </c>
      <c r="P18" s="41">
        <f t="shared" si="3"/>
        <v>906874</v>
      </c>
      <c r="Q18" s="41">
        <f t="shared" si="4"/>
        <v>1145696</v>
      </c>
      <c r="R18" s="44"/>
      <c r="S18" s="44">
        <f>IF(I18&lt;&gt;"",_xlfn.XLOOKUP($D$4+I18,$A$26:$A$145,$B$26:$B$145,0) * 1000,"")</f>
        <v>111.50506843921001</v>
      </c>
      <c r="T18" s="52">
        <f t="shared" si="29"/>
        <v>0</v>
      </c>
      <c r="U18" s="53">
        <f t="shared" si="15"/>
        <v>0.50295480595737962</v>
      </c>
      <c r="V18" s="53">
        <f t="shared" si="16"/>
        <v>5.6082010060107199E-2</v>
      </c>
      <c r="W18" s="53">
        <f t="shared" si="17"/>
        <v>0</v>
      </c>
      <c r="X18" s="46">
        <f t="shared" si="5"/>
        <v>0.44687279589727241</v>
      </c>
      <c r="Y18" s="54"/>
      <c r="Z18" s="41">
        <f t="shared" si="18"/>
        <v>548499.37545604422</v>
      </c>
      <c r="AA18" s="41">
        <f t="shared" si="19"/>
        <v>10059.096119147593</v>
      </c>
      <c r="AB18" s="41">
        <f t="shared" si="6"/>
        <v>511980.3747683214</v>
      </c>
      <c r="AC18" s="41">
        <f t="shared" si="7"/>
        <v>8937.4559179454482</v>
      </c>
      <c r="AD18" s="54"/>
      <c r="AE18" s="41">
        <f t="shared" si="8"/>
        <v>0</v>
      </c>
      <c r="AF18" s="41"/>
      <c r="AG18" s="41">
        <f t="shared" si="9"/>
        <v>-11.17181989743181</v>
      </c>
      <c r="AH18" s="41">
        <f t="shared" si="20"/>
        <v>-112164.02012021439</v>
      </c>
      <c r="AI18" s="41">
        <f t="shared" si="21"/>
        <v>0</v>
      </c>
      <c r="AJ18" s="41">
        <f t="shared" si="10"/>
        <v>-112175.19194011182</v>
      </c>
      <c r="AK18" s="41">
        <f t="shared" si="11"/>
        <v>36519.000687722815</v>
      </c>
      <c r="AL18" s="41">
        <f t="shared" si="22"/>
        <v>22342.338863007673</v>
      </c>
      <c r="AM18" s="41">
        <f t="shared" si="12"/>
        <v>-53313.852389381333</v>
      </c>
      <c r="AN18" s="41">
        <f t="shared" si="13"/>
        <v>1121.6402012021445</v>
      </c>
      <c r="AO18" s="41">
        <f t="shared" si="14"/>
        <v>-52192.21218817919</v>
      </c>
      <c r="AP18" s="45"/>
      <c r="AQ18" s="45"/>
      <c r="AR18" s="48"/>
      <c r="AS18" s="48"/>
      <c r="AT18" s="51">
        <f t="shared" si="23"/>
        <v>14</v>
      </c>
      <c r="AU18" s="49">
        <f t="shared" si="24"/>
        <v>0.50295480595737962</v>
      </c>
      <c r="AV18" s="49">
        <f t="shared" si="25"/>
        <v>5.6082010060107199E-2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572.84799999999996</v>
      </c>
      <c r="AX18" s="50">
        <f>IF(ISERROR(ROUND(MAX(0,1000*NPV($AT$2,$AV19:$AV$124)-$AW$2*($AU19+NPV($AT$2,$AU20:$AU$124)))/AU19,3)), 0, ROUND(MAX(0,1000*NPV($AT$2,$AV19:$AV$124)-$AW$2*($AU19+NPV($AT$2,$AU20:$AU$124)))/AU19,3))</f>
        <v>453.43700000000001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6"/>
        <v/>
      </c>
      <c r="L19" s="42">
        <f t="shared" si="27"/>
        <v>25</v>
      </c>
      <c r="M19" s="41">
        <f t="shared" si="28"/>
        <v>2000000</v>
      </c>
      <c r="N19" s="43">
        <f t="shared" si="1"/>
        <v>485.209</v>
      </c>
      <c r="O19" s="44">
        <f t="shared" si="2"/>
        <v>599.19100000000003</v>
      </c>
      <c r="P19" s="41">
        <f t="shared" si="3"/>
        <v>970418</v>
      </c>
      <c r="Q19" s="41">
        <f t="shared" si="4"/>
        <v>1198382</v>
      </c>
      <c r="R19" s="44"/>
      <c r="S19" s="44">
        <f>IF(I19&lt;&gt;"",_xlfn.XLOOKUP($D$4+I19,$A$26:$A$145,$B$26:$B$145,0) * 1000,"")</f>
        <v>124.648641040985</v>
      </c>
      <c r="T19" s="52">
        <f t="shared" si="29"/>
        <v>0</v>
      </c>
      <c r="U19" s="53">
        <f t="shared" si="15"/>
        <v>0.44687279589727241</v>
      </c>
      <c r="V19" s="53">
        <f t="shared" si="16"/>
        <v>5.5702086726780467E-2</v>
      </c>
      <c r="W19" s="53">
        <f t="shared" si="17"/>
        <v>0</v>
      </c>
      <c r="X19" s="46">
        <f t="shared" si="5"/>
        <v>0.39117070917049196</v>
      </c>
      <c r="Y19" s="54"/>
      <c r="Z19" s="41">
        <f t="shared" si="18"/>
        <v>511980.3747683214</v>
      </c>
      <c r="AA19" s="41">
        <f t="shared" si="19"/>
        <v>8937.4559179454482</v>
      </c>
      <c r="AB19" s="41">
        <f t="shared" si="6"/>
        <v>468771.93679715251</v>
      </c>
      <c r="AC19" s="41">
        <f t="shared" si="7"/>
        <v>7823.4141834098391</v>
      </c>
      <c r="AD19" s="54"/>
      <c r="AE19" s="41">
        <f t="shared" si="8"/>
        <v>0</v>
      </c>
      <c r="AF19" s="41"/>
      <c r="AG19" s="41">
        <f t="shared" si="9"/>
        <v>-9.7792677292622994</v>
      </c>
      <c r="AH19" s="41">
        <f t="shared" si="20"/>
        <v>-111404.17345356093</v>
      </c>
      <c r="AI19" s="41">
        <f t="shared" si="21"/>
        <v>0</v>
      </c>
      <c r="AJ19" s="41">
        <f t="shared" si="10"/>
        <v>-111413.95272129019</v>
      </c>
      <c r="AK19" s="41">
        <f t="shared" si="11"/>
        <v>43208.437971168896</v>
      </c>
      <c r="AL19" s="41">
        <f t="shared" si="22"/>
        <v>20836.713227450673</v>
      </c>
      <c r="AM19" s="41">
        <f t="shared" si="12"/>
        <v>-47368.801522670619</v>
      </c>
      <c r="AN19" s="41">
        <f t="shared" si="13"/>
        <v>1114.0417345356091</v>
      </c>
      <c r="AO19" s="41">
        <f t="shared" si="14"/>
        <v>-46254.759788135008</v>
      </c>
      <c r="AP19" s="45"/>
      <c r="AQ19" s="45"/>
      <c r="AR19" s="48"/>
      <c r="AS19" s="48"/>
      <c r="AT19" s="51">
        <f t="shared" si="23"/>
        <v>15</v>
      </c>
      <c r="AU19" s="49">
        <f t="shared" si="24"/>
        <v>0.44687279589727241</v>
      </c>
      <c r="AV19" s="49">
        <f t="shared" si="25"/>
        <v>5.5702086726780467E-2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599.19100000000003</v>
      </c>
      <c r="AX19" s="50">
        <f>IF(ISERROR(ROUND(MAX(0,1000*NPV($AT$2,$AV20:$AV$124)-$AW$2*($AU20+NPV($AT$2,$AU21:$AU$124)))/AU20,3)), 0, ROUND(MAX(0,1000*NPV($AT$2,$AV20:$AV$124)-$AW$2*($AU20+NPV($AT$2,$AU21:$AU$124)))/AU20,3))</f>
        <v>485.209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/>
      <c r="G20" s="1"/>
      <c r="H20" s="1"/>
      <c r="I20" s="51">
        <v>16</v>
      </c>
      <c r="J20" s="41"/>
      <c r="K20" s="41" t="str">
        <f t="shared" si="26"/>
        <v/>
      </c>
      <c r="L20" s="42">
        <f t="shared" si="27"/>
        <v>25</v>
      </c>
      <c r="M20" s="41">
        <f t="shared" si="28"/>
        <v>2000000</v>
      </c>
      <c r="N20" s="43">
        <f t="shared" si="1"/>
        <v>515.75900000000001</v>
      </c>
      <c r="O20" s="44">
        <f t="shared" si="2"/>
        <v>624.34299999999996</v>
      </c>
      <c r="P20" s="41">
        <f t="shared" si="3"/>
        <v>1031518</v>
      </c>
      <c r="Q20" s="41">
        <f t="shared" si="4"/>
        <v>1248686</v>
      </c>
      <c r="R20" s="44"/>
      <c r="S20" s="44">
        <f>IF(I20&lt;&gt;"",_xlfn.XLOOKUP($D$4+I20,$A$26:$A$145,$B$26:$B$145,0) * 1000,"")</f>
        <v>138.971594877288</v>
      </c>
      <c r="T20" s="52">
        <f t="shared" si="29"/>
        <v>0</v>
      </c>
      <c r="U20" s="53">
        <f t="shared" si="15"/>
        <v>0.39117070917049196</v>
      </c>
      <c r="V20" s="53">
        <f t="shared" si="16"/>
        <v>5.4361617322703053E-2</v>
      </c>
      <c r="W20" s="53">
        <f t="shared" si="17"/>
        <v>0</v>
      </c>
      <c r="X20" s="46">
        <f t="shared" si="5"/>
        <v>0.3368090918477889</v>
      </c>
      <c r="Y20" s="54"/>
      <c r="Z20" s="41">
        <f t="shared" si="18"/>
        <v>468771.93679715251</v>
      </c>
      <c r="AA20" s="41">
        <f t="shared" si="19"/>
        <v>7823.4141834098391</v>
      </c>
      <c r="AB20" s="41">
        <f t="shared" si="6"/>
        <v>420568.79766304814</v>
      </c>
      <c r="AC20" s="41">
        <f t="shared" si="7"/>
        <v>6736.1818369557777</v>
      </c>
      <c r="AD20" s="54"/>
      <c r="AE20" s="41">
        <f t="shared" si="8"/>
        <v>0</v>
      </c>
      <c r="AF20" s="41"/>
      <c r="AG20" s="41">
        <f t="shared" si="9"/>
        <v>-8.4202272961947227</v>
      </c>
      <c r="AH20" s="41">
        <f t="shared" si="20"/>
        <v>-108723.2346454061</v>
      </c>
      <c r="AI20" s="41">
        <f t="shared" si="21"/>
        <v>0</v>
      </c>
      <c r="AJ20" s="41">
        <f t="shared" si="10"/>
        <v>-108731.6548727023</v>
      </c>
      <c r="AK20" s="41">
        <f t="shared" si="11"/>
        <v>48203.139134104364</v>
      </c>
      <c r="AL20" s="41">
        <f t="shared" si="22"/>
        <v>19063.814039222492</v>
      </c>
      <c r="AM20" s="41">
        <f t="shared" si="12"/>
        <v>-41464.701699375451</v>
      </c>
      <c r="AN20" s="41">
        <f t="shared" si="13"/>
        <v>1087.2323464540614</v>
      </c>
      <c r="AO20" s="41">
        <f t="shared" si="14"/>
        <v>-40377.469352921391</v>
      </c>
      <c r="AP20" s="45"/>
      <c r="AQ20" s="45"/>
      <c r="AR20" s="48"/>
      <c r="AS20" s="48"/>
      <c r="AT20" s="51">
        <f t="shared" si="23"/>
        <v>16</v>
      </c>
      <c r="AU20" s="49">
        <f t="shared" si="24"/>
        <v>0.39117070917049196</v>
      </c>
      <c r="AV20" s="49">
        <f t="shared" si="25"/>
        <v>5.4361617322703053E-2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624.34299999999996</v>
      </c>
      <c r="AX20" s="50">
        <f>IF(ISERROR(ROUND(MAX(0,1000*NPV($AT$2,$AV21:$AV$124)-$AW$2*($AU21+NPV($AT$2,$AU22:$AU$124)))/AU21,3)), 0, ROUND(MAX(0,1000*NPV($AT$2,$AV21:$AV$124)-$AW$2*($AU21+NPV($AT$2,$AU22:$AU$124)))/AU21,3))</f>
        <v>515.75900000000001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6"/>
        <v/>
      </c>
      <c r="L21" s="42">
        <f t="shared" si="27"/>
        <v>25</v>
      </c>
      <c r="M21" s="41">
        <f t="shared" si="28"/>
        <v>2000000</v>
      </c>
      <c r="N21" s="43">
        <f t="shared" si="1"/>
        <v>544.93499999999995</v>
      </c>
      <c r="O21" s="44">
        <f t="shared" si="2"/>
        <v>648.202</v>
      </c>
      <c r="P21" s="41">
        <f t="shared" si="3"/>
        <v>1089870</v>
      </c>
      <c r="Q21" s="41">
        <f t="shared" si="4"/>
        <v>1296404</v>
      </c>
      <c r="R21" s="44"/>
      <c r="S21" s="44">
        <f>IF(I21&lt;&gt;"",_xlfn.XLOOKUP($D$4+I21,$A$26:$A$145,$B$26:$B$145,0) * 1000,"")</f>
        <v>154.92948997746402</v>
      </c>
      <c r="T21" s="52">
        <f t="shared" si="29"/>
        <v>0</v>
      </c>
      <c r="U21" s="53">
        <f t="shared" si="15"/>
        <v>0.3368090918477889</v>
      </c>
      <c r="V21" s="53">
        <f t="shared" si="16"/>
        <v>5.2181660819750765E-2</v>
      </c>
      <c r="W21" s="53">
        <f t="shared" si="17"/>
        <v>0</v>
      </c>
      <c r="X21" s="46">
        <f t="shared" si="5"/>
        <v>0.28462743102803811</v>
      </c>
      <c r="Y21" s="54"/>
      <c r="Z21" s="41">
        <f t="shared" si="18"/>
        <v>420568.79766304814</v>
      </c>
      <c r="AA21" s="41">
        <f t="shared" si="19"/>
        <v>6736.1818369557777</v>
      </c>
      <c r="AB21" s="41">
        <f t="shared" si="6"/>
        <v>368992.14009447274</v>
      </c>
      <c r="AC21" s="41">
        <f t="shared" si="7"/>
        <v>5692.5486205607622</v>
      </c>
      <c r="AD21" s="54"/>
      <c r="AE21" s="41">
        <f t="shared" si="8"/>
        <v>0</v>
      </c>
      <c r="AF21" s="41"/>
      <c r="AG21" s="41">
        <f t="shared" si="9"/>
        <v>-7.1156857757009533</v>
      </c>
      <c r="AH21" s="41">
        <f t="shared" si="20"/>
        <v>-104363.32163950153</v>
      </c>
      <c r="AI21" s="41">
        <f t="shared" si="21"/>
        <v>0</v>
      </c>
      <c r="AJ21" s="41">
        <f t="shared" si="10"/>
        <v>-104370.43732527723</v>
      </c>
      <c r="AK21" s="41">
        <f t="shared" si="11"/>
        <v>51576.657568575407</v>
      </c>
      <c r="AL21" s="41">
        <f t="shared" si="22"/>
        <v>17092.199180000156</v>
      </c>
      <c r="AM21" s="41">
        <f t="shared" si="12"/>
        <v>-35701.580576701672</v>
      </c>
      <c r="AN21" s="41">
        <f t="shared" si="13"/>
        <v>1043.6332163950156</v>
      </c>
      <c r="AO21" s="41">
        <f t="shared" si="14"/>
        <v>-34657.947360306658</v>
      </c>
      <c r="AP21" s="45"/>
      <c r="AQ21" s="45"/>
      <c r="AR21" s="48"/>
      <c r="AS21" s="48"/>
      <c r="AT21" s="51">
        <f t="shared" si="23"/>
        <v>17</v>
      </c>
      <c r="AU21" s="49">
        <f t="shared" si="24"/>
        <v>0.3368090918477889</v>
      </c>
      <c r="AV21" s="49">
        <f t="shared" si="25"/>
        <v>5.2181660819750765E-2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648.202</v>
      </c>
      <c r="AX21" s="50">
        <f>IF(ISERROR(ROUND(MAX(0,1000*NPV($AT$2,$AV22:$AV$124)-$AW$2*($AU22+NPV($AT$2,$AU23:$AU$124)))/AU22,3)), 0, ROUND(MAX(0,1000*NPV($AT$2,$AV22:$AV$124)-$AW$2*($AU22+NPV($AT$2,$AU23:$AU$124)))/AU22,3))</f>
        <v>544.93499999999995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6"/>
        <v/>
      </c>
      <c r="L22" s="42">
        <f t="shared" si="27"/>
        <v>25</v>
      </c>
      <c r="M22" s="41">
        <f t="shared" si="28"/>
        <v>2000000</v>
      </c>
      <c r="N22" s="43">
        <f t="shared" si="1"/>
        <v>572.56200000000001</v>
      </c>
      <c r="O22" s="44">
        <f t="shared" si="2"/>
        <v>670.65300000000002</v>
      </c>
      <c r="P22" s="41">
        <f t="shared" si="3"/>
        <v>1145124</v>
      </c>
      <c r="Q22" s="41">
        <f t="shared" si="4"/>
        <v>1341306</v>
      </c>
      <c r="R22" s="44"/>
      <c r="S22" s="44">
        <f>IF(I22&lt;&gt;"",_xlfn.XLOOKUP($D$4+I22,$A$26:$A$145,$B$26:$B$145,0) * 1000,"")</f>
        <v>172.663864433931</v>
      </c>
      <c r="T22" s="52">
        <f t="shared" si="29"/>
        <v>0</v>
      </c>
      <c r="U22" s="53">
        <f t="shared" si="15"/>
        <v>0.28462743102803811</v>
      </c>
      <c r="V22" s="53">
        <f t="shared" si="16"/>
        <v>4.9144872165203218E-2</v>
      </c>
      <c r="W22" s="53">
        <f t="shared" si="17"/>
        <v>0</v>
      </c>
      <c r="X22" s="46">
        <f t="shared" si="5"/>
        <v>0.2354825588628349</v>
      </c>
      <c r="Y22" s="54"/>
      <c r="Z22" s="41">
        <f t="shared" si="18"/>
        <v>368992.14009447274</v>
      </c>
      <c r="AA22" s="41">
        <f t="shared" si="19"/>
        <v>5692.5486205607622</v>
      </c>
      <c r="AB22" s="41">
        <f t="shared" si="6"/>
        <v>315854.16909807362</v>
      </c>
      <c r="AC22" s="41">
        <f t="shared" si="7"/>
        <v>4709.6511772566982</v>
      </c>
      <c r="AD22" s="54"/>
      <c r="AE22" s="41">
        <f t="shared" si="8"/>
        <v>0</v>
      </c>
      <c r="AF22" s="41"/>
      <c r="AG22" s="41">
        <f t="shared" si="9"/>
        <v>-5.8870639715708721</v>
      </c>
      <c r="AH22" s="41">
        <f t="shared" si="20"/>
        <v>-98289.744330406436</v>
      </c>
      <c r="AI22" s="41">
        <f t="shared" si="21"/>
        <v>0</v>
      </c>
      <c r="AJ22" s="41">
        <f t="shared" si="10"/>
        <v>-98295.631394378011</v>
      </c>
      <c r="AK22" s="41">
        <f t="shared" si="11"/>
        <v>53137.970996399119</v>
      </c>
      <c r="AL22" s="41">
        <f t="shared" si="22"/>
        <v>14987.387548601342</v>
      </c>
      <c r="AM22" s="41">
        <f t="shared" si="12"/>
        <v>-30170.27284937755</v>
      </c>
      <c r="AN22" s="41">
        <f t="shared" si="13"/>
        <v>982.89744330406393</v>
      </c>
      <c r="AO22" s="41">
        <f t="shared" si="14"/>
        <v>-29187.375406073486</v>
      </c>
      <c r="AP22" s="45"/>
      <c r="AQ22" s="45"/>
      <c r="AR22" s="48"/>
      <c r="AS22" s="48"/>
      <c r="AT22" s="51">
        <f t="shared" si="23"/>
        <v>18</v>
      </c>
      <c r="AU22" s="49">
        <f t="shared" si="24"/>
        <v>0.28462743102803811</v>
      </c>
      <c r="AV22" s="49">
        <f t="shared" si="25"/>
        <v>4.9144872165203218E-2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670.65300000000002</v>
      </c>
      <c r="AX22" s="50">
        <f>IF(ISERROR(ROUND(MAX(0,1000*NPV($AT$2,$AV23:$AV$124)-$AW$2*($AU23+NPV($AT$2,$AU24:$AU$124)))/AU23,3)), 0, ROUND(MAX(0,1000*NPV($AT$2,$AV23:$AV$124)-$AW$2*($AU23+NPV($AT$2,$AU24:$AU$124)))/AU23,3))</f>
        <v>572.56200000000001</v>
      </c>
    </row>
    <row r="23" spans="1:50" ht="15" x14ac:dyDescent="0.25">
      <c r="B23" s="1"/>
      <c r="C23" s="1"/>
      <c r="D23" s="1"/>
      <c r="F23" s="1"/>
      <c r="G23" s="1"/>
      <c r="H23" s="1"/>
      <c r="I23" s="51">
        <v>19</v>
      </c>
      <c r="J23" s="41"/>
      <c r="K23" s="41" t="str">
        <f t="shared" si="26"/>
        <v/>
      </c>
      <c r="L23" s="42">
        <f t="shared" si="27"/>
        <v>25</v>
      </c>
      <c r="M23" s="41">
        <f t="shared" si="28"/>
        <v>2000000</v>
      </c>
      <c r="N23" s="43">
        <f t="shared" si="1"/>
        <v>598.36900000000003</v>
      </c>
      <c r="O23" s="44">
        <f t="shared" si="2"/>
        <v>691.51099999999997</v>
      </c>
      <c r="P23" s="41">
        <f t="shared" si="3"/>
        <v>1196738</v>
      </c>
      <c r="Q23" s="41">
        <f t="shared" si="4"/>
        <v>1383022</v>
      </c>
      <c r="R23" s="44"/>
      <c r="S23" s="44">
        <f>IF(I23&lt;&gt;"",_xlfn.XLOOKUP($D$4+I23,$A$26:$A$145,$B$26:$B$145,0) * 1000,"")</f>
        <v>192.415162054977</v>
      </c>
      <c r="T23" s="52">
        <f t="shared" si="29"/>
        <v>0</v>
      </c>
      <c r="U23" s="53">
        <f t="shared" si="15"/>
        <v>0.2354825588628349</v>
      </c>
      <c r="V23" s="53">
        <f t="shared" si="16"/>
        <v>4.5310414724713033E-2</v>
      </c>
      <c r="W23" s="53">
        <f t="shared" si="17"/>
        <v>0</v>
      </c>
      <c r="X23" s="46">
        <f t="shared" si="5"/>
        <v>0.19017214413812186</v>
      </c>
      <c r="Y23" s="54"/>
      <c r="Z23" s="41">
        <f t="shared" si="18"/>
        <v>315854.16909807362</v>
      </c>
      <c r="AA23" s="41">
        <f t="shared" si="19"/>
        <v>4709.6511772566982</v>
      </c>
      <c r="AB23" s="41">
        <f t="shared" si="6"/>
        <v>263012.25913019356</v>
      </c>
      <c r="AC23" s="41">
        <f t="shared" si="7"/>
        <v>3803.4428827624374</v>
      </c>
      <c r="AD23" s="54"/>
      <c r="AE23" s="41">
        <f t="shared" si="8"/>
        <v>0</v>
      </c>
      <c r="AF23" s="41"/>
      <c r="AG23" s="41">
        <f t="shared" si="9"/>
        <v>-4.7543036034530468</v>
      </c>
      <c r="AH23" s="41">
        <f t="shared" si="20"/>
        <v>-90620.829449426063</v>
      </c>
      <c r="AI23" s="41">
        <f t="shared" si="21"/>
        <v>0</v>
      </c>
      <c r="AJ23" s="41">
        <f t="shared" si="10"/>
        <v>-90625.58375302951</v>
      </c>
      <c r="AK23" s="41">
        <f t="shared" si="11"/>
        <v>52841.909967880056</v>
      </c>
      <c r="AL23" s="41">
        <f t="shared" si="22"/>
        <v>12822.552811013215</v>
      </c>
      <c r="AM23" s="41">
        <f t="shared" si="12"/>
        <v>-24961.12097413624</v>
      </c>
      <c r="AN23" s="41">
        <f t="shared" si="13"/>
        <v>906.20829449426083</v>
      </c>
      <c r="AO23" s="41">
        <f t="shared" si="14"/>
        <v>-24054.912679641981</v>
      </c>
      <c r="AP23" s="45"/>
      <c r="AQ23" s="45"/>
      <c r="AR23" s="48"/>
      <c r="AS23" s="48"/>
      <c r="AT23" s="51">
        <f t="shared" si="23"/>
        <v>19</v>
      </c>
      <c r="AU23" s="49">
        <f t="shared" si="24"/>
        <v>0.2354825588628349</v>
      </c>
      <c r="AV23" s="49">
        <f t="shared" si="25"/>
        <v>4.5310414724713033E-2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691.51099999999997</v>
      </c>
      <c r="AX23" s="50">
        <f>IF(ISERROR(ROUND(MAX(0,1000*NPV($AT$2,$AV24:$AV$124)-$AW$2*($AU24+NPV($AT$2,$AU25:$AU$124)))/AU24,3)), 0, ROUND(MAX(0,1000*NPV($AT$2,$AV24:$AV$124)-$AW$2*($AU24+NPV($AT$2,$AU25:$AU$124)))/AU24,3))</f>
        <v>598.36900000000003</v>
      </c>
    </row>
    <row r="24" spans="1:50" ht="15" x14ac:dyDescent="0.25">
      <c r="A24" t="s">
        <v>64</v>
      </c>
      <c r="B24" s="1"/>
      <c r="C24" s="1"/>
      <c r="D24" s="1"/>
      <c r="E24" t="s">
        <v>70</v>
      </c>
      <c r="F24" s="1"/>
      <c r="G24" s="1"/>
      <c r="H24" s="1"/>
      <c r="I24" s="51">
        <v>20</v>
      </c>
      <c r="J24" s="41"/>
      <c r="K24" s="41" t="str">
        <f t="shared" si="26"/>
        <v/>
      </c>
      <c r="L24" s="42">
        <f t="shared" si="27"/>
        <v>25</v>
      </c>
      <c r="M24" s="41">
        <f t="shared" si="28"/>
        <v>2000000</v>
      </c>
      <c r="N24" s="43">
        <f t="shared" si="1"/>
        <v>622.40499999999997</v>
      </c>
      <c r="O24" s="44">
        <f t="shared" si="2"/>
        <v>710.83699999999999</v>
      </c>
      <c r="P24" s="41">
        <f t="shared" si="3"/>
        <v>1244810</v>
      </c>
      <c r="Q24" s="41">
        <f t="shared" si="4"/>
        <v>1421674</v>
      </c>
      <c r="R24" s="44"/>
      <c r="S24" s="44">
        <f>IF(I24&lt;&gt;"",_xlfn.XLOOKUP($D$4+I24,$A$26:$A$145,$B$26:$B$145,0) * 1000,"")</f>
        <v>213.455897010119</v>
      </c>
      <c r="T24" s="52">
        <f t="shared" si="29"/>
        <v>0</v>
      </c>
      <c r="U24" s="53">
        <f t="shared" si="15"/>
        <v>0.19017214413812186</v>
      </c>
      <c r="V24" s="53">
        <f t="shared" si="16"/>
        <v>4.0593365613340447E-2</v>
      </c>
      <c r="W24" s="53">
        <f t="shared" si="17"/>
        <v>0</v>
      </c>
      <c r="X24" s="46">
        <f t="shared" si="5"/>
        <v>0.14957877852478141</v>
      </c>
      <c r="Y24" s="54"/>
      <c r="Z24" s="41">
        <f t="shared" si="18"/>
        <v>263012.25913019356</v>
      </c>
      <c r="AA24" s="41">
        <f t="shared" si="19"/>
        <v>3803.4428827624374</v>
      </c>
      <c r="AB24" s="41">
        <f t="shared" si="6"/>
        <v>212652.26038044007</v>
      </c>
      <c r="AC24" s="41">
        <f t="shared" si="7"/>
        <v>2991.5755704956282</v>
      </c>
      <c r="AD24" s="54"/>
      <c r="AE24" s="41">
        <f t="shared" si="8"/>
        <v>0</v>
      </c>
      <c r="AF24" s="41"/>
      <c r="AG24" s="41">
        <f t="shared" si="9"/>
        <v>-3.7394694631195353</v>
      </c>
      <c r="AH24" s="41">
        <f t="shared" si="20"/>
        <v>-81186.731226680888</v>
      </c>
      <c r="AI24" s="41">
        <f t="shared" si="21"/>
        <v>0</v>
      </c>
      <c r="AJ24" s="41">
        <f t="shared" si="10"/>
        <v>-81190.47069614401</v>
      </c>
      <c r="AK24" s="41">
        <f t="shared" si="11"/>
        <v>50359.998749753489</v>
      </c>
      <c r="AL24" s="41">
        <f t="shared" si="22"/>
        <v>10672.628080518241</v>
      </c>
      <c r="AM24" s="41">
        <f t="shared" si="12"/>
        <v>-20157.843865872281</v>
      </c>
      <c r="AN24" s="41">
        <f t="shared" si="13"/>
        <v>811.86731226680922</v>
      </c>
      <c r="AO24" s="41">
        <f t="shared" si="14"/>
        <v>-19345.976553605473</v>
      </c>
      <c r="AP24" s="45"/>
      <c r="AQ24" s="45"/>
      <c r="AR24" s="48"/>
      <c r="AS24" s="48"/>
      <c r="AT24" s="51">
        <f t="shared" si="23"/>
        <v>20</v>
      </c>
      <c r="AU24" s="49">
        <f t="shared" si="24"/>
        <v>0.19017214413812186</v>
      </c>
      <c r="AV24" s="49">
        <f t="shared" si="25"/>
        <v>4.0593365613340447E-2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710.83699999999999</v>
      </c>
      <c r="AX24" s="50">
        <f>IF(ISERROR(ROUND(MAX(0,1000*NPV($AT$2,$AV25:$AV$124)-$AW$2*($AU25+NPV($AT$2,$AU26:$AU$124)))/AU25,3)), 0, ROUND(MAX(0,1000*NPV($AT$2,$AV25:$AV$124)-$AW$2*($AU25+NPV($AT$2,$AU26:$AU$124)))/AU25,3))</f>
        <v>622.40499999999997</v>
      </c>
    </row>
    <row r="25" spans="1:50" ht="15" x14ac:dyDescent="0.25">
      <c r="A25" t="s">
        <v>65</v>
      </c>
      <c r="B25" t="s">
        <v>76</v>
      </c>
      <c r="C25" t="s">
        <v>73</v>
      </c>
      <c r="D25" s="60">
        <v>35</v>
      </c>
      <c r="E25" s="5">
        <v>855301.54275560682</v>
      </c>
      <c r="F25" s="5">
        <v>25659.08295283257</v>
      </c>
      <c r="G25" s="5"/>
      <c r="H25" s="4"/>
      <c r="I25" s="51">
        <v>21</v>
      </c>
      <c r="J25" s="41"/>
      <c r="K25" s="41" t="str">
        <f t="shared" si="26"/>
        <v/>
      </c>
      <c r="L25" s="42">
        <f t="shared" si="27"/>
        <v>25</v>
      </c>
      <c r="M25" s="41">
        <f t="shared" si="28"/>
        <v>2000000</v>
      </c>
      <c r="N25" s="43">
        <f t="shared" si="1"/>
        <v>645.02200000000005</v>
      </c>
      <c r="O25" s="44">
        <f t="shared" si="2"/>
        <v>728.92700000000002</v>
      </c>
      <c r="P25" s="41">
        <f t="shared" si="3"/>
        <v>1290044</v>
      </c>
      <c r="Q25" s="41">
        <f t="shared" si="4"/>
        <v>1457854</v>
      </c>
      <c r="R25" s="44"/>
      <c r="S25" s="44">
        <f>IF(I25&lt;&gt;"",_xlfn.XLOOKUP($D$4+I25,$A$26:$A$145,$B$26:$B$145,0) * 1000,"")</f>
        <v>235.114227923437</v>
      </c>
      <c r="T25" s="52">
        <f t="shared" si="29"/>
        <v>0</v>
      </c>
      <c r="U25" s="53">
        <f t="shared" si="15"/>
        <v>0.14957877852478141</v>
      </c>
      <c r="V25" s="53">
        <f t="shared" si="16"/>
        <v>3.5168099026584763E-2</v>
      </c>
      <c r="W25" s="53">
        <f t="shared" si="17"/>
        <v>0</v>
      </c>
      <c r="X25" s="46">
        <f t="shared" si="5"/>
        <v>0.11441067949819664</v>
      </c>
      <c r="Y25" s="54"/>
      <c r="Z25" s="41">
        <f t="shared" si="18"/>
        <v>212652.26038044007</v>
      </c>
      <c r="AA25" s="41">
        <f t="shared" si="19"/>
        <v>2991.5755704956282</v>
      </c>
      <c r="AB25" s="41">
        <f t="shared" si="6"/>
        <v>166794.06674916396</v>
      </c>
      <c r="AC25" s="41">
        <f t="shared" si="7"/>
        <v>2288.2135899639329</v>
      </c>
      <c r="AD25" s="54"/>
      <c r="AE25" s="41">
        <f t="shared" si="8"/>
        <v>0</v>
      </c>
      <c r="AF25" s="41"/>
      <c r="AG25" s="41">
        <f t="shared" si="9"/>
        <v>-2.8602669874549158</v>
      </c>
      <c r="AH25" s="41">
        <f t="shared" si="20"/>
        <v>-70336.19805316953</v>
      </c>
      <c r="AI25" s="41">
        <f t="shared" si="21"/>
        <v>0</v>
      </c>
      <c r="AJ25" s="41">
        <f t="shared" si="10"/>
        <v>-70339.058320156983</v>
      </c>
      <c r="AK25" s="41">
        <f t="shared" si="11"/>
        <v>45858.19363127611</v>
      </c>
      <c r="AL25" s="41">
        <f t="shared" si="22"/>
        <v>8625.7534380374273</v>
      </c>
      <c r="AM25" s="41">
        <f t="shared" si="12"/>
        <v>-15855.111250843445</v>
      </c>
      <c r="AN25" s="41">
        <f t="shared" si="13"/>
        <v>703.36198053169528</v>
      </c>
      <c r="AO25" s="41">
        <f t="shared" si="14"/>
        <v>-15151.74927031175</v>
      </c>
      <c r="AP25" s="45"/>
      <c r="AQ25" s="55"/>
      <c r="AR25" s="48"/>
      <c r="AS25" s="48"/>
      <c r="AT25" s="51">
        <f>AT24+1</f>
        <v>21</v>
      </c>
      <c r="AU25" s="49">
        <f t="shared" si="24"/>
        <v>0.14957877852478141</v>
      </c>
      <c r="AV25" s="49">
        <f t="shared" si="25"/>
        <v>3.5168099026584763E-2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728.92700000000002</v>
      </c>
      <c r="AX25" s="50">
        <f>IF(ISERROR(ROUND(MAX(0,1000*NPV($AT$2,$AV26:$AV$124)-$AW$2*($AU26+NPV($AT$2,$AU27:$AU$124)))/AU26,3)), 0, ROUND(MAX(0,1000*NPV($AT$2,$AV26:$AV$124)-$AW$2*($AU26+NPV($AT$2,$AU27:$AU$124)))/AU26,3))</f>
        <v>645.02200000000005</v>
      </c>
    </row>
    <row r="26" spans="1:50" ht="15" x14ac:dyDescent="0.25">
      <c r="A26">
        <v>1</v>
      </c>
      <c r="B26">
        <v>8.5034909865215908E-3</v>
      </c>
      <c r="C26">
        <f>B26*(1-$F$16)</f>
        <v>7.9932815273302954E-3</v>
      </c>
      <c r="D26" s="60">
        <v>36</v>
      </c>
      <c r="E26" s="5">
        <v>884838.63070686266</v>
      </c>
      <c r="F26" s="5">
        <v>26545.164044338162</v>
      </c>
      <c r="G26" s="8"/>
      <c r="H26" s="4"/>
      <c r="I26" s="51">
        <v>22</v>
      </c>
      <c r="J26" s="41"/>
      <c r="K26" s="41" t="str">
        <f t="shared" si="26"/>
        <v/>
      </c>
      <c r="L26" s="42">
        <f t="shared" si="27"/>
        <v>25</v>
      </c>
      <c r="M26" s="41">
        <f t="shared" si="28"/>
        <v>2000000</v>
      </c>
      <c r="N26" s="43">
        <f t="shared" si="1"/>
        <v>666.21600000000001</v>
      </c>
      <c r="O26" s="44">
        <f t="shared" si="2"/>
        <v>745.79399999999998</v>
      </c>
      <c r="P26" s="41">
        <f t="shared" si="3"/>
        <v>1332432</v>
      </c>
      <c r="Q26" s="41">
        <f t="shared" si="4"/>
        <v>1491588</v>
      </c>
      <c r="R26" s="44"/>
      <c r="S26" s="44">
        <f>IF(I26&lt;&gt;"",_xlfn.XLOOKUP($D$4+I26,$A$26:$A$145,$B$26:$B$145,0) * 1000,"")</f>
        <v>258.373274024495</v>
      </c>
      <c r="T26" s="52">
        <f t="shared" si="29"/>
        <v>0</v>
      </c>
      <c r="U26" s="53">
        <f t="shared" si="15"/>
        <v>0.11441067949819664</v>
      </c>
      <c r="V26" s="53">
        <f t="shared" si="16"/>
        <v>2.9560661845316232E-2</v>
      </c>
      <c r="W26" s="53">
        <f t="shared" si="17"/>
        <v>0</v>
      </c>
      <c r="X26" s="46">
        <f t="shared" si="5"/>
        <v>8.4850017652880402E-2</v>
      </c>
      <c r="Y26" s="54"/>
      <c r="Z26" s="41">
        <f t="shared" si="18"/>
        <v>166794.06674916396</v>
      </c>
      <c r="AA26" s="41">
        <f t="shared" si="19"/>
        <v>2288.2135899639329</v>
      </c>
      <c r="AB26" s="41">
        <f t="shared" si="6"/>
        <v>126561.26813082457</v>
      </c>
      <c r="AC26" s="41">
        <f t="shared" si="7"/>
        <v>1697.000353057608</v>
      </c>
      <c r="AD26" s="54"/>
      <c r="AE26" s="41">
        <f t="shared" si="8"/>
        <v>0</v>
      </c>
      <c r="AF26" s="41"/>
      <c r="AG26" s="41">
        <f t="shared" si="9"/>
        <v>-2.1212504413220099</v>
      </c>
      <c r="AH26" s="41">
        <f t="shared" si="20"/>
        <v>-59121.323690632467</v>
      </c>
      <c r="AI26" s="41">
        <f t="shared" si="21"/>
        <v>0</v>
      </c>
      <c r="AJ26" s="41">
        <f t="shared" si="10"/>
        <v>-59123.444941073787</v>
      </c>
      <c r="AK26" s="41">
        <f t="shared" si="11"/>
        <v>40232.798618339395</v>
      </c>
      <c r="AL26" s="41">
        <f t="shared" si="22"/>
        <v>6763.2912135651159</v>
      </c>
      <c r="AM26" s="41">
        <f t="shared" si="12"/>
        <v>-12127.355109169275</v>
      </c>
      <c r="AN26" s="41">
        <f t="shared" si="13"/>
        <v>591.21323690632494</v>
      </c>
      <c r="AO26" s="41">
        <f t="shared" si="14"/>
        <v>-11536.14187226295</v>
      </c>
      <c r="AP26" s="45"/>
      <c r="AQ26" s="55"/>
      <c r="AR26" s="48"/>
      <c r="AS26" s="48"/>
      <c r="AT26" s="51">
        <f t="shared" si="23"/>
        <v>22</v>
      </c>
      <c r="AU26" s="49">
        <f t="shared" si="24"/>
        <v>0.11441067949819664</v>
      </c>
      <c r="AV26" s="49">
        <f t="shared" si="25"/>
        <v>2.9560661845316232E-2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745.79399999999998</v>
      </c>
      <c r="AX26" s="50">
        <f>IF(ISERROR(ROUND(MAX(0,1000*NPV($AT$2,$AV27:$AV$124)-$AW$2*($AU27+NPV($AT$2,$AU28:$AU$124)))/AU27,3)), 0, ROUND(MAX(0,1000*NPV($AT$2,$AV27:$AV$124)-$AW$2*($AU27+NPV($AT$2,$AU28:$AU$124)))/AU27,3))</f>
        <v>666.21600000000001</v>
      </c>
    </row>
    <row r="27" spans="1:50" ht="15" x14ac:dyDescent="0.25">
      <c r="A27">
        <v>2</v>
      </c>
      <c r="B27">
        <v>8.1050477664701404E-4</v>
      </c>
      <c r="C27">
        <f t="shared" ref="C27:C90" si="30">B27*(1-$F$16)</f>
        <v>7.6187449004819316E-4</v>
      </c>
      <c r="D27" s="60">
        <v>37</v>
      </c>
      <c r="E27" s="5">
        <v>915158.31415788713</v>
      </c>
      <c r="F27" s="5">
        <v>27454.754620557767</v>
      </c>
      <c r="G27" s="8"/>
      <c r="H27" s="4"/>
      <c r="I27" s="51">
        <v>23</v>
      </c>
      <c r="J27" s="41"/>
      <c r="K27" s="41" t="str">
        <f t="shared" si="26"/>
        <v/>
      </c>
      <c r="L27" s="42">
        <f t="shared" si="27"/>
        <v>25</v>
      </c>
      <c r="M27" s="41">
        <f t="shared" si="28"/>
        <v>2000000</v>
      </c>
      <c r="N27" s="43">
        <f t="shared" si="1"/>
        <v>686.06100000000004</v>
      </c>
      <c r="O27" s="44">
        <f t="shared" si="2"/>
        <v>761.50900000000001</v>
      </c>
      <c r="P27" s="41">
        <f t="shared" si="3"/>
        <v>1372122</v>
      </c>
      <c r="Q27" s="41">
        <f t="shared" si="4"/>
        <v>1523018</v>
      </c>
      <c r="R27" s="44"/>
      <c r="S27" s="44">
        <f>IF(I27&lt;&gt;"",_xlfn.XLOOKUP($D$4+I27,$A$26:$A$145,$B$26:$B$145,0) * 1000,"")</f>
        <v>283.05409642479799</v>
      </c>
      <c r="T27" s="52">
        <f t="shared" si="29"/>
        <v>0</v>
      </c>
      <c r="U27" s="53">
        <f t="shared" si="15"/>
        <v>8.4850017652880402E-2</v>
      </c>
      <c r="V27" s="53">
        <f t="shared" si="16"/>
        <v>2.4017145078364218E-2</v>
      </c>
      <c r="W27" s="53">
        <f t="shared" si="17"/>
        <v>0</v>
      </c>
      <c r="X27" s="46">
        <f t="shared" si="5"/>
        <v>6.0832872574516181E-2</v>
      </c>
      <c r="Y27" s="54"/>
      <c r="Z27" s="41">
        <f t="shared" si="18"/>
        <v>126561.26813082457</v>
      </c>
      <c r="AA27" s="41">
        <f t="shared" si="19"/>
        <v>1697.000353057608</v>
      </c>
      <c r="AB27" s="41">
        <f t="shared" si="6"/>
        <v>92649.559922694491</v>
      </c>
      <c r="AC27" s="41">
        <f t="shared" si="7"/>
        <v>1216.6574514903236</v>
      </c>
      <c r="AD27" s="54"/>
      <c r="AE27" s="41">
        <f t="shared" si="8"/>
        <v>0</v>
      </c>
      <c r="AF27" s="41"/>
      <c r="AG27" s="41">
        <f t="shared" si="9"/>
        <v>-1.5208218143629044</v>
      </c>
      <c r="AH27" s="41">
        <f t="shared" si="20"/>
        <v>-48034.290156728435</v>
      </c>
      <c r="AI27" s="41">
        <f t="shared" si="21"/>
        <v>0</v>
      </c>
      <c r="AJ27" s="41">
        <f t="shared" si="10"/>
        <v>-48035.810978542795</v>
      </c>
      <c r="AK27" s="41">
        <f t="shared" si="11"/>
        <v>33911.708208130076</v>
      </c>
      <c r="AL27" s="41">
        <f t="shared" si="22"/>
        <v>5130.3307393552868</v>
      </c>
      <c r="AM27" s="41">
        <f t="shared" si="12"/>
        <v>-8993.7720310574332</v>
      </c>
      <c r="AN27" s="41">
        <f t="shared" si="13"/>
        <v>480.34290156728434</v>
      </c>
      <c r="AO27" s="41">
        <f t="shared" si="14"/>
        <v>-8513.4291294901486</v>
      </c>
      <c r="AP27" s="45"/>
      <c r="AQ27" s="55"/>
      <c r="AR27" s="48"/>
      <c r="AS27" s="48"/>
      <c r="AT27" s="51">
        <f t="shared" si="23"/>
        <v>23</v>
      </c>
      <c r="AU27" s="49">
        <f t="shared" si="24"/>
        <v>8.4850017652880402E-2</v>
      </c>
      <c r="AV27" s="49">
        <f t="shared" si="25"/>
        <v>2.4017145078364218E-2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761.50900000000001</v>
      </c>
      <c r="AX27" s="50">
        <f>IF(ISERROR(ROUND(MAX(0,1000*NPV($AT$2,$AV28:$AV$124)-$AW$2*($AU28+NPV($AT$2,$AU29:$AU$124)))/AU28,3)), 0, ROUND(MAX(0,1000*NPV($AT$2,$AV28:$AV$124)-$AW$2*($AU28+NPV($AT$2,$AU29:$AU$124)))/AU28,3))</f>
        <v>686.06100000000004</v>
      </c>
    </row>
    <row r="28" spans="1:50" ht="15" x14ac:dyDescent="0.25">
      <c r="A28">
        <v>3</v>
      </c>
      <c r="B28">
        <v>5.7730039552461598E-4</v>
      </c>
      <c r="C28">
        <f t="shared" si="30"/>
        <v>5.4266237179313899E-4</v>
      </c>
      <c r="D28" s="60">
        <v>38</v>
      </c>
      <c r="E28" s="5">
        <v>946241.19787041342</v>
      </c>
      <c r="F28" s="5">
        <v>28387.241187740525</v>
      </c>
      <c r="G28" s="8"/>
      <c r="H28" s="4"/>
      <c r="I28" s="51">
        <v>24</v>
      </c>
      <c r="J28" s="41"/>
      <c r="K28" s="41" t="str">
        <f t="shared" si="26"/>
        <v/>
      </c>
      <c r="L28" s="42">
        <f t="shared" si="27"/>
        <v>25</v>
      </c>
      <c r="M28" s="41">
        <f t="shared" si="28"/>
        <v>2000000</v>
      </c>
      <c r="N28" s="43">
        <f t="shared" si="1"/>
        <v>704.40899999999999</v>
      </c>
      <c r="O28" s="44">
        <f t="shared" si="2"/>
        <v>775.97500000000002</v>
      </c>
      <c r="P28" s="41">
        <f t="shared" si="3"/>
        <v>1408818</v>
      </c>
      <c r="Q28" s="41">
        <f t="shared" si="4"/>
        <v>1551950</v>
      </c>
      <c r="R28" s="44"/>
      <c r="S28" s="44">
        <f>IF(I28&lt;&gt;"",_xlfn.XLOOKUP($D$4+I28,$A$26:$A$145,$B$26:$B$145,0) * 1000,"")</f>
        <v>309.71449474048404</v>
      </c>
      <c r="T28" s="52">
        <f t="shared" si="29"/>
        <v>0</v>
      </c>
      <c r="U28" s="53">
        <f t="shared" si="15"/>
        <v>6.0832872574516181E-2</v>
      </c>
      <c r="V28" s="53">
        <f t="shared" si="16"/>
        <v>1.8840822393028527E-2</v>
      </c>
      <c r="W28" s="53">
        <f t="shared" si="17"/>
        <v>0</v>
      </c>
      <c r="X28" s="46">
        <f t="shared" si="5"/>
        <v>4.1992050181487654E-2</v>
      </c>
      <c r="Y28" s="54"/>
      <c r="Z28" s="41">
        <f t="shared" si="18"/>
        <v>92649.559922694491</v>
      </c>
      <c r="AA28" s="41">
        <f t="shared" si="19"/>
        <v>1216.6574514903236</v>
      </c>
      <c r="AB28" s="41">
        <f t="shared" si="6"/>
        <v>65169.562279159763</v>
      </c>
      <c r="AC28" s="41">
        <f t="shared" si="7"/>
        <v>839.84100362975312</v>
      </c>
      <c r="AD28" s="54"/>
      <c r="AE28" s="41">
        <f t="shared" si="8"/>
        <v>0</v>
      </c>
      <c r="AF28" s="41"/>
      <c r="AG28" s="41">
        <f t="shared" si="9"/>
        <v>-1.0498012545371913</v>
      </c>
      <c r="AH28" s="41">
        <f t="shared" si="20"/>
        <v>-37681.644786057055</v>
      </c>
      <c r="AI28" s="41">
        <f t="shared" si="21"/>
        <v>0</v>
      </c>
      <c r="AJ28" s="41">
        <f t="shared" si="10"/>
        <v>-37682.694587311591</v>
      </c>
      <c r="AK28" s="41">
        <f t="shared" si="11"/>
        <v>27479.997643534727</v>
      </c>
      <c r="AL28" s="41">
        <f t="shared" si="22"/>
        <v>3754.6486949673927</v>
      </c>
      <c r="AM28" s="41">
        <f t="shared" si="12"/>
        <v>-6448.0482488094713</v>
      </c>
      <c r="AN28" s="41">
        <f t="shared" si="13"/>
        <v>376.81644786057052</v>
      </c>
      <c r="AO28" s="41">
        <f t="shared" si="14"/>
        <v>-6071.2318009489009</v>
      </c>
      <c r="AP28" s="45"/>
      <c r="AQ28" s="55"/>
      <c r="AR28" s="48"/>
      <c r="AS28" s="48"/>
      <c r="AT28" s="51">
        <f t="shared" si="23"/>
        <v>24</v>
      </c>
      <c r="AU28" s="49">
        <f t="shared" si="24"/>
        <v>6.0832872574516181E-2</v>
      </c>
      <c r="AV28" s="49">
        <f t="shared" si="25"/>
        <v>1.8840822393028527E-2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775.97500000000002</v>
      </c>
      <c r="AX28" s="50">
        <f>IF(ISERROR(ROUND(MAX(0,1000*NPV($AT$2,$AV29:$AV$124)-$AW$2*($AU29+NPV($AT$2,$AU30:$AU$124)))/AU29,3)), 0, ROUND(MAX(0,1000*NPV($AT$2,$AV29:$AV$124)-$AW$2*($AU29+NPV($AT$2,$AU30:$AU$124)))/AU29,3))</f>
        <v>704.40899999999999</v>
      </c>
    </row>
    <row r="29" spans="1:50" ht="15" x14ac:dyDescent="0.25">
      <c r="A29">
        <v>4</v>
      </c>
      <c r="B29">
        <v>4.3362751068676302E-4</v>
      </c>
      <c r="C29">
        <f t="shared" si="30"/>
        <v>4.076098600455572E-4</v>
      </c>
      <c r="D29" s="60">
        <v>39</v>
      </c>
      <c r="E29" s="5">
        <v>978117.37056607439</v>
      </c>
      <c r="F29" s="5">
        <v>29343.526429631456</v>
      </c>
      <c r="G29" s="8"/>
      <c r="H29" s="4"/>
      <c r="I29" s="51">
        <v>25</v>
      </c>
      <c r="J29" s="41"/>
      <c r="K29" s="41" t="str">
        <f t="shared" si="26"/>
        <v/>
      </c>
      <c r="L29" s="42">
        <f t="shared" si="27"/>
        <v>25</v>
      </c>
      <c r="M29" s="41">
        <f t="shared" si="28"/>
        <v>2000000</v>
      </c>
      <c r="N29" s="43">
        <f t="shared" si="1"/>
        <v>720.928</v>
      </c>
      <c r="O29" s="44">
        <f t="shared" si="2"/>
        <v>788.95500000000004</v>
      </c>
      <c r="P29" s="41">
        <f t="shared" si="3"/>
        <v>1441856</v>
      </c>
      <c r="Q29" s="41">
        <f t="shared" si="4"/>
        <v>1577910</v>
      </c>
      <c r="R29" s="44"/>
      <c r="S29" s="44">
        <f>IF(I29&lt;&gt;"",_xlfn.XLOOKUP($D$4+I29,$A$26:$A$145,$B$26:$B$145,0) * 1000,"")</f>
        <v>338.54645429092398</v>
      </c>
      <c r="T29" s="52">
        <f t="shared" si="29"/>
        <v>0</v>
      </c>
      <c r="U29" s="53">
        <f t="shared" si="15"/>
        <v>4.1992050181487654E-2</v>
      </c>
      <c r="V29" s="53">
        <f t="shared" si="16"/>
        <v>1.4216259697349196E-2</v>
      </c>
      <c r="W29" s="53">
        <f t="shared" si="17"/>
        <v>0</v>
      </c>
      <c r="X29" s="46">
        <f t="shared" si="5"/>
        <v>2.777579048413846E-2</v>
      </c>
      <c r="Y29" s="54"/>
      <c r="Z29" s="41">
        <f t="shared" si="18"/>
        <v>65169.562279159763</v>
      </c>
      <c r="AA29" s="41">
        <f t="shared" si="19"/>
        <v>839.84100362975312</v>
      </c>
      <c r="AB29" s="41">
        <f t="shared" si="6"/>
        <v>43827.697562826921</v>
      </c>
      <c r="AC29" s="41">
        <f t="shared" si="7"/>
        <v>555.51580968276915</v>
      </c>
      <c r="AD29" s="54"/>
      <c r="AE29" s="41">
        <f t="shared" si="8"/>
        <v>0</v>
      </c>
      <c r="AF29" s="41"/>
      <c r="AG29" s="41">
        <f t="shared" si="9"/>
        <v>-0.69439476210346152</v>
      </c>
      <c r="AH29" s="41">
        <f t="shared" si="20"/>
        <v>-28432.519394698393</v>
      </c>
      <c r="AI29" s="41">
        <f t="shared" si="21"/>
        <v>0</v>
      </c>
      <c r="AJ29" s="41">
        <f t="shared" si="10"/>
        <v>-28433.213789460497</v>
      </c>
      <c r="AK29" s="41">
        <f t="shared" si="11"/>
        <v>21341.864716332842</v>
      </c>
      <c r="AL29" s="41">
        <f t="shared" si="22"/>
        <v>2640.3761313115806</v>
      </c>
      <c r="AM29" s="41">
        <f t="shared" si="12"/>
        <v>-4450.9729418160732</v>
      </c>
      <c r="AN29" s="41">
        <f t="shared" si="13"/>
        <v>284.32519394698397</v>
      </c>
      <c r="AO29" s="41">
        <f t="shared" si="14"/>
        <v>-4166.6477478690895</v>
      </c>
      <c r="AP29" s="45"/>
      <c r="AQ29" s="55"/>
      <c r="AR29" s="48"/>
      <c r="AS29" s="48"/>
      <c r="AT29" s="51">
        <f t="shared" si="23"/>
        <v>25</v>
      </c>
      <c r="AU29" s="49">
        <f t="shared" si="24"/>
        <v>4.1992050181487654E-2</v>
      </c>
      <c r="AV29" s="49">
        <f t="shared" si="25"/>
        <v>1.4216259697349196E-2</v>
      </c>
      <c r="AW29" s="50">
        <f xml:space="preserve"> IF(ISERROR(ROUND((1000*NPV($AT$1,$AV30:$AV$124)-$AW$1*($AU30+NPV($AT$1,$AU31:$AU$124)))/AU30,3)), 0, ROUND((1000*NPV($AT$1,$AV30:$AV$124)-$AW$1*($AU30+NPV($AT$1,$AU31:$AU$124)))/AU30,3))</f>
        <v>788.95500000000004</v>
      </c>
      <c r="AX29" s="50">
        <f>IF(ISERROR(ROUND(MAX(0,1000*NPV($AT$2,$AV30:$AV$124)-$AW$2*($AU30+NPV($AT$2,$AU31:$AU$124)))/AU30,3)), 0, ROUND(MAX(0,1000*NPV($AT$2,$AV30:$AV$124)-$AW$2*($AU30+NPV($AT$2,$AU31:$AU$124)))/AU30,3))</f>
        <v>720.928</v>
      </c>
    </row>
    <row r="30" spans="1:50" ht="15" x14ac:dyDescent="0.25">
      <c r="A30">
        <v>5</v>
      </c>
      <c r="B30">
        <v>3.7890477522806198E-4</v>
      </c>
      <c r="C30">
        <f t="shared" si="30"/>
        <v>3.5617048871437827E-4</v>
      </c>
      <c r="D30" s="60">
        <v>40</v>
      </c>
      <c r="E30" s="5">
        <v>1010812.0920405117</v>
      </c>
      <c r="F30" s="5">
        <v>30324.368138046702</v>
      </c>
      <c r="G30" s="8"/>
      <c r="H30" s="4"/>
      <c r="I30" s="51">
        <v>26</v>
      </c>
      <c r="J30" s="41"/>
      <c r="K30" s="41" t="str">
        <f t="shared" si="26"/>
        <v/>
      </c>
      <c r="L30" s="42">
        <f t="shared" si="27"/>
        <v>25</v>
      </c>
      <c r="M30" s="41">
        <f t="shared" si="28"/>
        <v>2000000</v>
      </c>
      <c r="N30" s="43">
        <f t="shared" si="1"/>
        <v>736.25</v>
      </c>
      <c r="O30" s="44">
        <f t="shared" si="2"/>
        <v>800.94799999999998</v>
      </c>
      <c r="P30" s="41">
        <f t="shared" si="3"/>
        <v>1472500</v>
      </c>
      <c r="Q30" s="41">
        <f t="shared" si="4"/>
        <v>1601896</v>
      </c>
      <c r="R30" s="44"/>
      <c r="S30" s="44">
        <f>IF(I30&lt;&gt;"",_xlfn.XLOOKUP($D$4+I30,$A$26:$A$145,$B$26:$B$145,0) * 1000,"")</f>
        <v>366.51070304789005</v>
      </c>
      <c r="T30" s="52">
        <f t="shared" si="29"/>
        <v>0</v>
      </c>
      <c r="U30" s="53">
        <f t="shared" si="15"/>
        <v>2.777579048413846E-2</v>
      </c>
      <c r="V30" s="53">
        <f t="shared" si="16"/>
        <v>1.0180124498052482E-2</v>
      </c>
      <c r="W30" s="53">
        <f t="shared" si="17"/>
        <v>0</v>
      </c>
      <c r="X30" s="46">
        <f t="shared" si="5"/>
        <v>1.759566598608598E-2</v>
      </c>
      <c r="Y30" s="54"/>
      <c r="Z30" s="41">
        <f t="shared" si="18"/>
        <v>43827.697562826921</v>
      </c>
      <c r="AA30" s="41">
        <f t="shared" si="19"/>
        <v>555.51580968276915</v>
      </c>
      <c r="AB30" s="41">
        <f t="shared" si="6"/>
        <v>28186.426960447188</v>
      </c>
      <c r="AC30" s="41">
        <f t="shared" si="7"/>
        <v>351.91331972171963</v>
      </c>
      <c r="AD30" s="54"/>
      <c r="AE30" s="41">
        <f t="shared" si="8"/>
        <v>0</v>
      </c>
      <c r="AF30" s="41"/>
      <c r="AG30" s="41">
        <f t="shared" si="9"/>
        <v>-0.4398916496521495</v>
      </c>
      <c r="AH30" s="41">
        <f t="shared" si="20"/>
        <v>-20360.248996104965</v>
      </c>
      <c r="AI30" s="41">
        <f t="shared" si="21"/>
        <v>0</v>
      </c>
      <c r="AJ30" s="41">
        <f t="shared" si="10"/>
        <v>-20360.688887754619</v>
      </c>
      <c r="AK30" s="41">
        <f t="shared" si="11"/>
        <v>15641.270602379733</v>
      </c>
      <c r="AL30" s="41">
        <f t="shared" si="22"/>
        <v>1775.3285349003877</v>
      </c>
      <c r="AM30" s="41">
        <f t="shared" si="12"/>
        <v>-2944.0897504744985</v>
      </c>
      <c r="AN30" s="41">
        <f t="shared" si="13"/>
        <v>203.60248996104951</v>
      </c>
      <c r="AO30" s="41">
        <f t="shared" si="14"/>
        <v>-2740.4872605134487</v>
      </c>
      <c r="AP30" s="45"/>
      <c r="AQ30" s="55"/>
      <c r="AR30" s="48"/>
      <c r="AS30" s="48"/>
      <c r="AT30" s="51">
        <f t="shared" si="23"/>
        <v>26</v>
      </c>
      <c r="AU30" s="49">
        <f t="shared" si="24"/>
        <v>2.777579048413846E-2</v>
      </c>
      <c r="AV30" s="49">
        <f t="shared" si="25"/>
        <v>1.0180124498052482E-2</v>
      </c>
      <c r="AW30" s="50">
        <f xml:space="preserve"> IF(ISERROR(ROUND((1000*NPV($AT$1,$AV31:$AV$124)-$AW$1*($AU31+NPV($AT$1,$AU32:$AU$124)))/AU31,3)), 0, ROUND((1000*NPV($AT$1,$AV31:$AV$124)-$AW$1*($AU31+NPV($AT$1,$AU32:$AU$124)))/AU31,3))</f>
        <v>800.94799999999998</v>
      </c>
      <c r="AX30" s="50">
        <f>IF(ISERROR(ROUND(MAX(0,1000*NPV($AT$2,$AV31:$AV$124)-$AW$2*($AU31+NPV($AT$2,$AU32:$AU$124)))/AU31,3)), 0, ROUND(MAX(0,1000*NPV($AT$2,$AV31:$AV$124)-$AW$2*($AU31+NPV($AT$2,$AU32:$AU$124)))/AU31,3))</f>
        <v>736.25</v>
      </c>
    </row>
    <row r="31" spans="1:50" ht="15" x14ac:dyDescent="0.25">
      <c r="A31">
        <v>6</v>
      </c>
      <c r="B31">
        <v>3.5433193361178401E-4</v>
      </c>
      <c r="C31">
        <f t="shared" si="30"/>
        <v>3.3307201759507694E-4</v>
      </c>
      <c r="D31" s="60">
        <v>41</v>
      </c>
      <c r="E31" s="5">
        <v>1044299.1920420656</v>
      </c>
      <c r="F31" s="5">
        <v>31328.981182052405</v>
      </c>
      <c r="G31" s="8"/>
      <c r="H31" s="4"/>
      <c r="I31" s="51">
        <v>27</v>
      </c>
      <c r="J31" s="41"/>
      <c r="K31" s="41" t="str">
        <f t="shared" si="26"/>
        <v/>
      </c>
      <c r="L31" s="42">
        <f t="shared" si="27"/>
        <v>25</v>
      </c>
      <c r="M31" s="41">
        <f t="shared" si="28"/>
        <v>2000000</v>
      </c>
      <c r="N31" s="43">
        <f t="shared" si="1"/>
        <v>750.27800000000002</v>
      </c>
      <c r="O31" s="44">
        <f t="shared" si="2"/>
        <v>811.89099999999996</v>
      </c>
      <c r="P31" s="41">
        <f t="shared" si="3"/>
        <v>1500556</v>
      </c>
      <c r="Q31" s="41">
        <f t="shared" si="4"/>
        <v>1623782</v>
      </c>
      <c r="R31" s="44"/>
      <c r="S31" s="44">
        <f>IF(I31&lt;&gt;"",_xlfn.XLOOKUP($D$4+I31,$A$26:$A$145,$B$26:$B$145,0) * 1000,"")</f>
        <v>395.96185015808499</v>
      </c>
      <c r="T31" s="52">
        <f t="shared" si="29"/>
        <v>0</v>
      </c>
      <c r="U31" s="53">
        <f t="shared" si="15"/>
        <v>1.759566598608598E-2</v>
      </c>
      <c r="V31" s="53">
        <f t="shared" si="16"/>
        <v>6.9672124586142893E-3</v>
      </c>
      <c r="W31" s="53">
        <f t="shared" si="17"/>
        <v>0</v>
      </c>
      <c r="X31" s="46">
        <f t="shared" si="5"/>
        <v>1.0628453527471691E-2</v>
      </c>
      <c r="Y31" s="54"/>
      <c r="Z31" s="41">
        <f t="shared" si="18"/>
        <v>28186.426960447188</v>
      </c>
      <c r="AA31" s="41">
        <f t="shared" si="19"/>
        <v>351.91331972171963</v>
      </c>
      <c r="AB31" s="41">
        <f t="shared" si="6"/>
        <v>17258.291525745037</v>
      </c>
      <c r="AC31" s="41">
        <f t="shared" si="7"/>
        <v>212.5690705494338</v>
      </c>
      <c r="AD31" s="54"/>
      <c r="AE31" s="41">
        <f t="shared" si="8"/>
        <v>0</v>
      </c>
      <c r="AF31" s="41"/>
      <c r="AG31" s="41">
        <f t="shared" si="9"/>
        <v>-0.26571133818679227</v>
      </c>
      <c r="AH31" s="41">
        <f t="shared" si="20"/>
        <v>-13934.424917228578</v>
      </c>
      <c r="AI31" s="41">
        <f t="shared" si="21"/>
        <v>0</v>
      </c>
      <c r="AJ31" s="41">
        <f t="shared" si="10"/>
        <v>-13934.690628566765</v>
      </c>
      <c r="AK31" s="41">
        <f t="shared" si="11"/>
        <v>10928.135434702152</v>
      </c>
      <c r="AL31" s="41">
        <f t="shared" si="22"/>
        <v>1141.5336112067564</v>
      </c>
      <c r="AM31" s="41">
        <f t="shared" si="12"/>
        <v>-1865.0215826578567</v>
      </c>
      <c r="AN31" s="41">
        <f t="shared" si="13"/>
        <v>139.34424917228583</v>
      </c>
      <c r="AO31" s="41">
        <f t="shared" si="14"/>
        <v>-1725.6773334855709</v>
      </c>
      <c r="AP31" s="45"/>
      <c r="AQ31" s="55"/>
      <c r="AR31" s="48"/>
      <c r="AS31" s="48"/>
      <c r="AT31" s="51">
        <f t="shared" si="23"/>
        <v>27</v>
      </c>
      <c r="AU31" s="49">
        <f t="shared" si="24"/>
        <v>1.759566598608598E-2</v>
      </c>
      <c r="AV31" s="49">
        <f t="shared" si="25"/>
        <v>6.9672124586142893E-3</v>
      </c>
      <c r="AW31" s="50">
        <f xml:space="preserve"> IF(ISERROR(ROUND((1000*NPV($AT$1,$AV32:$AV$124)-$AW$1*($AU32+NPV($AT$1,$AU33:$AU$124)))/AU32,3)), 0, ROUND((1000*NPV($AT$1,$AV32:$AV$124)-$AW$1*($AU32+NPV($AT$1,$AU33:$AU$124)))/AU32,3))</f>
        <v>811.89099999999996</v>
      </c>
      <c r="AX31" s="50">
        <f>IF(ISERROR(ROUND(MAX(0,1000*NPV($AT$2,$AV32:$AV$124)-$AW$2*($AU32+NPV($AT$2,$AU33:$AU$124)))/AU32,3)), 0, ROUND(MAX(0,1000*NPV($AT$2,$AV32:$AV$124)-$AW$2*($AU32+NPV($AT$2,$AU33:$AU$124)))/AU32,3))</f>
        <v>750.27800000000002</v>
      </c>
    </row>
    <row r="32" spans="1:50" ht="15" x14ac:dyDescent="0.25">
      <c r="A32">
        <v>7</v>
      </c>
      <c r="B32">
        <v>3.3199011372742098E-4</v>
      </c>
      <c r="C32">
        <f t="shared" si="30"/>
        <v>3.1207070690377571E-4</v>
      </c>
      <c r="D32" s="60">
        <v>42</v>
      </c>
      <c r="E32" s="5">
        <v>1078629.5067699193</v>
      </c>
      <c r="F32" s="5">
        <v>32358.890682820929</v>
      </c>
      <c r="G32" s="8"/>
      <c r="H32" s="4"/>
      <c r="I32" s="51">
        <v>28</v>
      </c>
      <c r="J32" s="41"/>
      <c r="K32" s="41" t="str">
        <f t="shared" si="26"/>
        <v/>
      </c>
      <c r="L32" s="42">
        <f t="shared" si="27"/>
        <v>25</v>
      </c>
      <c r="M32" s="41">
        <f t="shared" si="28"/>
        <v>2000000</v>
      </c>
      <c r="N32" s="43">
        <f t="shared" si="1"/>
        <v>763.11900000000003</v>
      </c>
      <c r="O32" s="44">
        <f t="shared" si="2"/>
        <v>821.87800000000004</v>
      </c>
      <c r="P32" s="41">
        <f t="shared" si="3"/>
        <v>1526238</v>
      </c>
      <c r="Q32" s="41">
        <f t="shared" si="4"/>
        <v>1643756</v>
      </c>
      <c r="R32" s="44"/>
      <c r="S32" s="44">
        <f>IF(I32&lt;&gt;"",_xlfn.XLOOKUP($D$4+I32,$A$26:$A$145,$B$26:$B$145,0) * 1000,"")</f>
        <v>425.99171766504202</v>
      </c>
      <c r="T32" s="52">
        <f t="shared" si="29"/>
        <v>0</v>
      </c>
      <c r="U32" s="53">
        <f t="shared" si="15"/>
        <v>1.0628453527471691E-2</v>
      </c>
      <c r="V32" s="53">
        <f t="shared" si="16"/>
        <v>4.5276331742907404E-3</v>
      </c>
      <c r="W32" s="53">
        <f t="shared" si="17"/>
        <v>0</v>
      </c>
      <c r="X32" s="46">
        <f t="shared" si="5"/>
        <v>6.1008203531809505E-3</v>
      </c>
      <c r="Y32" s="54"/>
      <c r="Z32" s="41">
        <f t="shared" si="18"/>
        <v>17258.291525745037</v>
      </c>
      <c r="AA32" s="41">
        <f t="shared" si="19"/>
        <v>212.5690705494338</v>
      </c>
      <c r="AB32" s="41">
        <f t="shared" si="6"/>
        <v>10028.260060463306</v>
      </c>
      <c r="AC32" s="41">
        <f t="shared" si="7"/>
        <v>122.01640706361901</v>
      </c>
      <c r="AD32" s="54"/>
      <c r="AE32" s="41">
        <f t="shared" si="8"/>
        <v>0</v>
      </c>
      <c r="AF32" s="41"/>
      <c r="AG32" s="41">
        <f t="shared" si="9"/>
        <v>-0.15252050882952375</v>
      </c>
      <c r="AH32" s="41">
        <f t="shared" si="20"/>
        <v>-9055.266348581481</v>
      </c>
      <c r="AI32" s="41">
        <f t="shared" si="21"/>
        <v>0</v>
      </c>
      <c r="AJ32" s="41">
        <f t="shared" si="10"/>
        <v>-9055.4188690903102</v>
      </c>
      <c r="AK32" s="41">
        <f t="shared" si="11"/>
        <v>7230.0314652817306</v>
      </c>
      <c r="AL32" s="41">
        <f t="shared" si="22"/>
        <v>698.83442385177887</v>
      </c>
      <c r="AM32" s="41">
        <f t="shared" si="12"/>
        <v>-1126.5529799568008</v>
      </c>
      <c r="AN32" s="41">
        <f t="shared" si="13"/>
        <v>90.55266348581479</v>
      </c>
      <c r="AO32" s="41">
        <f t="shared" si="14"/>
        <v>-1036.000316470986</v>
      </c>
      <c r="AP32" s="45"/>
      <c r="AQ32" s="55"/>
      <c r="AR32" s="48"/>
      <c r="AS32" s="48"/>
      <c r="AT32" s="51">
        <f t="shared" si="23"/>
        <v>28</v>
      </c>
      <c r="AU32" s="49">
        <f t="shared" si="24"/>
        <v>1.0628453527471691E-2</v>
      </c>
      <c r="AV32" s="49">
        <f t="shared" si="25"/>
        <v>4.5276331742907404E-3</v>
      </c>
      <c r="AW32" s="50">
        <f xml:space="preserve"> IF(ISERROR(ROUND((1000*NPV($AT$1,$AV33:$AV$124)-$AW$1*($AU33+NPV($AT$1,$AU34:$AU$124)))/AU33,3)), 0, ROUND((1000*NPV($AT$1,$AV33:$AV$124)-$AW$1*($AU33+NPV($AT$1,$AU34:$AU$124)))/AU33,3))</f>
        <v>821.87800000000004</v>
      </c>
      <c r="AX32" s="50">
        <f>IF(ISERROR(ROUND(MAX(0,1000*NPV($AT$2,$AV33:$AV$124)-$AW$2*($AU33+NPV($AT$2,$AU34:$AU$124)))/AU33,3)), 0, ROUND(MAX(0,1000*NPV($AT$2,$AV33:$AV$124)-$AW$2*($AU33+NPV($AT$2,$AU34:$AU$124)))/AU33,3))</f>
        <v>763.11900000000003</v>
      </c>
    </row>
    <row r="33" spans="1:50" ht="15" x14ac:dyDescent="0.25">
      <c r="A33">
        <v>8</v>
      </c>
      <c r="B33">
        <v>3.0907520921152898E-4</v>
      </c>
      <c r="C33">
        <f t="shared" si="30"/>
        <v>2.9053069665883722E-4</v>
      </c>
      <c r="D33" s="60">
        <v>43</v>
      </c>
      <c r="E33" s="5">
        <v>1113784.7322654314</v>
      </c>
      <c r="F33" s="5">
        <v>33413.547489941353</v>
      </c>
      <c r="G33" s="8"/>
      <c r="H33" s="4"/>
      <c r="I33" s="51">
        <v>29</v>
      </c>
      <c r="J33" s="41"/>
      <c r="K33" s="41" t="str">
        <f t="shared" si="26"/>
        <v/>
      </c>
      <c r="L33" s="42">
        <f t="shared" si="27"/>
        <v>25</v>
      </c>
      <c r="M33" s="41">
        <f t="shared" si="28"/>
        <v>2000000</v>
      </c>
      <c r="N33" s="43">
        <f t="shared" si="1"/>
        <v>775.02</v>
      </c>
      <c r="O33" s="44">
        <f t="shared" si="2"/>
        <v>831.10299999999995</v>
      </c>
      <c r="P33" s="41">
        <f t="shared" si="3"/>
        <v>1550040</v>
      </c>
      <c r="Q33" s="41">
        <f t="shared" si="4"/>
        <v>1662206</v>
      </c>
      <c r="R33" s="44"/>
      <c r="S33" s="44">
        <f>IF(I33&lt;&gt;"",_xlfn.XLOOKUP($D$4+I33,$A$26:$A$145,$B$26:$B$145,0) * 1000,"")</f>
        <v>456.13076116729002</v>
      </c>
      <c r="T33" s="52">
        <f t="shared" si="29"/>
        <v>0</v>
      </c>
      <c r="U33" s="53">
        <f t="shared" si="15"/>
        <v>6.1008203531809505E-3</v>
      </c>
      <c r="V33" s="53">
        <f t="shared" si="16"/>
        <v>2.7827718314413219E-3</v>
      </c>
      <c r="W33" s="53">
        <f t="shared" si="17"/>
        <v>0</v>
      </c>
      <c r="X33" s="46">
        <f t="shared" si="5"/>
        <v>3.3180485217396286E-3</v>
      </c>
      <c r="Y33" s="54"/>
      <c r="Z33" s="41">
        <f t="shared" si="18"/>
        <v>10028.260060463306</v>
      </c>
      <c r="AA33" s="41">
        <f t="shared" si="19"/>
        <v>122.01640706361901</v>
      </c>
      <c r="AB33" s="41">
        <f t="shared" si="6"/>
        <v>5515.2801611267414</v>
      </c>
      <c r="AC33" s="41">
        <f t="shared" si="7"/>
        <v>66.360970434792577</v>
      </c>
      <c r="AD33" s="54"/>
      <c r="AE33" s="41">
        <f t="shared" si="8"/>
        <v>0</v>
      </c>
      <c r="AF33" s="41"/>
      <c r="AG33" s="41">
        <f t="shared" si="9"/>
        <v>-8.2951213043490721E-2</v>
      </c>
      <c r="AH33" s="41">
        <f t="shared" si="20"/>
        <v>-5565.5436628826437</v>
      </c>
      <c r="AI33" s="41">
        <f t="shared" si="21"/>
        <v>0</v>
      </c>
      <c r="AJ33" s="41">
        <f t="shared" si="10"/>
        <v>-5565.6266140956868</v>
      </c>
      <c r="AK33" s="41">
        <f t="shared" si="11"/>
        <v>4512.9798993365648</v>
      </c>
      <c r="AL33" s="41">
        <f t="shared" si="22"/>
        <v>406.01105870107699</v>
      </c>
      <c r="AM33" s="41">
        <f t="shared" si="12"/>
        <v>-646.63565605804502</v>
      </c>
      <c r="AN33" s="41">
        <f t="shared" si="13"/>
        <v>55.655436628826436</v>
      </c>
      <c r="AO33" s="41">
        <f t="shared" si="14"/>
        <v>-590.98021942921855</v>
      </c>
      <c r="AP33" s="45"/>
      <c r="AQ33" s="55"/>
      <c r="AR33" s="48"/>
      <c r="AS33" s="48"/>
      <c r="AT33" s="51">
        <f t="shared" si="23"/>
        <v>29</v>
      </c>
      <c r="AU33" s="49">
        <f t="shared" si="24"/>
        <v>6.1008203531809505E-3</v>
      </c>
      <c r="AV33" s="49">
        <f t="shared" si="25"/>
        <v>2.7827718314413219E-3</v>
      </c>
      <c r="AW33" s="50">
        <f xml:space="preserve"> IF(ISERROR(ROUND((1000*NPV($AT$1,$AV34:$AV$124)-$AW$1*($AU34+NPV($AT$1,$AU35:$AU$124)))/AU34,3)), 0, ROUND((1000*NPV($AT$1,$AV34:$AV$124)-$AW$1*($AU34+NPV($AT$1,$AU35:$AU$124)))/AU34,3))</f>
        <v>831.10299999999995</v>
      </c>
      <c r="AX33" s="50">
        <f>IF(ISERROR(ROUND(MAX(0,1000*NPV($AT$2,$AV34:$AV$124)-$AW$2*($AU34+NPV($AT$2,$AU35:$AU$124)))/AU34,3)), 0, ROUND(MAX(0,1000*NPV($AT$2,$AV34:$AV$124)-$AW$2*($AU34+NPV($AT$2,$AU35:$AU$124)))/AU34,3))</f>
        <v>775.02</v>
      </c>
    </row>
    <row r="34" spans="1:50" ht="15" x14ac:dyDescent="0.25">
      <c r="A34">
        <v>9</v>
      </c>
      <c r="B34">
        <v>3.0348175045913399E-4</v>
      </c>
      <c r="C34">
        <f t="shared" si="30"/>
        <v>2.8527284543158595E-4</v>
      </c>
      <c r="D34" s="60">
        <v>44</v>
      </c>
      <c r="E34" s="5">
        <v>1149775.3821417335</v>
      </c>
      <c r="F34" s="5">
        <v>34493.267025218927</v>
      </c>
      <c r="G34" s="8"/>
      <c r="H34" s="4"/>
      <c r="I34" s="51">
        <v>30</v>
      </c>
      <c r="J34" s="41"/>
      <c r="K34" s="41" t="str">
        <f t="shared" si="26"/>
        <v/>
      </c>
      <c r="L34" s="42">
        <f t="shared" si="27"/>
        <v>25</v>
      </c>
      <c r="M34" s="41">
        <f t="shared" si="28"/>
        <v>2000000</v>
      </c>
      <c r="N34" s="43">
        <f t="shared" si="1"/>
        <v>785.87400000000002</v>
      </c>
      <c r="O34" s="44">
        <f t="shared" si="2"/>
        <v>839.49599999999998</v>
      </c>
      <c r="P34" s="41">
        <f t="shared" si="3"/>
        <v>1571748</v>
      </c>
      <c r="Q34" s="41">
        <f t="shared" si="4"/>
        <v>1678992</v>
      </c>
      <c r="R34" s="44"/>
      <c r="S34" s="44">
        <f>IF(I34&lt;&gt;"",_xlfn.XLOOKUP($D$4+I34,$A$26:$A$145,$B$26:$B$145,0) * 1000,"")</f>
        <v>487.46995085940699</v>
      </c>
      <c r="T34" s="52">
        <f t="shared" si="29"/>
        <v>0</v>
      </c>
      <c r="U34" s="53">
        <f t="shared" si="15"/>
        <v>3.3180485217396286E-3</v>
      </c>
      <c r="V34" s="53">
        <f t="shared" si="16"/>
        <v>1.6174489498415447E-3</v>
      </c>
      <c r="W34" s="53">
        <f t="shared" si="17"/>
        <v>0</v>
      </c>
      <c r="X34" s="46">
        <f t="shared" si="5"/>
        <v>1.7005995718980839E-3</v>
      </c>
      <c r="Y34" s="54"/>
      <c r="Z34" s="41">
        <f t="shared" si="18"/>
        <v>5515.2801611267414</v>
      </c>
      <c r="AA34" s="41">
        <f t="shared" si="19"/>
        <v>66.360970434792577</v>
      </c>
      <c r="AB34" s="41">
        <f t="shared" si="6"/>
        <v>2855.2930764203079</v>
      </c>
      <c r="AC34" s="41">
        <f t="shared" si="7"/>
        <v>34.011991437961676</v>
      </c>
      <c r="AD34" s="54"/>
      <c r="AE34" s="41">
        <f t="shared" si="8"/>
        <v>0</v>
      </c>
      <c r="AF34" s="41"/>
      <c r="AG34" s="41">
        <f t="shared" si="9"/>
        <v>-4.2514989297452101E-2</v>
      </c>
      <c r="AH34" s="41">
        <f t="shared" si="20"/>
        <v>-3234.8978996830892</v>
      </c>
      <c r="AI34" s="41">
        <f t="shared" si="21"/>
        <v>0</v>
      </c>
      <c r="AJ34" s="41">
        <f t="shared" si="10"/>
        <v>-3234.9404146723869</v>
      </c>
      <c r="AK34" s="41">
        <f t="shared" si="11"/>
        <v>2659.9870847064335</v>
      </c>
      <c r="AL34" s="41">
        <f t="shared" si="22"/>
        <v>223.26564526246136</v>
      </c>
      <c r="AM34" s="41">
        <f t="shared" si="12"/>
        <v>-351.68768470349198</v>
      </c>
      <c r="AN34" s="41">
        <f t="shared" si="13"/>
        <v>32.348978996830901</v>
      </c>
      <c r="AO34" s="41">
        <f t="shared" si="14"/>
        <v>-319.33870570666107</v>
      </c>
      <c r="AP34" s="45"/>
      <c r="AQ34" s="55"/>
      <c r="AR34" s="48"/>
      <c r="AS34" s="48"/>
      <c r="AT34" s="51">
        <f t="shared" si="23"/>
        <v>30</v>
      </c>
      <c r="AU34" s="49">
        <f t="shared" si="24"/>
        <v>3.3180485217396286E-3</v>
      </c>
      <c r="AV34" s="49">
        <f t="shared" si="25"/>
        <v>1.6174489498415447E-3</v>
      </c>
      <c r="AW34" s="50">
        <f xml:space="preserve"> IF(ISERROR(ROUND((1000*NPV($AT$1,$AV35:$AV$124)-$AW$1*($AU35+NPV($AT$1,$AU36:$AU$124)))/AU35,3)), 0, ROUND((1000*NPV($AT$1,$AV35:$AV$124)-$AW$1*($AU35+NPV($AT$1,$AU36:$AU$124)))/AU35,3))</f>
        <v>839.49599999999998</v>
      </c>
      <c r="AX34" s="50">
        <f>IF(ISERROR(ROUND(MAX(0,1000*NPV($AT$2,$AV35:$AV$124)-$AW$2*($AU35+NPV($AT$2,$AU36:$AU$124)))/AU35,3)), 0, ROUND(MAX(0,1000*NPV($AT$2,$AV35:$AV$124)-$AW$2*($AU35+NPV($AT$2,$AU36:$AU$124)))/AU35,3))</f>
        <v>785.87400000000002</v>
      </c>
    </row>
    <row r="35" spans="1:50" ht="15" x14ac:dyDescent="0.25">
      <c r="A35">
        <v>10</v>
      </c>
      <c r="B35">
        <v>3.0042102998628601E-4</v>
      </c>
      <c r="C35">
        <f t="shared" si="30"/>
        <v>2.8239576818710882E-4</v>
      </c>
      <c r="D35" s="60">
        <v>45</v>
      </c>
      <c r="E35" s="5">
        <v>1186604.2017404954</v>
      </c>
      <c r="F35" s="5">
        <v>35598.131645471905</v>
      </c>
      <c r="G35" s="8"/>
      <c r="H35" s="4"/>
      <c r="I35" s="51">
        <v>31</v>
      </c>
      <c r="J35" s="41"/>
      <c r="K35" s="41" t="str">
        <f t="shared" si="26"/>
        <v/>
      </c>
      <c r="L35" s="42">
        <f t="shared" si="27"/>
        <v>25</v>
      </c>
      <c r="M35" s="41">
        <f t="shared" si="28"/>
        <v>2000000</v>
      </c>
      <c r="N35" s="43">
        <f t="shared" si="1"/>
        <v>795.91499999999996</v>
      </c>
      <c r="O35" s="44">
        <f t="shared" si="2"/>
        <v>847.23900000000003</v>
      </c>
      <c r="P35" s="41">
        <f t="shared" si="3"/>
        <v>1591830</v>
      </c>
      <c r="Q35" s="41">
        <f t="shared" si="4"/>
        <v>1694478</v>
      </c>
      <c r="R35" s="44"/>
      <c r="S35" s="44">
        <f>IF(I35&lt;&gt;"",_xlfn.XLOOKUP($D$4+I35,$A$26:$A$145,$B$26:$B$145,0) * 1000,"")</f>
        <v>518.63173443373296</v>
      </c>
      <c r="T35" s="52">
        <f t="shared" si="29"/>
        <v>0</v>
      </c>
      <c r="U35" s="53">
        <f t="shared" si="15"/>
        <v>1.7005995718980839E-3</v>
      </c>
      <c r="V35" s="53">
        <f t="shared" si="16"/>
        <v>8.8198490555076701E-4</v>
      </c>
      <c r="W35" s="53">
        <f t="shared" si="17"/>
        <v>0</v>
      </c>
      <c r="X35" s="46">
        <f t="shared" si="5"/>
        <v>8.186146663473169E-4</v>
      </c>
      <c r="Y35" s="54"/>
      <c r="Z35" s="41">
        <f t="shared" si="18"/>
        <v>2855.2930764203079</v>
      </c>
      <c r="AA35" s="41">
        <f t="shared" si="19"/>
        <v>34.011991437961676</v>
      </c>
      <c r="AB35" s="41">
        <f t="shared" si="6"/>
        <v>1387.1245426028688</v>
      </c>
      <c r="AC35" s="41">
        <f t="shared" si="7"/>
        <v>16.372293326946338</v>
      </c>
      <c r="AD35" s="54"/>
      <c r="AE35" s="41">
        <f t="shared" si="8"/>
        <v>0</v>
      </c>
      <c r="AF35" s="41"/>
      <c r="AG35" s="41">
        <f t="shared" si="9"/>
        <v>-2.0465366658682923E-2</v>
      </c>
      <c r="AH35" s="41">
        <f t="shared" si="20"/>
        <v>-1763.9698111015341</v>
      </c>
      <c r="AI35" s="41">
        <f t="shared" si="21"/>
        <v>0</v>
      </c>
      <c r="AJ35" s="41">
        <f t="shared" si="10"/>
        <v>-1763.9902764681929</v>
      </c>
      <c r="AK35" s="41">
        <f t="shared" si="11"/>
        <v>1468.1685338174391</v>
      </c>
      <c r="AL35" s="41">
        <f t="shared" si="22"/>
        <v>115.57220271433079</v>
      </c>
      <c r="AM35" s="41">
        <f t="shared" si="12"/>
        <v>-180.24953993642299</v>
      </c>
      <c r="AN35" s="41">
        <f t="shared" si="13"/>
        <v>17.639698111015338</v>
      </c>
      <c r="AO35" s="41">
        <f t="shared" si="14"/>
        <v>-162.60984182540764</v>
      </c>
      <c r="AP35" s="45"/>
      <c r="AQ35" s="55"/>
      <c r="AR35" s="48"/>
      <c r="AS35" s="48"/>
      <c r="AT35" s="51">
        <f t="shared" si="23"/>
        <v>31</v>
      </c>
      <c r="AU35" s="49">
        <f t="shared" si="24"/>
        <v>1.7005995718980839E-3</v>
      </c>
      <c r="AV35" s="49">
        <f t="shared" si="25"/>
        <v>8.8198490555076701E-4</v>
      </c>
      <c r="AW35" s="50">
        <f xml:space="preserve"> IF(ISERROR(ROUND((1000*NPV($AT$1,$AV36:$AV$124)-$AW$1*($AU36+NPV($AT$1,$AU37:$AU$124)))/AU36,3)), 0, ROUND((1000*NPV($AT$1,$AV36:$AV$124)-$AW$1*($AU36+NPV($AT$1,$AU37:$AU$124)))/AU36,3))</f>
        <v>847.23900000000003</v>
      </c>
      <c r="AX35" s="50">
        <f>IF(ISERROR(ROUND(MAX(0,1000*NPV($AT$2,$AV36:$AV$124)-$AW$2*($AU36+NPV($AT$2,$AU37:$AU$124)))/AU36,3)), 0, ROUND(MAX(0,1000*NPV($AT$2,$AV36:$AV$124)-$AW$2*($AU36+NPV($AT$2,$AU37:$AU$124)))/AU36,3))</f>
        <v>795.91499999999996</v>
      </c>
    </row>
    <row r="36" spans="1:50" ht="15" x14ac:dyDescent="0.25">
      <c r="A36">
        <v>11</v>
      </c>
      <c r="B36">
        <v>3.2916936183746698E-4</v>
      </c>
      <c r="C36">
        <f t="shared" si="30"/>
        <v>3.0941920012721896E-4</v>
      </c>
      <c r="D36" s="60">
        <v>46</v>
      </c>
      <c r="E36" s="5">
        <v>1224494.2183402798</v>
      </c>
      <c r="F36" s="5">
        <v>36734.832268927596</v>
      </c>
      <c r="G36" s="8"/>
      <c r="H36" s="4"/>
      <c r="I36" s="51">
        <v>32</v>
      </c>
      <c r="J36" s="41"/>
      <c r="K36" s="41" t="str">
        <f t="shared" si="26"/>
        <v/>
      </c>
      <c r="L36" s="42">
        <f t="shared" si="27"/>
        <v>25</v>
      </c>
      <c r="M36" s="41">
        <f t="shared" si="28"/>
        <v>2000000</v>
      </c>
      <c r="N36" s="43">
        <f t="shared" si="1"/>
        <v>805.14300000000003</v>
      </c>
      <c r="O36" s="44">
        <f t="shared" si="2"/>
        <v>854.33600000000001</v>
      </c>
      <c r="P36" s="41">
        <f t="shared" si="3"/>
        <v>1610286</v>
      </c>
      <c r="Q36" s="41">
        <f t="shared" si="4"/>
        <v>1708672</v>
      </c>
      <c r="R36" s="44"/>
      <c r="S36" s="44">
        <f>IF(I36&lt;&gt;"",_xlfn.XLOOKUP($D$4+I36,$A$26:$A$145,$B$26:$B$145,0) * 1000,"")</f>
        <v>550.45933018953701</v>
      </c>
      <c r="T36" s="52">
        <f t="shared" si="29"/>
        <v>0</v>
      </c>
      <c r="U36" s="53">
        <f t="shared" si="15"/>
        <v>8.186146663473169E-4</v>
      </c>
      <c r="V36" s="53">
        <f t="shared" si="16"/>
        <v>4.5061408092087542E-4</v>
      </c>
      <c r="W36" s="53">
        <f t="shared" si="17"/>
        <v>0</v>
      </c>
      <c r="X36" s="46">
        <f t="shared" si="5"/>
        <v>3.6800058542644148E-4</v>
      </c>
      <c r="Y36" s="54"/>
      <c r="Z36" s="41">
        <f t="shared" si="18"/>
        <v>1387.1245426028688</v>
      </c>
      <c r="AA36" s="41">
        <f t="shared" si="19"/>
        <v>16.372293326946338</v>
      </c>
      <c r="AB36" s="41">
        <f t="shared" si="6"/>
        <v>628.7922963017686</v>
      </c>
      <c r="AC36" s="41">
        <f t="shared" si="7"/>
        <v>7.3600117085288295</v>
      </c>
      <c r="AD36" s="54"/>
      <c r="AE36" s="41">
        <f t="shared" si="8"/>
        <v>0</v>
      </c>
      <c r="AF36" s="41"/>
      <c r="AG36" s="41">
        <f t="shared" si="9"/>
        <v>-9.2000146356610371E-3</v>
      </c>
      <c r="AH36" s="41">
        <f t="shared" si="20"/>
        <v>-901.22816184175088</v>
      </c>
      <c r="AI36" s="41">
        <f t="shared" si="21"/>
        <v>0</v>
      </c>
      <c r="AJ36" s="41">
        <f t="shared" si="10"/>
        <v>-901.23736185638654</v>
      </c>
      <c r="AK36" s="41">
        <f t="shared" si="11"/>
        <v>758.33224630110021</v>
      </c>
      <c r="AL36" s="41">
        <f t="shared" si="22"/>
        <v>56.139873437192612</v>
      </c>
      <c r="AM36" s="41">
        <f t="shared" si="12"/>
        <v>-86.76524211809371</v>
      </c>
      <c r="AN36" s="41">
        <f t="shared" si="13"/>
        <v>9.0122816184175072</v>
      </c>
      <c r="AO36" s="41">
        <f t="shared" si="14"/>
        <v>-77.752960499676206</v>
      </c>
      <c r="AP36" s="45"/>
      <c r="AQ36" s="55"/>
      <c r="AR36" s="48"/>
      <c r="AS36" s="48"/>
      <c r="AT36" s="51">
        <f t="shared" si="23"/>
        <v>32</v>
      </c>
      <c r="AU36" s="49">
        <f t="shared" si="24"/>
        <v>8.186146663473169E-4</v>
      </c>
      <c r="AV36" s="49">
        <f t="shared" si="25"/>
        <v>4.5061408092087542E-4</v>
      </c>
      <c r="AW36" s="50">
        <f xml:space="preserve"> IF(ISERROR(ROUND((1000*NPV($AT$1,$AV37:$AV$124)-$AW$1*($AU37+NPV($AT$1,$AU38:$AU$124)))/AU37,3)), 0, ROUND((1000*NPV($AT$1,$AV37:$AV$124)-$AW$1*($AU37+NPV($AT$1,$AU38:$AU$124)))/AU37,3))</f>
        <v>854.33600000000001</v>
      </c>
      <c r="AX36" s="50">
        <f>IF(ISERROR(ROUND(MAX(0,1000*NPV($AT$2,$AV37:$AV$124)-$AW$2*($AU37+NPV($AT$2,$AU38:$AU$124)))/AU37,3)), 0, ROUND(MAX(0,1000*NPV($AT$2,$AV37:$AV$124)-$AW$2*($AU37+NPV($AT$2,$AU38:$AU$124)))/AU37,3))</f>
        <v>805.14300000000003</v>
      </c>
    </row>
    <row r="37" spans="1:50" ht="15" x14ac:dyDescent="0.25">
      <c r="A37">
        <v>12</v>
      </c>
      <c r="B37">
        <v>3.4899347964645301E-4</v>
      </c>
      <c r="C37">
        <f t="shared" si="30"/>
        <v>3.2805387086766582E-4</v>
      </c>
      <c r="D37" s="60">
        <v>47</v>
      </c>
      <c r="E37" s="5">
        <v>1263214.3819281049</v>
      </c>
      <c r="F37" s="5">
        <v>37896.437187434407</v>
      </c>
      <c r="G37" s="8"/>
      <c r="H37" s="4"/>
      <c r="I37" s="51">
        <v>33</v>
      </c>
      <c r="J37" s="41"/>
      <c r="K37" s="41" t="str">
        <f t="shared" si="26"/>
        <v/>
      </c>
      <c r="L37" s="42">
        <f t="shared" si="27"/>
        <v>25</v>
      </c>
      <c r="M37" s="41">
        <f t="shared" si="28"/>
        <v>2000000</v>
      </c>
      <c r="N37" s="43">
        <f t="shared" si="1"/>
        <v>813.46299999999997</v>
      </c>
      <c r="O37" s="44">
        <f t="shared" si="2"/>
        <v>860.72199999999998</v>
      </c>
      <c r="P37" s="41">
        <f t="shared" si="3"/>
        <v>1626926</v>
      </c>
      <c r="Q37" s="41">
        <f t="shared" si="4"/>
        <v>1721444</v>
      </c>
      <c r="R37" s="44"/>
      <c r="S37" s="44">
        <f>IF(I37&lt;&gt;"",_xlfn.XLOOKUP($D$4+I37,$A$26:$A$145,$B$26:$B$145,0) * 1000,"")</f>
        <v>582.844363484469</v>
      </c>
      <c r="T37" s="52">
        <f t="shared" si="29"/>
        <v>0</v>
      </c>
      <c r="U37" s="53">
        <f t="shared" si="15"/>
        <v>3.6800058542644148E-4</v>
      </c>
      <c r="V37" s="53">
        <f t="shared" si="16"/>
        <v>2.1448706697478625E-4</v>
      </c>
      <c r="W37" s="53">
        <f t="shared" si="17"/>
        <v>0</v>
      </c>
      <c r="X37" s="46">
        <f t="shared" si="5"/>
        <v>1.5351351845165523E-4</v>
      </c>
      <c r="Y37" s="54"/>
      <c r="Z37" s="41">
        <f t="shared" si="18"/>
        <v>628.7922963017686</v>
      </c>
      <c r="AA37" s="41">
        <f t="shared" si="19"/>
        <v>7.3600117085288295</v>
      </c>
      <c r="AB37" s="41">
        <f t="shared" si="6"/>
        <v>264.2649252574912</v>
      </c>
      <c r="AC37" s="41">
        <f t="shared" si="7"/>
        <v>3.0702703690331048</v>
      </c>
      <c r="AD37" s="54"/>
      <c r="AE37" s="41">
        <f t="shared" si="8"/>
        <v>0</v>
      </c>
      <c r="AF37" s="41"/>
      <c r="AG37" s="41">
        <f t="shared" si="9"/>
        <v>-3.8378379612913809E-3</v>
      </c>
      <c r="AH37" s="41">
        <f t="shared" si="20"/>
        <v>-428.97413394957249</v>
      </c>
      <c r="AI37" s="41">
        <f t="shared" si="21"/>
        <v>0</v>
      </c>
      <c r="AJ37" s="41">
        <f t="shared" si="10"/>
        <v>-428.97797178753376</v>
      </c>
      <c r="AK37" s="41">
        <f t="shared" si="11"/>
        <v>364.5273710442774</v>
      </c>
      <c r="AL37" s="41">
        <f t="shared" si="22"/>
        <v>25.4460923204119</v>
      </c>
      <c r="AM37" s="41">
        <f t="shared" si="12"/>
        <v>-39.004508422844459</v>
      </c>
      <c r="AN37" s="41">
        <f t="shared" si="13"/>
        <v>4.2897413394957251</v>
      </c>
      <c r="AO37" s="41">
        <f t="shared" si="14"/>
        <v>-34.714767083348733</v>
      </c>
      <c r="AP37" s="45"/>
      <c r="AQ37" s="55"/>
      <c r="AR37" s="48"/>
      <c r="AS37" s="48"/>
      <c r="AT37" s="51">
        <f t="shared" si="23"/>
        <v>33</v>
      </c>
      <c r="AU37" s="49">
        <f t="shared" si="24"/>
        <v>3.6800058542644148E-4</v>
      </c>
      <c r="AV37" s="49">
        <f t="shared" si="25"/>
        <v>2.1448706697478625E-4</v>
      </c>
      <c r="AW37" s="50">
        <f xml:space="preserve"> IF(ISERROR(ROUND((1000*NPV($AT$1,$AV38:$AV$124)-$AW$1*($AU38+NPV($AT$1,$AU39:$AU$124)))/AU38,3)), 0, ROUND((1000*NPV($AT$1,$AV38:$AV$124)-$AW$1*($AU38+NPV($AT$1,$AU39:$AU$124)))/AU38,3))</f>
        <v>860.72199999999998</v>
      </c>
      <c r="AX37" s="50">
        <f>IF(ISERROR(ROUND(MAX(0,1000*NPV($AT$2,$AV38:$AV$124)-$AW$2*($AU38+NPV($AT$2,$AU39:$AU$124)))/AU38,3)), 0, ROUND(MAX(0,1000*NPV($AT$2,$AV38:$AV$124)-$AW$2*($AU38+NPV($AT$2,$AU39:$AU$124)))/AU38,3))</f>
        <v>813.46299999999997</v>
      </c>
    </row>
    <row r="38" spans="1:50" ht="15" x14ac:dyDescent="0.25">
      <c r="A38">
        <v>13</v>
      </c>
      <c r="B38">
        <v>3.8737471402239298E-4</v>
      </c>
      <c r="C38">
        <f t="shared" si="30"/>
        <v>3.6413223118104938E-4</v>
      </c>
      <c r="D38" s="60">
        <v>48</v>
      </c>
      <c r="E38" s="5">
        <v>1302721.7845379072</v>
      </c>
      <c r="F38" s="5">
        <v>39081.659250143333</v>
      </c>
      <c r="G38" s="8"/>
      <c r="H38" s="4"/>
      <c r="I38" s="51">
        <v>34</v>
      </c>
      <c r="J38" s="41"/>
      <c r="K38" s="41" t="str">
        <f t="shared" si="26"/>
        <v/>
      </c>
      <c r="L38" s="42">
        <f t="shared" si="27"/>
        <v>25</v>
      </c>
      <c r="M38" s="41">
        <f t="shared" si="28"/>
        <v>2000000</v>
      </c>
      <c r="N38" s="43">
        <f t="shared" si="1"/>
        <v>821.04200000000003</v>
      </c>
      <c r="O38" s="44">
        <f t="shared" si="2"/>
        <v>866.52599999999995</v>
      </c>
      <c r="P38" s="41">
        <f t="shared" si="3"/>
        <v>1642084</v>
      </c>
      <c r="Q38" s="41">
        <f t="shared" si="4"/>
        <v>1733052</v>
      </c>
      <c r="R38" s="44"/>
      <c r="S38" s="44">
        <f>IF(I38&lt;&gt;"",_xlfn.XLOOKUP($D$4+I38,$A$26:$A$145,$B$26:$B$145,0) * 1000,"")</f>
        <v>614.45576440144305</v>
      </c>
      <c r="T38" s="52">
        <f t="shared" si="29"/>
        <v>0</v>
      </c>
      <c r="U38" s="53">
        <f t="shared" si="15"/>
        <v>1.5351351845165523E-4</v>
      </c>
      <c r="V38" s="53">
        <f t="shared" si="16"/>
        <v>9.4327266326166856E-5</v>
      </c>
      <c r="W38" s="53">
        <f t="shared" si="17"/>
        <v>0</v>
      </c>
      <c r="X38" s="46">
        <f t="shared" si="5"/>
        <v>5.9186252125488373E-5</v>
      </c>
      <c r="Y38" s="54"/>
      <c r="Z38" s="41">
        <f t="shared" si="18"/>
        <v>264.2649252574912</v>
      </c>
      <c r="AA38" s="41">
        <f t="shared" si="19"/>
        <v>3.0702703690331048</v>
      </c>
      <c r="AB38" s="41">
        <f t="shared" si="6"/>
        <v>102.57285261858188</v>
      </c>
      <c r="AC38" s="41">
        <f t="shared" si="7"/>
        <v>1.1837250425097674</v>
      </c>
      <c r="AD38" s="54"/>
      <c r="AE38" s="41">
        <f t="shared" si="8"/>
        <v>0</v>
      </c>
      <c r="AF38" s="41"/>
      <c r="AG38" s="41">
        <f t="shared" si="9"/>
        <v>-1.4796563031372093E-3</v>
      </c>
      <c r="AH38" s="41">
        <f t="shared" si="20"/>
        <v>-188.6545326523337</v>
      </c>
      <c r="AI38" s="41">
        <f t="shared" si="21"/>
        <v>0</v>
      </c>
      <c r="AJ38" s="41">
        <f t="shared" si="10"/>
        <v>-188.65601230863683</v>
      </c>
      <c r="AK38" s="41">
        <f t="shared" si="11"/>
        <v>161.69207263890934</v>
      </c>
      <c r="AL38" s="41">
        <f t="shared" si="22"/>
        <v>10.693407825060971</v>
      </c>
      <c r="AM38" s="41">
        <f t="shared" si="12"/>
        <v>-16.270531844666522</v>
      </c>
      <c r="AN38" s="41">
        <f t="shared" si="13"/>
        <v>1.8865453265233374</v>
      </c>
      <c r="AO38" s="41">
        <f t="shared" si="14"/>
        <v>-14.383986518143184</v>
      </c>
      <c r="AP38" s="45"/>
      <c r="AQ38" s="55"/>
      <c r="AR38" s="48"/>
      <c r="AS38" s="48"/>
      <c r="AT38" s="51">
        <f t="shared" si="23"/>
        <v>34</v>
      </c>
      <c r="AU38" s="49">
        <f t="shared" si="24"/>
        <v>1.5351351845165523E-4</v>
      </c>
      <c r="AV38" s="49">
        <f t="shared" si="25"/>
        <v>9.4327266326166856E-5</v>
      </c>
      <c r="AW38" s="50">
        <f xml:space="preserve"> IF(ISERROR(ROUND((1000*NPV($AT$1,$AV39:$AV$124)-$AW$1*($AU39+NPV($AT$1,$AU40:$AU$124)))/AU39,3)), 0, ROUND((1000*NPV($AT$1,$AV39:$AV$124)-$AW$1*($AU39+NPV($AT$1,$AU40:$AU$124)))/AU39,3))</f>
        <v>866.52599999999995</v>
      </c>
      <c r="AX38" s="50">
        <f>IF(ISERROR(ROUND(MAX(0,1000*NPV($AT$2,$AV39:$AV$124)-$AW$2*($AU39+NPV($AT$2,$AU40:$AU$124)))/AU39,3)), 0, ROUND(MAX(0,1000*NPV($AT$2,$AV39:$AV$124)-$AW$2*($AU39+NPV($AT$2,$AU40:$AU$124)))/AU39,3))</f>
        <v>821.04200000000003</v>
      </c>
    </row>
    <row r="39" spans="1:50" ht="15" x14ac:dyDescent="0.25">
      <c r="A39">
        <v>14</v>
      </c>
      <c r="B39">
        <v>4.3498138462250098E-4</v>
      </c>
      <c r="C39">
        <f t="shared" si="30"/>
        <v>4.088825015451509E-4</v>
      </c>
      <c r="D39" s="60">
        <v>49</v>
      </c>
      <c r="E39" s="5">
        <v>1343035.9057919874</v>
      </c>
      <c r="F39" s="5">
        <v>40291.08287464187</v>
      </c>
      <c r="G39" s="8"/>
      <c r="H39" s="4"/>
      <c r="I39" s="51">
        <v>35</v>
      </c>
      <c r="J39" s="41"/>
      <c r="K39" s="41" t="str">
        <f t="shared" si="26"/>
        <v/>
      </c>
      <c r="L39" s="42">
        <f t="shared" si="27"/>
        <v>25</v>
      </c>
      <c r="M39" s="41">
        <f t="shared" si="28"/>
        <v>2000000</v>
      </c>
      <c r="N39" s="43">
        <f t="shared" si="1"/>
        <v>827.78</v>
      </c>
      <c r="O39" s="44">
        <f t="shared" si="2"/>
        <v>871.67700000000002</v>
      </c>
      <c r="P39" s="41">
        <f t="shared" si="3"/>
        <v>1655560</v>
      </c>
      <c r="Q39" s="41">
        <f t="shared" si="4"/>
        <v>1743354</v>
      </c>
      <c r="R39" s="44"/>
      <c r="S39" s="44">
        <f>IF(I39&lt;&gt;"",_xlfn.XLOOKUP($D$4+I39,$A$26:$A$145,$B$26:$B$145,0) * 1000,"")</f>
        <v>646.02465586262804</v>
      </c>
      <c r="T39" s="52">
        <f t="shared" si="29"/>
        <v>0</v>
      </c>
      <c r="U39" s="53">
        <f t="shared" si="15"/>
        <v>5.9186252125488373E-5</v>
      </c>
      <c r="V39" s="53">
        <f t="shared" si="16"/>
        <v>3.8235778161167362E-5</v>
      </c>
      <c r="W39" s="53">
        <f t="shared" si="17"/>
        <v>0</v>
      </c>
      <c r="X39" s="46">
        <f t="shared" si="5"/>
        <v>2.0950473964321011E-5</v>
      </c>
      <c r="Y39" s="54"/>
      <c r="Z39" s="41">
        <f t="shared" si="18"/>
        <v>102.57285261858188</v>
      </c>
      <c r="AA39" s="41">
        <f t="shared" si="19"/>
        <v>1.1837250425097674</v>
      </c>
      <c r="AB39" s="41">
        <f t="shared" si="6"/>
        <v>36.524092587594893</v>
      </c>
      <c r="AC39" s="41">
        <f t="shared" si="7"/>
        <v>0.41900947928642024</v>
      </c>
      <c r="AD39" s="54"/>
      <c r="AE39" s="41">
        <f t="shared" si="8"/>
        <v>0</v>
      </c>
      <c r="AF39" s="41"/>
      <c r="AG39" s="41">
        <f t="shared" si="9"/>
        <v>-5.2376184910802529E-4</v>
      </c>
      <c r="AH39" s="41">
        <f t="shared" si="20"/>
        <v>-76.47155632233472</v>
      </c>
      <c r="AI39" s="41">
        <f t="shared" si="21"/>
        <v>0</v>
      </c>
      <c r="AJ39" s="41">
        <f t="shared" si="10"/>
        <v>-76.47208008418383</v>
      </c>
      <c r="AK39" s="41">
        <f t="shared" si="11"/>
        <v>66.048760030986983</v>
      </c>
      <c r="AL39" s="41">
        <f t="shared" si="22"/>
        <v>4.1502631064436653</v>
      </c>
      <c r="AM39" s="41">
        <f t="shared" si="12"/>
        <v>-6.2730569467531812</v>
      </c>
      <c r="AN39" s="41">
        <f t="shared" si="13"/>
        <v>0.76471556322334711</v>
      </c>
      <c r="AO39" s="41">
        <f t="shared" si="14"/>
        <v>-5.5083413835298343</v>
      </c>
      <c r="AP39" s="45"/>
      <c r="AQ39" s="55"/>
      <c r="AR39" s="48"/>
      <c r="AS39" s="48"/>
      <c r="AT39" s="51">
        <f t="shared" si="23"/>
        <v>35</v>
      </c>
      <c r="AU39" s="49">
        <f t="shared" si="24"/>
        <v>5.9186252125488373E-5</v>
      </c>
      <c r="AV39" s="49">
        <f t="shared" si="25"/>
        <v>3.8235778161167362E-5</v>
      </c>
      <c r="AW39" s="50">
        <f xml:space="preserve"> IF(ISERROR(ROUND((1000*NPV($AT$1,$AV40:$AV$124)-$AW$1*($AU40+NPV($AT$1,$AU41:$AU$124)))/AU40,3)), 0, ROUND((1000*NPV($AT$1,$AV40:$AV$124)-$AW$1*($AU40+NPV($AT$1,$AU41:$AU$124)))/AU40,3))</f>
        <v>871.67700000000002</v>
      </c>
      <c r="AX39" s="50">
        <f>IF(ISERROR(ROUND(MAX(0,1000*NPV($AT$2,$AV40:$AV$124)-$AW$2*($AU40+NPV($AT$2,$AU41:$AU$124)))/AU40,3)), 0, ROUND(MAX(0,1000*NPV($AT$2,$AV40:$AV$124)-$AW$2*($AU40+NPV($AT$2,$AU41:$AU$124)))/AU40,3))</f>
        <v>827.78</v>
      </c>
    </row>
    <row r="40" spans="1:50" ht="15" x14ac:dyDescent="0.25">
      <c r="A40">
        <v>15</v>
      </c>
      <c r="B40">
        <v>5.2347495980620295E-4</v>
      </c>
      <c r="C40">
        <f t="shared" si="30"/>
        <v>4.9206646221783073E-4</v>
      </c>
      <c r="D40" s="60">
        <v>50</v>
      </c>
      <c r="E40" s="5">
        <v>1384148.6985598009</v>
      </c>
      <c r="F40" s="5">
        <v>41524.466634866782</v>
      </c>
      <c r="G40" s="8"/>
      <c r="H40" s="4"/>
      <c r="I40" s="51">
        <v>36</v>
      </c>
      <c r="J40" s="41"/>
      <c r="K40" s="41" t="str">
        <f t="shared" si="26"/>
        <v/>
      </c>
      <c r="L40" s="42">
        <f t="shared" si="27"/>
        <v>25</v>
      </c>
      <c r="M40" s="41">
        <f t="shared" si="28"/>
        <v>2000000</v>
      </c>
      <c r="N40" s="43">
        <f t="shared" si="1"/>
        <v>833.73199999999997</v>
      </c>
      <c r="O40" s="44">
        <f t="shared" si="2"/>
        <v>876.221</v>
      </c>
      <c r="P40" s="41">
        <f t="shared" si="3"/>
        <v>1667464</v>
      </c>
      <c r="Q40" s="41">
        <f t="shared" si="4"/>
        <v>1752442</v>
      </c>
      <c r="R40" s="44"/>
      <c r="S40" s="44">
        <f>IF(I40&lt;&gt;"",_xlfn.XLOOKUP($D$4+I40,$A$26:$A$145,$B$26:$B$145,0) * 1000,"")</f>
        <v>676.30452445949595</v>
      </c>
      <c r="T40" s="52">
        <f t="shared" si="29"/>
        <v>0</v>
      </c>
      <c r="U40" s="53">
        <f t="shared" si="15"/>
        <v>2.0950473964321011E-5</v>
      </c>
      <c r="V40" s="53">
        <f t="shared" si="16"/>
        <v>1.4168900331641172E-5</v>
      </c>
      <c r="W40" s="53">
        <f t="shared" si="17"/>
        <v>0</v>
      </c>
      <c r="X40" s="46">
        <f t="shared" si="5"/>
        <v>6.7815736326798393E-6</v>
      </c>
      <c r="Y40" s="54"/>
      <c r="Z40" s="41">
        <f t="shared" si="18"/>
        <v>36.524092587594893</v>
      </c>
      <c r="AA40" s="41">
        <f t="shared" si="19"/>
        <v>0.41900947928642024</v>
      </c>
      <c r="AB40" s="41">
        <f t="shared" si="6"/>
        <v>11.884314460000724</v>
      </c>
      <c r="AC40" s="41">
        <f t="shared" si="7"/>
        <v>0.13563147265359679</v>
      </c>
      <c r="AD40" s="54"/>
      <c r="AE40" s="41">
        <f t="shared" si="8"/>
        <v>0</v>
      </c>
      <c r="AF40" s="41"/>
      <c r="AG40" s="41">
        <f t="shared" si="9"/>
        <v>-1.6953934081699598E-4</v>
      </c>
      <c r="AH40" s="41">
        <f t="shared" si="20"/>
        <v>-28.337800663282344</v>
      </c>
      <c r="AI40" s="41">
        <f t="shared" si="21"/>
        <v>0</v>
      </c>
      <c r="AJ40" s="41">
        <f t="shared" si="10"/>
        <v>-28.337970202623161</v>
      </c>
      <c r="AK40" s="41">
        <f t="shared" si="11"/>
        <v>24.63977812759417</v>
      </c>
      <c r="AL40" s="41">
        <f t="shared" si="22"/>
        <v>1.4777240826752527</v>
      </c>
      <c r="AM40" s="41">
        <f t="shared" si="12"/>
        <v>-2.2204679923537389</v>
      </c>
      <c r="AN40" s="41">
        <f t="shared" si="13"/>
        <v>0.28337800663282342</v>
      </c>
      <c r="AO40" s="41">
        <f t="shared" si="14"/>
        <v>-1.9370899857209154</v>
      </c>
      <c r="AP40" s="45"/>
      <c r="AQ40" s="55"/>
      <c r="AR40" s="48"/>
      <c r="AS40" s="48"/>
      <c r="AT40" s="51">
        <f t="shared" si="23"/>
        <v>36</v>
      </c>
      <c r="AU40" s="49">
        <f t="shared" si="24"/>
        <v>2.0950473964321011E-5</v>
      </c>
      <c r="AV40" s="49">
        <f t="shared" si="25"/>
        <v>1.4168900331641172E-5</v>
      </c>
      <c r="AW40" s="50">
        <f xml:space="preserve"> IF(ISERROR(ROUND((1000*NPV($AT$1,$AV41:$AV$124)-$AW$1*($AU41+NPV($AT$1,$AU42:$AU$124)))/AU41,3)), 0, ROUND((1000*NPV($AT$1,$AV41:$AV$124)-$AW$1*($AU41+NPV($AT$1,$AU42:$AU$124)))/AU41,3))</f>
        <v>876.221</v>
      </c>
      <c r="AX40" s="50">
        <f>IF(ISERROR(ROUND(MAX(0,1000*NPV($AT$2,$AV41:$AV$124)-$AW$2*($AU41+NPV($AT$2,$AU42:$AU$124)))/AU41,3)), 0, ROUND(MAX(0,1000*NPV($AT$2,$AV41:$AV$124)-$AW$2*($AU41+NPV($AT$2,$AU42:$AU$124)))/AU41,3))</f>
        <v>833.73199999999997</v>
      </c>
    </row>
    <row r="41" spans="1:50" ht="15" x14ac:dyDescent="0.25">
      <c r="A41">
        <v>16</v>
      </c>
      <c r="B41">
        <v>6.3357981483402903E-4</v>
      </c>
      <c r="C41">
        <f t="shared" si="30"/>
        <v>5.9556502594398724E-4</v>
      </c>
      <c r="D41" s="60">
        <v>51</v>
      </c>
      <c r="E41" s="5">
        <v>1426072.0531750731</v>
      </c>
      <c r="F41" s="5">
        <v>42782.167250155937</v>
      </c>
      <c r="G41" s="8"/>
      <c r="H41" s="4"/>
      <c r="I41" s="51">
        <v>37</v>
      </c>
      <c r="J41" s="41"/>
      <c r="K41" s="41" t="str">
        <f t="shared" si="26"/>
        <v/>
      </c>
      <c r="L41" s="42">
        <f t="shared" si="27"/>
        <v>25</v>
      </c>
      <c r="M41" s="41">
        <f t="shared" si="28"/>
        <v>2000000</v>
      </c>
      <c r="N41" s="43">
        <f t="shared" si="1"/>
        <v>839.14800000000002</v>
      </c>
      <c r="O41" s="44">
        <f t="shared" si="2"/>
        <v>880.34799999999996</v>
      </c>
      <c r="P41" s="41">
        <f t="shared" si="3"/>
        <v>1678296</v>
      </c>
      <c r="Q41" s="41">
        <f t="shared" si="4"/>
        <v>1760696</v>
      </c>
      <c r="R41" s="44"/>
      <c r="S41" s="44">
        <f>IF(I41&lt;&gt;"",_xlfn.XLOOKUP($D$4+I41,$A$26:$A$145,$B$26:$B$145,0) * 1000,"")</f>
        <v>704.63448695677403</v>
      </c>
      <c r="T41" s="52">
        <f t="shared" si="29"/>
        <v>0</v>
      </c>
      <c r="U41" s="53">
        <f t="shared" si="15"/>
        <v>6.7815736326798393E-6</v>
      </c>
      <c r="V41" s="53">
        <f t="shared" si="16"/>
        <v>4.7785306574229445E-6</v>
      </c>
      <c r="W41" s="53">
        <f t="shared" si="17"/>
        <v>0</v>
      </c>
      <c r="X41" s="46">
        <f t="shared" si="5"/>
        <v>2.0030429752568948E-6</v>
      </c>
      <c r="Y41" s="54"/>
      <c r="Z41" s="41">
        <f t="shared" si="18"/>
        <v>11.884314460000724</v>
      </c>
      <c r="AA41" s="41">
        <f t="shared" si="19"/>
        <v>0.13563147265359679</v>
      </c>
      <c r="AB41" s="41">
        <f t="shared" si="6"/>
        <v>3.5267497543629136</v>
      </c>
      <c r="AC41" s="41">
        <f t="shared" si="7"/>
        <v>4.0060859505137894E-2</v>
      </c>
      <c r="AD41" s="54"/>
      <c r="AE41" s="41">
        <f t="shared" si="8"/>
        <v>0</v>
      </c>
      <c r="AF41" s="41"/>
      <c r="AG41" s="41">
        <f t="shared" si="9"/>
        <v>-5.0076074381422367E-5</v>
      </c>
      <c r="AH41" s="41">
        <f t="shared" si="20"/>
        <v>-9.5570613148458889</v>
      </c>
      <c r="AI41" s="41">
        <f t="shared" si="21"/>
        <v>0</v>
      </c>
      <c r="AJ41" s="41">
        <f t="shared" si="10"/>
        <v>-9.5571113909202712</v>
      </c>
      <c r="AK41" s="41">
        <f t="shared" si="11"/>
        <v>8.3575647056378095</v>
      </c>
      <c r="AL41" s="41">
        <f t="shared" si="22"/>
        <v>0.48079783730617282</v>
      </c>
      <c r="AM41" s="41">
        <f t="shared" si="12"/>
        <v>-0.71874884797628891</v>
      </c>
      <c r="AN41" s="41">
        <f t="shared" si="13"/>
        <v>9.5570613148458897E-2</v>
      </c>
      <c r="AO41" s="41">
        <f t="shared" si="14"/>
        <v>-0.62317823482782997</v>
      </c>
      <c r="AP41" s="45"/>
      <c r="AQ41" s="55"/>
      <c r="AR41" s="48"/>
      <c r="AS41" s="48"/>
      <c r="AT41" s="51">
        <f t="shared" si="23"/>
        <v>37</v>
      </c>
      <c r="AU41" s="49">
        <f t="shared" si="24"/>
        <v>6.7815736326798393E-6</v>
      </c>
      <c r="AV41" s="49">
        <f t="shared" si="25"/>
        <v>4.7785306574229445E-6</v>
      </c>
      <c r="AW41" s="50">
        <f xml:space="preserve"> IF(ISERROR(ROUND((1000*NPV($AT$1,$AV42:$AV$124)-$AW$1*($AU42+NPV($AT$1,$AU43:$AU$124)))/AU42,3)), 0, ROUND((1000*NPV($AT$1,$AV42:$AV$124)-$AW$1*($AU42+NPV($AT$1,$AU43:$AU$124)))/AU42,3))</f>
        <v>880.34799999999996</v>
      </c>
      <c r="AX41" s="50">
        <f>IF(ISERROR(ROUND(MAX(0,1000*NPV($AT$2,$AV42:$AV$124)-$AW$2*($AU42+NPV($AT$2,$AU43:$AU$124)))/AU42,3)), 0, ROUND(MAX(0,1000*NPV($AT$2,$AV42:$AV$124)-$AW$2*($AU42+NPV($AT$2,$AU43:$AU$124)))/AU42,3))</f>
        <v>839.14800000000002</v>
      </c>
    </row>
    <row r="42" spans="1:50" ht="15" x14ac:dyDescent="0.25">
      <c r="A42">
        <v>17</v>
      </c>
      <c r="B42">
        <v>7.58946395885141E-4</v>
      </c>
      <c r="C42">
        <f t="shared" si="30"/>
        <v>7.1340961213203248E-4</v>
      </c>
      <c r="D42" s="60">
        <v>52</v>
      </c>
      <c r="E42" s="5">
        <v>1468745.8413224178</v>
      </c>
      <c r="F42" s="5">
        <v>44062.380840004189</v>
      </c>
      <c r="G42" s="8"/>
      <c r="H42" s="4"/>
      <c r="I42" s="51">
        <v>38</v>
      </c>
      <c r="J42" s="41"/>
      <c r="K42" s="41" t="str">
        <f t="shared" si="26"/>
        <v/>
      </c>
      <c r="L42" s="42">
        <f t="shared" si="27"/>
        <v>25</v>
      </c>
      <c r="M42" s="41">
        <f t="shared" si="28"/>
        <v>2000000</v>
      </c>
      <c r="N42" s="43">
        <f t="shared" si="1"/>
        <v>844.05</v>
      </c>
      <c r="O42" s="44">
        <f t="shared" si="2"/>
        <v>884.07899999999995</v>
      </c>
      <c r="P42" s="41">
        <f t="shared" si="3"/>
        <v>1688100</v>
      </c>
      <c r="Q42" s="41">
        <f t="shared" si="4"/>
        <v>1768158</v>
      </c>
      <c r="R42" s="44"/>
      <c r="S42" s="44">
        <f>IF(I42&lt;&gt;"",_xlfn.XLOOKUP($D$4+I42,$A$26:$A$145,$B$26:$B$145,0) * 1000,"")</f>
        <v>732.160411931559</v>
      </c>
      <c r="T42" s="52">
        <f t="shared" si="29"/>
        <v>0</v>
      </c>
      <c r="U42" s="53">
        <f t="shared" si="15"/>
        <v>2.0030429752568948E-6</v>
      </c>
      <c r="V42" s="53">
        <f t="shared" si="16"/>
        <v>1.4665487698807036E-6</v>
      </c>
      <c r="W42" s="53">
        <f t="shared" si="17"/>
        <v>0</v>
      </c>
      <c r="X42" s="46">
        <f t="shared" si="5"/>
        <v>5.3649420537619117E-7</v>
      </c>
      <c r="Y42" s="54"/>
      <c r="Z42" s="41">
        <f t="shared" si="18"/>
        <v>3.5267497543629136</v>
      </c>
      <c r="AA42" s="41">
        <f t="shared" si="19"/>
        <v>4.0060859505137894E-2</v>
      </c>
      <c r="AB42" s="41">
        <f t="shared" si="6"/>
        <v>0.94860652118955546</v>
      </c>
      <c r="AC42" s="41">
        <f t="shared" si="7"/>
        <v>1.0729884107523823E-2</v>
      </c>
      <c r="AD42" s="54"/>
      <c r="AE42" s="41">
        <f t="shared" si="8"/>
        <v>0</v>
      </c>
      <c r="AF42" s="41"/>
      <c r="AG42" s="41">
        <f t="shared" si="9"/>
        <v>-1.341235513440478E-5</v>
      </c>
      <c r="AH42" s="41">
        <f t="shared" si="20"/>
        <v>-2.9330975397614072</v>
      </c>
      <c r="AI42" s="41">
        <f t="shared" si="21"/>
        <v>0</v>
      </c>
      <c r="AJ42" s="41">
        <f t="shared" si="10"/>
        <v>-2.9331109521165417</v>
      </c>
      <c r="AK42" s="41">
        <f t="shared" si="11"/>
        <v>2.5781432331733583</v>
      </c>
      <c r="AL42" s="41">
        <f t="shared" si="22"/>
        <v>0.14267242455472207</v>
      </c>
      <c r="AM42" s="41">
        <f t="shared" si="12"/>
        <v>-0.2122952943884614</v>
      </c>
      <c r="AN42" s="41">
        <f t="shared" si="13"/>
        <v>2.9330975397614069E-2</v>
      </c>
      <c r="AO42" s="41">
        <f t="shared" si="14"/>
        <v>-0.18296431899084734</v>
      </c>
      <c r="AP42" s="45"/>
      <c r="AQ42" s="55"/>
      <c r="AR42" s="48"/>
      <c r="AS42" s="48"/>
      <c r="AT42" s="51">
        <f t="shared" si="23"/>
        <v>38</v>
      </c>
      <c r="AU42" s="49">
        <f t="shared" si="24"/>
        <v>2.0030429752568948E-6</v>
      </c>
      <c r="AV42" s="49">
        <f t="shared" si="25"/>
        <v>1.4665487698807036E-6</v>
      </c>
      <c r="AW42" s="50">
        <f xml:space="preserve"> IF(ISERROR(ROUND((1000*NPV($AT$1,$AV43:$AV$124)-$AW$1*($AU43+NPV($AT$1,$AU44:$AU$124)))/AU43,3)), 0, ROUND((1000*NPV($AT$1,$AV43:$AV$124)-$AW$1*($AU43+NPV($AT$1,$AU44:$AU$124)))/AU43,3))</f>
        <v>884.07899999999995</v>
      </c>
      <c r="AX42" s="50">
        <f>IF(ISERROR(ROUND(MAX(0,1000*NPV($AT$2,$AV43:$AV$124)-$AW$2*($AU43+NPV($AT$2,$AU44:$AU$124)))/AU43,3)), 0, ROUND(MAX(0,1000*NPV($AT$2,$AV43:$AV$124)-$AW$2*($AU43+NPV($AT$2,$AU44:$AU$124)))/AU43,3))</f>
        <v>844.05</v>
      </c>
    </row>
    <row r="43" spans="1:50" ht="15" x14ac:dyDescent="0.25">
      <c r="A43">
        <v>18</v>
      </c>
      <c r="B43">
        <v>9.0768105204475102E-4</v>
      </c>
      <c r="C43">
        <f t="shared" si="30"/>
        <v>8.5322018892206595E-4</v>
      </c>
      <c r="D43" s="60">
        <v>53</v>
      </c>
      <c r="E43" s="5">
        <v>1512108.2286239103</v>
      </c>
      <c r="F43" s="5">
        <v>45363.252374364645</v>
      </c>
      <c r="G43" s="8"/>
      <c r="H43" s="4"/>
      <c r="I43" s="51">
        <v>39</v>
      </c>
      <c r="J43" s="41"/>
      <c r="K43" s="41" t="str">
        <f t="shared" si="26"/>
        <v/>
      </c>
      <c r="L43" s="42">
        <f t="shared" si="27"/>
        <v>25</v>
      </c>
      <c r="M43" s="41">
        <f t="shared" si="28"/>
        <v>2000000</v>
      </c>
      <c r="N43" s="43">
        <f t="shared" si="1"/>
        <v>848.46299999999997</v>
      </c>
      <c r="O43" s="44">
        <f t="shared" si="2"/>
        <v>887.43399999999997</v>
      </c>
      <c r="P43" s="41">
        <f t="shared" si="3"/>
        <v>1696926</v>
      </c>
      <c r="Q43" s="41">
        <f t="shared" si="4"/>
        <v>1774868</v>
      </c>
      <c r="R43" s="44"/>
      <c r="S43" s="44">
        <f>IF(I43&lt;&gt;"",_xlfn.XLOOKUP($D$4+I43,$A$26:$A$145,$B$26:$B$145,0) * 1000,"")</f>
        <v>758.64649692312207</v>
      </c>
      <c r="T43" s="52">
        <f t="shared" si="29"/>
        <v>0</v>
      </c>
      <c r="U43" s="53">
        <f t="shared" si="15"/>
        <v>5.3649420537619117E-7</v>
      </c>
      <c r="V43" s="53">
        <f t="shared" si="16"/>
        <v>4.0700944952820144E-7</v>
      </c>
      <c r="W43" s="53">
        <f t="shared" si="17"/>
        <v>0</v>
      </c>
      <c r="X43" s="46">
        <f t="shared" si="5"/>
        <v>1.2948475584798973E-7</v>
      </c>
      <c r="Y43" s="54"/>
      <c r="Z43" s="41">
        <f t="shared" si="18"/>
        <v>0.94860652118955546</v>
      </c>
      <c r="AA43" s="41">
        <f t="shared" si="19"/>
        <v>1.0729884107523823E-2</v>
      </c>
      <c r="AB43" s="41">
        <f t="shared" si="6"/>
        <v>0.22981834964240985</v>
      </c>
      <c r="AC43" s="41">
        <f t="shared" si="7"/>
        <v>2.5896951169597946E-3</v>
      </c>
      <c r="AD43" s="54"/>
      <c r="AE43" s="41">
        <f t="shared" si="8"/>
        <v>0</v>
      </c>
      <c r="AF43" s="41"/>
      <c r="AG43" s="41">
        <f t="shared" si="9"/>
        <v>-3.2371188961997433E-6</v>
      </c>
      <c r="AH43" s="41">
        <f t="shared" si="20"/>
        <v>-0.8140188990564029</v>
      </c>
      <c r="AI43" s="41">
        <f t="shared" si="21"/>
        <v>0</v>
      </c>
      <c r="AJ43" s="41">
        <f t="shared" si="10"/>
        <v>-0.81402213617529906</v>
      </c>
      <c r="AK43" s="41">
        <f t="shared" si="11"/>
        <v>0.71878817154714558</v>
      </c>
      <c r="AL43" s="41">
        <f t="shared" si="22"/>
        <v>3.8373456211883171E-2</v>
      </c>
      <c r="AM43" s="41">
        <f t="shared" si="12"/>
        <v>-5.6860508416270307E-2</v>
      </c>
      <c r="AN43" s="41">
        <f t="shared" si="13"/>
        <v>8.1401889905640297E-3</v>
      </c>
      <c r="AO43" s="41">
        <f t="shared" si="14"/>
        <v>-4.8720319425706274E-2</v>
      </c>
      <c r="AP43" s="45"/>
      <c r="AQ43" s="55"/>
      <c r="AR43" s="48"/>
      <c r="AS43" s="48"/>
      <c r="AT43" s="51">
        <f t="shared" si="23"/>
        <v>39</v>
      </c>
      <c r="AU43" s="49">
        <f t="shared" si="24"/>
        <v>5.3649420537619117E-7</v>
      </c>
      <c r="AV43" s="49">
        <f t="shared" si="25"/>
        <v>4.0700944952820144E-7</v>
      </c>
      <c r="AW43" s="50">
        <f xml:space="preserve"> IF(ISERROR(ROUND((1000*NPV($AT$1,$AV44:$AV$124)-$AW$1*($AU44+NPV($AT$1,$AU45:$AU$124)))/AU44,3)), 0, ROUND((1000*NPV($AT$1,$AV44:$AV$124)-$AW$1*($AU44+NPV($AT$1,$AU45:$AU$124)))/AU44,3))</f>
        <v>887.43399999999997</v>
      </c>
      <c r="AX43" s="50">
        <f>IF(ISERROR(ROUND(MAX(0,1000*NPV($AT$2,$AV44:$AV$124)-$AW$2*($AU44+NPV($AT$2,$AU45:$AU$124)))/AU44,3)), 0, ROUND(MAX(0,1000*NPV($AT$2,$AV44:$AV$124)-$AW$2*($AU44+NPV($AT$2,$AU45:$AU$124)))/AU44,3))</f>
        <v>848.46299999999997</v>
      </c>
    </row>
    <row r="44" spans="1:50" ht="15" x14ac:dyDescent="0.25">
      <c r="A44">
        <v>19</v>
      </c>
      <c r="B44">
        <v>8.21035234919276E-4</v>
      </c>
      <c r="C44">
        <f t="shared" si="30"/>
        <v>7.7177312082411938E-4</v>
      </c>
      <c r="D44" s="60">
        <v>54</v>
      </c>
      <c r="E44" s="5">
        <v>1556132.1247023398</v>
      </c>
      <c r="F44" s="5">
        <v>46683.96915872104</v>
      </c>
      <c r="G44" s="8"/>
      <c r="H44" s="4"/>
      <c r="I44" s="51">
        <v>40</v>
      </c>
      <c r="J44" s="41"/>
      <c r="K44" s="41" t="str">
        <f t="shared" si="26"/>
        <v/>
      </c>
      <c r="L44" s="42">
        <f t="shared" si="27"/>
        <v>25</v>
      </c>
      <c r="M44" s="41">
        <f t="shared" si="28"/>
        <v>2000000</v>
      </c>
      <c r="N44" s="43">
        <f t="shared" si="1"/>
        <v>852.42100000000005</v>
      </c>
      <c r="O44" s="44">
        <f t="shared" si="2"/>
        <v>890.44</v>
      </c>
      <c r="P44" s="41">
        <f t="shared" si="3"/>
        <v>1704842</v>
      </c>
      <c r="Q44" s="41">
        <f t="shared" si="4"/>
        <v>1780880</v>
      </c>
      <c r="R44" s="44"/>
      <c r="S44" s="44">
        <f>IF(I44&lt;&gt;"",_xlfn.XLOOKUP($D$4+I44,$A$26:$A$145,$B$26:$B$145,0) * 1000,"")</f>
        <v>783.87555384004907</v>
      </c>
      <c r="T44" s="52">
        <f t="shared" si="29"/>
        <v>0</v>
      </c>
      <c r="U44" s="53">
        <f t="shared" si="15"/>
        <v>1.2948475584798973E-7</v>
      </c>
      <c r="V44" s="53">
        <f t="shared" si="16"/>
        <v>1.0149993470418648E-7</v>
      </c>
      <c r="W44" s="53">
        <f t="shared" si="17"/>
        <v>0</v>
      </c>
      <c r="X44" s="46">
        <f t="shared" si="5"/>
        <v>2.7984821143803253E-8</v>
      </c>
      <c r="Y44" s="54"/>
      <c r="Z44" s="41">
        <f t="shared" si="18"/>
        <v>0.22981834964240985</v>
      </c>
      <c r="AA44" s="41">
        <f t="shared" si="19"/>
        <v>2.5896951169597946E-3</v>
      </c>
      <c r="AB44" s="41">
        <f t="shared" si="6"/>
        <v>4.9837608278576334E-2</v>
      </c>
      <c r="AC44" s="41">
        <f t="shared" si="7"/>
        <v>5.5969642287606505E-4</v>
      </c>
      <c r="AD44" s="54"/>
      <c r="AE44" s="41">
        <f t="shared" si="8"/>
        <v>0</v>
      </c>
      <c r="AF44" s="41"/>
      <c r="AG44" s="41">
        <f t="shared" si="9"/>
        <v>-6.9962052859508127E-7</v>
      </c>
      <c r="AH44" s="41">
        <f t="shared" si="20"/>
        <v>-0.20299986940837295</v>
      </c>
      <c r="AI44" s="41">
        <f t="shared" si="21"/>
        <v>0</v>
      </c>
      <c r="AJ44" s="41">
        <f t="shared" si="10"/>
        <v>-0.20300056902890154</v>
      </c>
      <c r="AK44" s="41">
        <f t="shared" si="11"/>
        <v>0.17998074136383352</v>
      </c>
      <c r="AL44" s="41">
        <f t="shared" si="22"/>
        <v>9.2963217903747862E-3</v>
      </c>
      <c r="AM44" s="41">
        <f t="shared" si="12"/>
        <v>-1.3723505874693235E-2</v>
      </c>
      <c r="AN44" s="41">
        <f t="shared" si="13"/>
        <v>2.0299986940837296E-3</v>
      </c>
      <c r="AO44" s="41">
        <f t="shared" si="14"/>
        <v>-1.1693507180609505E-2</v>
      </c>
      <c r="AP44" s="45"/>
      <c r="AQ44" s="55"/>
      <c r="AR44" s="48"/>
      <c r="AS44" s="48"/>
      <c r="AT44" s="51">
        <f t="shared" si="23"/>
        <v>40</v>
      </c>
      <c r="AU44" s="49">
        <f t="shared" si="24"/>
        <v>1.2948475584798973E-7</v>
      </c>
      <c r="AV44" s="49">
        <f t="shared" si="25"/>
        <v>1.0149993470418648E-7</v>
      </c>
      <c r="AW44" s="50">
        <f xml:space="preserve"> IF(ISERROR(ROUND((1000*NPV($AT$1,$AV45:$AV$124)-$AW$1*($AU45+NPV($AT$1,$AU46:$AU$124)))/AU45,3)), 0, ROUND((1000*NPV($AT$1,$AV45:$AV$124)-$AW$1*($AU45+NPV($AT$1,$AU46:$AU$124)))/AU45,3))</f>
        <v>890.44</v>
      </c>
      <c r="AX44" s="50">
        <f>IF(ISERROR(ROUND(MAX(0,1000*NPV($AT$2,$AV45:$AV$124)-$AW$2*($AU45+NPV($AT$2,$AU46:$AU$124)))/AU45,3)), 0, ROUND(MAX(0,1000*NPV($AT$2,$AV45:$AV$124)-$AW$2*($AU45+NPV($AT$2,$AU46:$AU$124)))/AU45,3))</f>
        <v>852.42100000000005</v>
      </c>
    </row>
    <row r="45" spans="1:50" ht="15" x14ac:dyDescent="0.25">
      <c r="A45">
        <v>20</v>
      </c>
      <c r="B45">
        <v>8.9058026836974502E-4</v>
      </c>
      <c r="C45">
        <f t="shared" si="30"/>
        <v>8.3714545226756028E-4</v>
      </c>
      <c r="D45" s="60">
        <v>55</v>
      </c>
      <c r="E45" s="5">
        <v>1600743.1523272933</v>
      </c>
      <c r="F45" s="5">
        <v>48022.299858156941</v>
      </c>
      <c r="G45" s="8"/>
      <c r="H45" s="4"/>
      <c r="I45" s="51">
        <v>41</v>
      </c>
      <c r="J45" s="41"/>
      <c r="K45" s="41" t="str">
        <f t="shared" si="26"/>
        <v/>
      </c>
      <c r="L45" s="42">
        <f t="shared" si="27"/>
        <v>25</v>
      </c>
      <c r="M45" s="41">
        <f t="shared" si="28"/>
        <v>2000000</v>
      </c>
      <c r="N45" s="43">
        <f t="shared" si="1"/>
        <v>855.97400000000005</v>
      </c>
      <c r="O45" s="44">
        <f t="shared" si="2"/>
        <v>893.13499999999999</v>
      </c>
      <c r="P45" s="41">
        <f t="shared" si="3"/>
        <v>1711948</v>
      </c>
      <c r="Q45" s="41">
        <f t="shared" si="4"/>
        <v>1786270</v>
      </c>
      <c r="R45" s="44"/>
      <c r="S45" s="44">
        <f>IF(I45&lt;&gt;"",_xlfn.XLOOKUP($D$4+I45,$A$26:$A$145,$B$26:$B$145,0) * 1000,"")</f>
        <v>807.67078957601302</v>
      </c>
      <c r="T45" s="52">
        <f t="shared" si="29"/>
        <v>0</v>
      </c>
      <c r="U45" s="53">
        <f t="shared" si="15"/>
        <v>2.7984821143803253E-8</v>
      </c>
      <c r="V45" s="53">
        <f t="shared" si="16"/>
        <v>2.2602522589359076E-8</v>
      </c>
      <c r="W45" s="53">
        <f t="shared" si="17"/>
        <v>0</v>
      </c>
      <c r="X45" s="46">
        <f t="shared" si="5"/>
        <v>5.3822985544441766E-9</v>
      </c>
      <c r="Y45" s="54"/>
      <c r="Z45" s="41">
        <f t="shared" si="18"/>
        <v>4.9837608278576334E-2</v>
      </c>
      <c r="AA45" s="41">
        <f t="shared" si="19"/>
        <v>5.5969642287606505E-4</v>
      </c>
      <c r="AB45" s="41">
        <f t="shared" si="6"/>
        <v>9.6142384388469993E-3</v>
      </c>
      <c r="AC45" s="41">
        <f t="shared" si="7"/>
        <v>1.0764597108888353E-4</v>
      </c>
      <c r="AD45" s="54"/>
      <c r="AE45" s="41">
        <f t="shared" si="8"/>
        <v>0</v>
      </c>
      <c r="AF45" s="41"/>
      <c r="AG45" s="41">
        <f t="shared" si="9"/>
        <v>-1.345574638611044E-7</v>
      </c>
      <c r="AH45" s="41">
        <f t="shared" si="20"/>
        <v>-4.5205045178718151E-2</v>
      </c>
      <c r="AI45" s="41">
        <f t="shared" si="21"/>
        <v>0</v>
      </c>
      <c r="AJ45" s="41">
        <f t="shared" si="10"/>
        <v>-4.5205179736182009E-2</v>
      </c>
      <c r="AK45" s="41">
        <f t="shared" si="11"/>
        <v>4.0223369839729337E-2</v>
      </c>
      <c r="AL45" s="41">
        <f t="shared" si="22"/>
        <v>2.015892188058096E-3</v>
      </c>
      <c r="AM45" s="41">
        <f t="shared" si="12"/>
        <v>-2.9659177083945767E-3</v>
      </c>
      <c r="AN45" s="41">
        <f t="shared" si="13"/>
        <v>4.5205045178718152E-4</v>
      </c>
      <c r="AO45" s="41">
        <f t="shared" si="14"/>
        <v>-2.5138672566073954E-3</v>
      </c>
      <c r="AP45" s="45"/>
      <c r="AQ45" s="55"/>
      <c r="AR45" s="48"/>
      <c r="AS45" s="48"/>
      <c r="AT45" s="51">
        <f t="shared" si="23"/>
        <v>41</v>
      </c>
      <c r="AU45" s="49">
        <f t="shared" si="24"/>
        <v>2.7984821143803253E-8</v>
      </c>
      <c r="AV45" s="49">
        <f t="shared" si="25"/>
        <v>2.2602522589359076E-8</v>
      </c>
      <c r="AW45" s="50">
        <f xml:space="preserve"> IF(ISERROR(ROUND((1000*NPV($AT$1,$AV46:$AV$124)-$AW$1*($AU46+NPV($AT$1,$AU47:$AU$124)))/AU46,3)), 0, ROUND((1000*NPV($AT$1,$AV46:$AV$124)-$AW$1*($AU46+NPV($AT$1,$AU47:$AU$124)))/AU46,3))</f>
        <v>893.13499999999999</v>
      </c>
      <c r="AX45" s="50">
        <f>IF(ISERROR(ROUND(MAX(0,1000*NPV($AT$2,$AV46:$AV$124)-$AW$2*($AU46+NPV($AT$2,$AU47:$AU$124)))/AU46,3)), 0, ROUND(MAX(0,1000*NPV($AT$2,$AV46:$AV$124)-$AW$2*($AU46+NPV($AT$2,$AU47:$AU$124)))/AU46,3))</f>
        <v>855.97400000000005</v>
      </c>
    </row>
    <row r="46" spans="1:50" ht="15" x14ac:dyDescent="0.25">
      <c r="A46">
        <v>21</v>
      </c>
      <c r="B46">
        <v>9.6114423791060499E-4</v>
      </c>
      <c r="C46">
        <f t="shared" si="30"/>
        <v>9.0347558363596859E-4</v>
      </c>
      <c r="D46" s="60">
        <v>56</v>
      </c>
      <c r="E46" s="5">
        <v>1646629.7474618647</v>
      </c>
      <c r="F46" s="5">
        <v>49398.897862437763</v>
      </c>
      <c r="G46" s="8"/>
      <c r="H46" s="4"/>
      <c r="I46" s="51">
        <v>42</v>
      </c>
      <c r="J46" s="41"/>
      <c r="K46" s="41" t="str">
        <f t="shared" si="26"/>
        <v/>
      </c>
      <c r="L46" s="42">
        <f t="shared" si="27"/>
        <v>25</v>
      </c>
      <c r="M46" s="41">
        <f t="shared" si="28"/>
        <v>2000000</v>
      </c>
      <c r="N46" s="43">
        <f t="shared" si="1"/>
        <v>859.16499999999996</v>
      </c>
      <c r="O46" s="44">
        <f t="shared" si="2"/>
        <v>895.553</v>
      </c>
      <c r="P46" s="41">
        <f t="shared" si="3"/>
        <v>1718330</v>
      </c>
      <c r="Q46" s="41">
        <f t="shared" si="4"/>
        <v>1791106</v>
      </c>
      <c r="R46" s="44"/>
      <c r="S46" s="44">
        <f>IF(I46&lt;&gt;"",_xlfn.XLOOKUP($D$4+I46,$A$26:$A$145,$B$26:$B$145,0) * 1000,"")</f>
        <v>830.05337832274199</v>
      </c>
      <c r="T46" s="52">
        <f t="shared" si="29"/>
        <v>0</v>
      </c>
      <c r="U46" s="53">
        <f t="shared" si="15"/>
        <v>5.3822985544441766E-9</v>
      </c>
      <c r="V46" s="53">
        <f t="shared" si="16"/>
        <v>4.4675950982579997E-9</v>
      </c>
      <c r="W46" s="53">
        <f t="shared" si="17"/>
        <v>0</v>
      </c>
      <c r="X46" s="46">
        <f t="shared" si="5"/>
        <v>9.1470345618617694E-10</v>
      </c>
      <c r="Y46" s="54"/>
      <c r="Z46" s="41">
        <f t="shared" si="18"/>
        <v>9.6142384388469993E-3</v>
      </c>
      <c r="AA46" s="41">
        <f t="shared" si="19"/>
        <v>1.0764597108888353E-4</v>
      </c>
      <c r="AB46" s="41">
        <f t="shared" si="6"/>
        <v>1.6383308485957986E-3</v>
      </c>
      <c r="AC46" s="41">
        <f t="shared" si="7"/>
        <v>1.8294069123723538E-5</v>
      </c>
      <c r="AD46" s="54"/>
      <c r="AE46" s="41">
        <f t="shared" si="8"/>
        <v>0</v>
      </c>
      <c r="AF46" s="41"/>
      <c r="AG46" s="41">
        <f t="shared" si="9"/>
        <v>-2.2867586404654423E-8</v>
      </c>
      <c r="AH46" s="41">
        <f t="shared" si="20"/>
        <v>-8.9351901965159988E-3</v>
      </c>
      <c r="AI46" s="41">
        <f t="shared" si="21"/>
        <v>0</v>
      </c>
      <c r="AJ46" s="41">
        <f t="shared" si="10"/>
        <v>-8.9352130641024031E-3</v>
      </c>
      <c r="AK46" s="41">
        <f t="shared" si="11"/>
        <v>7.9759075902512012E-3</v>
      </c>
      <c r="AL46" s="41">
        <f t="shared" si="22"/>
        <v>3.8887537639743531E-4</v>
      </c>
      <c r="AM46" s="41">
        <f t="shared" si="12"/>
        <v>-5.7043009745376665E-4</v>
      </c>
      <c r="AN46" s="41">
        <f t="shared" si="13"/>
        <v>8.9351901965159996E-5</v>
      </c>
      <c r="AO46" s="41">
        <f t="shared" si="14"/>
        <v>-4.8107819548860666E-4</v>
      </c>
      <c r="AP46" s="45"/>
      <c r="AQ46" s="55"/>
      <c r="AR46" s="48"/>
      <c r="AS46" s="48"/>
      <c r="AT46" s="51">
        <f t="shared" si="23"/>
        <v>42</v>
      </c>
      <c r="AU46" s="49">
        <f t="shared" si="24"/>
        <v>5.3822985544441766E-9</v>
      </c>
      <c r="AV46" s="49">
        <f t="shared" si="25"/>
        <v>4.4675950982579997E-9</v>
      </c>
      <c r="AW46" s="50">
        <f xml:space="preserve"> IF(ISERROR(ROUND((1000*NPV($AT$1,$AV47:$AV$124)-$AW$1*($AU47+NPV($AT$1,$AU48:$AU$124)))/AU47,3)), 0, ROUND((1000*NPV($AT$1,$AV47:$AV$124)-$AW$1*($AU47+NPV($AT$1,$AU48:$AU$124)))/AU47,3))</f>
        <v>895.553</v>
      </c>
      <c r="AX46" s="50">
        <f>IF(ISERROR(ROUND(MAX(0,1000*NPV($AT$2,$AV47:$AV$124)-$AW$2*($AU47+NPV($AT$2,$AU48:$AU$124)))/AU47,3)), 0, ROUND(MAX(0,1000*NPV($AT$2,$AV47:$AV$124)-$AW$2*($AU47+NPV($AT$2,$AU48:$AU$124)))/AU47,3))</f>
        <v>859.16499999999996</v>
      </c>
    </row>
    <row r="47" spans="1:50" ht="15" x14ac:dyDescent="0.25">
      <c r="A47">
        <v>22</v>
      </c>
      <c r="B47">
        <v>1.0094337456209E-3</v>
      </c>
      <c r="C47">
        <f t="shared" si="30"/>
        <v>9.488677208836459E-4</v>
      </c>
      <c r="D47" s="60">
        <v>57</v>
      </c>
      <c r="E47" s="5">
        <v>1693169.3505320074</v>
      </c>
      <c r="F47" s="5">
        <v>50795.085842601606</v>
      </c>
      <c r="G47" s="8"/>
      <c r="H47" s="4"/>
      <c r="I47" s="51">
        <v>43</v>
      </c>
      <c r="J47" s="41"/>
      <c r="K47" s="41" t="str">
        <f t="shared" si="26"/>
        <v/>
      </c>
      <c r="L47" s="42">
        <f t="shared" si="27"/>
        <v>25</v>
      </c>
      <c r="M47" s="41">
        <f t="shared" si="28"/>
        <v>2000000</v>
      </c>
      <c r="N47" s="43">
        <f t="shared" si="1"/>
        <v>862.01700000000005</v>
      </c>
      <c r="O47" s="44">
        <f t="shared" si="2"/>
        <v>897.71299999999997</v>
      </c>
      <c r="P47" s="41">
        <f t="shared" si="3"/>
        <v>1724034</v>
      </c>
      <c r="Q47" s="41">
        <f t="shared" si="4"/>
        <v>1795426</v>
      </c>
      <c r="R47" s="44"/>
      <c r="S47" s="44">
        <f>IF(I47&lt;&gt;"",_xlfn.XLOOKUP($D$4+I47,$A$26:$A$145,$B$26:$B$145,0) * 1000,"")</f>
        <v>851.057297217783</v>
      </c>
      <c r="T47" s="52">
        <f t="shared" si="29"/>
        <v>0</v>
      </c>
      <c r="U47" s="53">
        <f t="shared" si="15"/>
        <v>9.1470345618617694E-10</v>
      </c>
      <c r="V47" s="53">
        <f t="shared" si="16"/>
        <v>7.7846505117757254E-10</v>
      </c>
      <c r="W47" s="53">
        <f t="shared" si="17"/>
        <v>0</v>
      </c>
      <c r="X47" s="46">
        <f t="shared" si="5"/>
        <v>1.362384050086044E-10</v>
      </c>
      <c r="Y47" s="54"/>
      <c r="Z47" s="41">
        <f t="shared" si="18"/>
        <v>1.6383308485957986E-3</v>
      </c>
      <c r="AA47" s="41">
        <f t="shared" si="19"/>
        <v>1.8294069123723538E-5</v>
      </c>
      <c r="AB47" s="41">
        <f t="shared" si="6"/>
        <v>2.4460597455097855E-4</v>
      </c>
      <c r="AC47" s="41">
        <f t="shared" si="7"/>
        <v>2.7247681001720879E-6</v>
      </c>
      <c r="AD47" s="54"/>
      <c r="AE47" s="41">
        <f t="shared" si="8"/>
        <v>0</v>
      </c>
      <c r="AF47" s="41"/>
      <c r="AG47" s="41">
        <f t="shared" si="9"/>
        <v>-3.4059601252151101E-9</v>
      </c>
      <c r="AH47" s="41">
        <f t="shared" si="20"/>
        <v>-1.556930102355145E-3</v>
      </c>
      <c r="AI47" s="41">
        <f t="shared" si="21"/>
        <v>0</v>
      </c>
      <c r="AJ47" s="41">
        <f t="shared" si="10"/>
        <v>-1.5569335083152702E-3</v>
      </c>
      <c r="AK47" s="41">
        <f t="shared" si="11"/>
        <v>1.3937248740448201E-3</v>
      </c>
      <c r="AL47" s="41">
        <f t="shared" si="22"/>
        <v>6.6264996708780886E-5</v>
      </c>
      <c r="AM47" s="41">
        <f t="shared" si="12"/>
        <v>-9.6943637561669268E-5</v>
      </c>
      <c r="AN47" s="41">
        <f t="shared" si="13"/>
        <v>1.5569301023551449E-5</v>
      </c>
      <c r="AO47" s="41">
        <f t="shared" si="14"/>
        <v>-8.1374336538117819E-5</v>
      </c>
      <c r="AP47" s="45"/>
      <c r="AQ47" s="55"/>
      <c r="AR47" s="48"/>
      <c r="AS47" s="48"/>
      <c r="AT47" s="51">
        <f t="shared" si="23"/>
        <v>43</v>
      </c>
      <c r="AU47" s="49">
        <f t="shared" si="24"/>
        <v>9.1470345618617694E-10</v>
      </c>
      <c r="AV47" s="49">
        <f t="shared" si="25"/>
        <v>7.7846505117757254E-10</v>
      </c>
      <c r="AW47" s="50">
        <f xml:space="preserve"> IF(ISERROR(ROUND((1000*NPV($AT$1,$AV48:$AV$124)-$AW$1*($AU48+NPV($AT$1,$AU49:$AU$124)))/AU48,3)), 0, ROUND((1000*NPV($AT$1,$AV48:$AV$124)-$AW$1*($AU48+NPV($AT$1,$AU49:$AU$124)))/AU48,3))</f>
        <v>897.71299999999997</v>
      </c>
      <c r="AX47" s="50">
        <f>IF(ISERROR(ROUND(MAX(0,1000*NPV($AT$2,$AV48:$AV$124)-$AW$2*($AU48+NPV($AT$2,$AU49:$AU$124)))/AU48,3)), 0, ROUND(MAX(0,1000*NPV($AT$2,$AV48:$AV$124)-$AW$2*($AU48+NPV($AT$2,$AU49:$AU$124)))/AU48,3))</f>
        <v>862.01700000000005</v>
      </c>
    </row>
    <row r="48" spans="1:50" ht="15" x14ac:dyDescent="0.25">
      <c r="A48">
        <v>23</v>
      </c>
      <c r="B48">
        <v>1.04760750664556E-3</v>
      </c>
      <c r="C48">
        <f t="shared" si="30"/>
        <v>9.8475105624682628E-4</v>
      </c>
      <c r="D48" s="60">
        <v>58</v>
      </c>
      <c r="E48" s="5">
        <v>1740385.7555535382</v>
      </c>
      <c r="F48" s="5">
        <v>52211.577891147113</v>
      </c>
      <c r="G48" s="8"/>
      <c r="H48" s="4"/>
      <c r="I48" s="51">
        <v>44</v>
      </c>
      <c r="J48" s="41"/>
      <c r="K48" s="41" t="str">
        <f t="shared" si="26"/>
        <v/>
      </c>
      <c r="L48" s="42">
        <f t="shared" si="27"/>
        <v>25</v>
      </c>
      <c r="M48" s="41">
        <f t="shared" si="28"/>
        <v>2000000</v>
      </c>
      <c r="N48" s="43">
        <f t="shared" si="1"/>
        <v>864.57799999999997</v>
      </c>
      <c r="O48" s="44">
        <f t="shared" si="2"/>
        <v>899.65200000000004</v>
      </c>
      <c r="P48" s="41">
        <f t="shared" si="3"/>
        <v>1729156</v>
      </c>
      <c r="Q48" s="41">
        <f t="shared" si="4"/>
        <v>1799304</v>
      </c>
      <c r="R48" s="44"/>
      <c r="S48" s="44">
        <f>IF(I48&lt;&gt;"",_xlfn.XLOOKUP($D$4+I48,$A$26:$A$145,$B$26:$B$145,0) * 1000,"")</f>
        <v>870.56397599500497</v>
      </c>
      <c r="T48" s="52">
        <f t="shared" si="29"/>
        <v>0</v>
      </c>
      <c r="U48" s="53">
        <f t="shared" si="15"/>
        <v>1.362384050086044E-10</v>
      </c>
      <c r="V48" s="53">
        <f t="shared" si="16"/>
        <v>1.1860424754750846E-10</v>
      </c>
      <c r="W48" s="53">
        <f t="shared" si="17"/>
        <v>0</v>
      </c>
      <c r="X48" s="46">
        <f t="shared" si="5"/>
        <v>1.7634157461095945E-11</v>
      </c>
      <c r="Y48" s="54"/>
      <c r="Z48" s="41">
        <f t="shared" si="18"/>
        <v>2.4460597455097855E-4</v>
      </c>
      <c r="AA48" s="41">
        <f t="shared" si="19"/>
        <v>2.7247681001720879E-6</v>
      </c>
      <c r="AB48" s="41">
        <f t="shared" si="6"/>
        <v>3.1729210056379775E-5</v>
      </c>
      <c r="AC48" s="41">
        <f t="shared" si="7"/>
        <v>3.5268314922191892E-7</v>
      </c>
      <c r="AD48" s="54"/>
      <c r="AE48" s="41">
        <f t="shared" si="8"/>
        <v>0</v>
      </c>
      <c r="AF48" s="41"/>
      <c r="AG48" s="41">
        <f t="shared" si="9"/>
        <v>-4.4085393652739865E-10</v>
      </c>
      <c r="AH48" s="41">
        <f t="shared" si="20"/>
        <v>-2.3720849509501691E-4</v>
      </c>
      <c r="AI48" s="41">
        <f t="shared" si="21"/>
        <v>0</v>
      </c>
      <c r="AJ48" s="41">
        <f t="shared" si="10"/>
        <v>-2.3720893594895344E-4</v>
      </c>
      <c r="AK48" s="41">
        <f t="shared" si="11"/>
        <v>2.1287676449459878E-4</v>
      </c>
      <c r="AL48" s="41">
        <f t="shared" si="22"/>
        <v>9.8932297060460256E-6</v>
      </c>
      <c r="AM48" s="41">
        <f t="shared" si="12"/>
        <v>-1.4438941748308632E-5</v>
      </c>
      <c r="AN48" s="41">
        <f t="shared" si="13"/>
        <v>2.3720849509501689E-6</v>
      </c>
      <c r="AO48" s="41">
        <f t="shared" si="14"/>
        <v>-1.2066856797358464E-5</v>
      </c>
      <c r="AP48" s="45"/>
      <c r="AQ48" s="55"/>
      <c r="AR48" s="48"/>
      <c r="AS48" s="48"/>
      <c r="AT48" s="51">
        <f t="shared" si="23"/>
        <v>44</v>
      </c>
      <c r="AU48" s="49">
        <f t="shared" si="24"/>
        <v>1.362384050086044E-10</v>
      </c>
      <c r="AV48" s="49">
        <f t="shared" si="25"/>
        <v>1.1860424754750846E-10</v>
      </c>
      <c r="AW48" s="50">
        <f xml:space="preserve"> IF(ISERROR(ROUND((1000*NPV($AT$1,$AV49:$AV$124)-$AW$1*($AU49+NPV($AT$1,$AU50:$AU$124)))/AU49,3)), 0, ROUND((1000*NPV($AT$1,$AV49:$AV$124)-$AW$1*($AU49+NPV($AT$1,$AU50:$AU$124)))/AU49,3))</f>
        <v>899.65200000000004</v>
      </c>
      <c r="AX48" s="50">
        <f>IF(ISERROR(ROUND(MAX(0,1000*NPV($AT$2,$AV49:$AV$124)-$AW$2*($AU49+NPV($AT$2,$AU50:$AU$124)))/AU49,3)), 0, ROUND(MAX(0,1000*NPV($AT$2,$AV49:$AV$124)-$AW$2*($AU49+NPV($AT$2,$AU50:$AU$124)))/AU49,3))</f>
        <v>864.57799999999997</v>
      </c>
    </row>
    <row r="49" spans="1:50" ht="15" x14ac:dyDescent="0.25">
      <c r="A49">
        <v>24</v>
      </c>
      <c r="B49">
        <v>1.0516924509341699E-3</v>
      </c>
      <c r="C49">
        <f t="shared" si="30"/>
        <v>9.8859090387811962E-4</v>
      </c>
      <c r="D49" s="60">
        <v>59</v>
      </c>
      <c r="E49" s="5">
        <v>1788262.9454921621</v>
      </c>
      <c r="F49" s="5">
        <v>53647.893481319887</v>
      </c>
      <c r="G49" s="8"/>
      <c r="I49" s="51">
        <v>45</v>
      </c>
      <c r="J49" s="41"/>
      <c r="K49" s="41" t="str">
        <f t="shared" si="26"/>
        <v/>
      </c>
      <c r="L49" s="42">
        <f t="shared" si="27"/>
        <v>25</v>
      </c>
      <c r="M49" s="41">
        <f t="shared" si="28"/>
        <v>2000000</v>
      </c>
      <c r="N49" s="43">
        <f t="shared" si="1"/>
        <v>867.15</v>
      </c>
      <c r="O49" s="44">
        <f t="shared" si="2"/>
        <v>901.59699999999998</v>
      </c>
      <c r="P49" s="41">
        <f t="shared" si="3"/>
        <v>1734300</v>
      </c>
      <c r="Q49" s="41">
        <f t="shared" si="4"/>
        <v>1803194</v>
      </c>
      <c r="R49" s="44"/>
      <c r="S49" s="44">
        <f>IF(I49&lt;&gt;"",_xlfn.XLOOKUP($D$4+I49,$A$26:$A$145,$B$26:$B$145,0) * 1000,"")</f>
        <v>888.49113165174003</v>
      </c>
      <c r="T49" s="52">
        <f t="shared" si="29"/>
        <v>0</v>
      </c>
      <c r="U49" s="53">
        <f t="shared" si="15"/>
        <v>1.7634157461095945E-11</v>
      </c>
      <c r="V49" s="53">
        <f t="shared" si="16"/>
        <v>1.5667792518334111E-11</v>
      </c>
      <c r="W49" s="53">
        <f t="shared" si="17"/>
        <v>0</v>
      </c>
      <c r="X49" s="46">
        <f t="shared" si="5"/>
        <v>1.9663649427618346E-12</v>
      </c>
      <c r="Y49" s="54"/>
      <c r="Z49" s="41">
        <f t="shared" si="18"/>
        <v>3.1729210056379775E-5</v>
      </c>
      <c r="AA49" s="41">
        <f t="shared" si="19"/>
        <v>3.5268314922191892E-7</v>
      </c>
      <c r="AB49" s="41">
        <f t="shared" si="6"/>
        <v>3.5457374665984834E-6</v>
      </c>
      <c r="AC49" s="41">
        <f t="shared" si="7"/>
        <v>3.9327298855236694E-8</v>
      </c>
      <c r="AD49" s="54"/>
      <c r="AE49" s="41">
        <f t="shared" si="8"/>
        <v>0</v>
      </c>
      <c r="AF49" s="41"/>
      <c r="AG49" s="41">
        <f t="shared" si="9"/>
        <v>-4.9159123569045867E-11</v>
      </c>
      <c r="AH49" s="41">
        <f t="shared" si="20"/>
        <v>-3.1335585036668223E-5</v>
      </c>
      <c r="AI49" s="41">
        <f t="shared" si="21"/>
        <v>0</v>
      </c>
      <c r="AJ49" s="41">
        <f t="shared" si="10"/>
        <v>-3.1335634195791793E-5</v>
      </c>
      <c r="AK49" s="41">
        <f t="shared" si="11"/>
        <v>2.8183472589781291E-5</v>
      </c>
      <c r="AL49" s="41">
        <f t="shared" si="22"/>
        <v>1.2832757282240676E-6</v>
      </c>
      <c r="AM49" s="41">
        <f t="shared" si="12"/>
        <v>-1.8688858777864338E-6</v>
      </c>
      <c r="AN49" s="41">
        <f t="shared" si="13"/>
        <v>3.1335585036668223E-7</v>
      </c>
      <c r="AO49" s="41">
        <f t="shared" si="14"/>
        <v>-1.5555300274197516E-6</v>
      </c>
      <c r="AP49" s="45"/>
      <c r="AQ49" s="45"/>
      <c r="AR49" s="48"/>
      <c r="AS49" s="48"/>
      <c r="AT49" s="51">
        <f t="shared" si="23"/>
        <v>45</v>
      </c>
      <c r="AU49" s="49">
        <f t="shared" si="24"/>
        <v>1.7634157461095945E-11</v>
      </c>
      <c r="AV49" s="49">
        <f t="shared" si="25"/>
        <v>1.5667792518334111E-11</v>
      </c>
      <c r="AW49" s="50">
        <f xml:space="preserve"> IF(ISERROR(ROUND((1000*NPV($AT$1,$AV50:$AV$124)-$AW$1*($AU50+NPV($AT$1,$AU51:$AU$124)))/AU50,3)), 0, ROUND((1000*NPV($AT$1,$AV50:$AV$124)-$AW$1*($AU50+NPV($AT$1,$AU51:$AU$124)))/AU50,3))</f>
        <v>901.59699999999998</v>
      </c>
      <c r="AX49" s="50">
        <f>IF(ISERROR(ROUND(MAX(0,1000*NPV($AT$2,$AV50:$AV$124)-$AW$2*($AU50+NPV($AT$2,$AU51:$AU$124)))/AU50,3)), 0, ROUND(MAX(0,1000*NPV($AT$2,$AV50:$AV$124)-$AW$2*($AU50+NPV($AT$2,$AU51:$AU$124)))/AU50,3))</f>
        <v>867.15</v>
      </c>
    </row>
    <row r="50" spans="1:50" ht="15" x14ac:dyDescent="0.25">
      <c r="A50">
        <v>25</v>
      </c>
      <c r="B50">
        <v>1.0571390307361199E-3</v>
      </c>
      <c r="C50">
        <f t="shared" si="30"/>
        <v>9.9371068889195268E-4</v>
      </c>
      <c r="D50" s="60">
        <v>60</v>
      </c>
      <c r="E50" s="5">
        <v>1836628.521104279</v>
      </c>
      <c r="F50" s="5">
        <v>55098.860578443273</v>
      </c>
      <c r="G50" s="8"/>
      <c r="I50" s="51">
        <v>46</v>
      </c>
      <c r="J50" s="41"/>
      <c r="K50" s="41" t="str">
        <f t="shared" si="26"/>
        <v/>
      </c>
      <c r="L50" s="42">
        <f t="shared" si="27"/>
        <v>25</v>
      </c>
      <c r="M50" s="41">
        <f t="shared" si="28"/>
        <v>2000000</v>
      </c>
      <c r="N50" s="43">
        <f t="shared" si="1"/>
        <v>869.375</v>
      </c>
      <c r="O50" s="44">
        <f t="shared" si="2"/>
        <v>903.27800000000002</v>
      </c>
      <c r="P50" s="41">
        <f t="shared" si="3"/>
        <v>1738750</v>
      </c>
      <c r="Q50" s="41">
        <f t="shared" si="4"/>
        <v>1806556</v>
      </c>
      <c r="R50" s="44"/>
      <c r="S50" s="44">
        <f>IF(I50&lt;&gt;"",_xlfn.XLOOKUP($D$4+I50,$A$26:$A$145,$B$26:$B$145,0) * 1000,"")</f>
        <v>907.46559038107898</v>
      </c>
      <c r="T50" s="52">
        <f t="shared" si="29"/>
        <v>0</v>
      </c>
      <c r="U50" s="53">
        <f t="shared" si="15"/>
        <v>1.9663649427618346E-12</v>
      </c>
      <c r="V50" s="53">
        <f t="shared" si="16"/>
        <v>1.7844085236880247E-12</v>
      </c>
      <c r="W50" s="53">
        <f t="shared" si="17"/>
        <v>0</v>
      </c>
      <c r="X50" s="46">
        <f t="shared" si="5"/>
        <v>1.8195641907380982E-13</v>
      </c>
      <c r="Y50" s="54"/>
      <c r="Z50" s="41">
        <f t="shared" si="18"/>
        <v>3.5457374665984834E-6</v>
      </c>
      <c r="AA50" s="41">
        <f t="shared" si="19"/>
        <v>3.9327298855236694E-8</v>
      </c>
      <c r="AB50" s="41">
        <f t="shared" si="6"/>
        <v>3.2871446061630558E-7</v>
      </c>
      <c r="AC50" s="41">
        <f t="shared" si="7"/>
        <v>3.6391283814761963E-9</v>
      </c>
      <c r="AD50" s="54"/>
      <c r="AE50" s="41">
        <f t="shared" si="8"/>
        <v>0</v>
      </c>
      <c r="AF50" s="41"/>
      <c r="AG50" s="41">
        <f t="shared" si="9"/>
        <v>-4.5489104768452454E-12</v>
      </c>
      <c r="AH50" s="41">
        <f t="shared" si="20"/>
        <v>-3.5688170473760493E-6</v>
      </c>
      <c r="AI50" s="41">
        <f t="shared" si="21"/>
        <v>0</v>
      </c>
      <c r="AJ50" s="41">
        <f t="shared" si="10"/>
        <v>-3.5688215962865263E-6</v>
      </c>
      <c r="AK50" s="41">
        <f t="shared" si="11"/>
        <v>3.2170230059821777E-6</v>
      </c>
      <c r="AL50" s="41">
        <f t="shared" si="22"/>
        <v>1.4340259061814881E-7</v>
      </c>
      <c r="AM50" s="41">
        <f t="shared" si="12"/>
        <v>-2.0839599968619979E-7</v>
      </c>
      <c r="AN50" s="41">
        <f t="shared" si="13"/>
        <v>3.5688170473760499E-8</v>
      </c>
      <c r="AO50" s="41">
        <f t="shared" si="14"/>
        <v>-1.7270782921243928E-7</v>
      </c>
      <c r="AP50" s="45"/>
      <c r="AQ50" s="45"/>
      <c r="AR50" s="48"/>
      <c r="AS50" s="48"/>
      <c r="AT50" s="51">
        <f t="shared" si="23"/>
        <v>46</v>
      </c>
      <c r="AU50" s="49">
        <f t="shared" si="24"/>
        <v>1.9663649427618346E-12</v>
      </c>
      <c r="AV50" s="49">
        <f t="shared" si="25"/>
        <v>1.7844085236880247E-12</v>
      </c>
      <c r="AW50" s="50">
        <f xml:space="preserve"> IF(ISERROR(ROUND((1000*NPV($AT$1,$AV51:$AV$124)-$AW$1*($AU51+NPV($AT$1,$AU52:$AU$124)))/AU51,3)), 0, ROUND((1000*NPV($AT$1,$AV51:$AV$124)-$AW$1*($AU51+NPV($AT$1,$AU52:$AU$124)))/AU51,3))</f>
        <v>903.27800000000002</v>
      </c>
      <c r="AX50" s="50">
        <f>IF(ISERROR(ROUND(MAX(0,1000*NPV($AT$2,$AV51:$AV$124)-$AW$2*($AU51+NPV($AT$2,$AU52:$AU$124)))/AU51,3)), 0, ROUND(MAX(0,1000*NPV($AT$2,$AV51:$AV$124)-$AW$2*($AU51+NPV($AT$2,$AU52:$AU$124)))/AU51,3))</f>
        <v>869.375</v>
      </c>
    </row>
    <row r="51" spans="1:50" ht="15" x14ac:dyDescent="0.25">
      <c r="A51">
        <v>26</v>
      </c>
      <c r="B51">
        <v>9.93788837075682E-4</v>
      </c>
      <c r="C51">
        <f t="shared" si="30"/>
        <v>9.34161506851141E-4</v>
      </c>
      <c r="D51" s="60">
        <v>61</v>
      </c>
      <c r="E51" s="5">
        <v>1885522.9953620613</v>
      </c>
      <c r="F51" s="5">
        <v>56565.69465539651</v>
      </c>
      <c r="G51" s="8"/>
      <c r="I51" s="51">
        <v>47</v>
      </c>
      <c r="J51" s="41"/>
      <c r="K51" s="41" t="str">
        <f t="shared" si="26"/>
        <v/>
      </c>
      <c r="L51" s="42">
        <f t="shared" si="27"/>
        <v>25</v>
      </c>
      <c r="M51" s="41">
        <f t="shared" si="28"/>
        <v>2000000</v>
      </c>
      <c r="N51" s="43">
        <f t="shared" si="1"/>
        <v>871.28700000000003</v>
      </c>
      <c r="O51" s="44">
        <f t="shared" si="2"/>
        <v>904.72199999999998</v>
      </c>
      <c r="P51" s="41">
        <f t="shared" si="3"/>
        <v>1742574</v>
      </c>
      <c r="Q51" s="41">
        <f t="shared" si="4"/>
        <v>1809444</v>
      </c>
      <c r="R51" s="44"/>
      <c r="S51" s="44">
        <f>IF(I51&lt;&gt;"",_xlfn.XLOOKUP($D$4+I51,$A$26:$A$145,$B$26:$B$145,0) * 1000,"")</f>
        <v>924.414625132634</v>
      </c>
      <c r="T51" s="52">
        <f t="shared" si="29"/>
        <v>0</v>
      </c>
      <c r="U51" s="53">
        <f t="shared" si="15"/>
        <v>1.8195641907380982E-13</v>
      </c>
      <c r="V51" s="53">
        <f t="shared" si="16"/>
        <v>1.6820317492859236E-13</v>
      </c>
      <c r="W51" s="53">
        <f t="shared" si="17"/>
        <v>0</v>
      </c>
      <c r="X51" s="46">
        <f t="shared" si="5"/>
        <v>1.3753244145217467E-14</v>
      </c>
      <c r="Y51" s="54"/>
      <c r="Z51" s="41">
        <f t="shared" si="18"/>
        <v>3.2871446061630558E-7</v>
      </c>
      <c r="AA51" s="41">
        <f t="shared" si="19"/>
        <v>3.6391283814761963E-9</v>
      </c>
      <c r="AB51" s="41">
        <f t="shared" si="6"/>
        <v>2.4885725099098875E-8</v>
      </c>
      <c r="AC51" s="41">
        <f t="shared" si="7"/>
        <v>2.7506488290434932E-10</v>
      </c>
      <c r="AD51" s="54"/>
      <c r="AE51" s="41">
        <f t="shared" si="8"/>
        <v>0</v>
      </c>
      <c r="AF51" s="41"/>
      <c r="AG51" s="41">
        <f t="shared" si="9"/>
        <v>-3.4383110363043668E-13</v>
      </c>
      <c r="AH51" s="41">
        <f t="shared" si="20"/>
        <v>-3.3640634985718471E-7</v>
      </c>
      <c r="AI51" s="41">
        <f t="shared" si="21"/>
        <v>0</v>
      </c>
      <c r="AJ51" s="41">
        <f t="shared" si="10"/>
        <v>-3.3640669368828833E-7</v>
      </c>
      <c r="AK51" s="41">
        <f t="shared" si="11"/>
        <v>3.0382873551720669E-7</v>
      </c>
      <c r="AL51" s="41">
        <f t="shared" si="22"/>
        <v>1.329414355991127E-8</v>
      </c>
      <c r="AM51" s="41">
        <f t="shared" si="12"/>
        <v>-1.9283814611170376E-8</v>
      </c>
      <c r="AN51" s="41">
        <f t="shared" si="13"/>
        <v>3.364063498571847E-9</v>
      </c>
      <c r="AO51" s="41">
        <f t="shared" si="14"/>
        <v>-1.5919751112598528E-8</v>
      </c>
      <c r="AP51" s="45"/>
      <c r="AQ51" s="45"/>
      <c r="AR51" s="48"/>
      <c r="AS51" s="48"/>
      <c r="AT51" s="51">
        <f t="shared" si="23"/>
        <v>47</v>
      </c>
      <c r="AU51" s="49">
        <f t="shared" si="24"/>
        <v>1.8195641907380982E-13</v>
      </c>
      <c r="AV51" s="49">
        <f t="shared" si="25"/>
        <v>1.6820317492859236E-13</v>
      </c>
      <c r="AW51" s="50">
        <f xml:space="preserve"> IF(ISERROR(ROUND((1000*NPV($AT$1,$AV52:$AV$124)-$AW$1*($AU52+NPV($AT$1,$AU53:$AU$124)))/AU52,3)), 0, ROUND((1000*NPV($AT$1,$AV52:$AV$124)-$AW$1*($AU52+NPV($AT$1,$AU53:$AU$124)))/AU52,3))</f>
        <v>904.72199999999998</v>
      </c>
      <c r="AX51" s="50">
        <f>IF(ISERROR(ROUND(MAX(0,1000*NPV($AT$2,$AV52:$AV$124)-$AW$2*($AU52+NPV($AT$2,$AU53:$AU$124)))/AU52,3)), 0, ROUND(MAX(0,1000*NPV($AT$2,$AV52:$AV$124)-$AW$2*($AU52+NPV($AT$2,$AU53:$AU$124)))/AU52,3))</f>
        <v>871.28700000000003</v>
      </c>
    </row>
    <row r="52" spans="1:50" ht="15" x14ac:dyDescent="0.25">
      <c r="A52">
        <v>27</v>
      </c>
      <c r="B52">
        <v>1.0159136652781999E-3</v>
      </c>
      <c r="C52">
        <f t="shared" si="30"/>
        <v>9.549588453615079E-4</v>
      </c>
      <c r="D52" s="60">
        <v>62</v>
      </c>
      <c r="E52" s="5">
        <v>1935135.5119413733</v>
      </c>
      <c r="F52" s="5">
        <v>58054.070072941482</v>
      </c>
      <c r="G52" s="8"/>
      <c r="I52" s="51">
        <v>48</v>
      </c>
      <c r="J52" s="41"/>
      <c r="K52" s="41" t="str">
        <f t="shared" si="26"/>
        <v/>
      </c>
      <c r="L52" s="42">
        <f t="shared" si="27"/>
        <v>25</v>
      </c>
      <c r="M52" s="41">
        <f t="shared" si="28"/>
        <v>2000000</v>
      </c>
      <c r="N52" s="43">
        <f t="shared" si="1"/>
        <v>872.91600000000005</v>
      </c>
      <c r="O52" s="44">
        <f t="shared" si="2"/>
        <v>905.95100000000002</v>
      </c>
      <c r="P52" s="41">
        <f t="shared" si="3"/>
        <v>1745832</v>
      </c>
      <c r="Q52" s="41">
        <f t="shared" si="4"/>
        <v>1811902</v>
      </c>
      <c r="R52" s="44"/>
      <c r="S52" s="44">
        <f>IF(I52&lt;&gt;"",_xlfn.XLOOKUP($D$4+I52,$A$26:$A$145,$B$26:$B$145,0) * 1000,"")</f>
        <v>939.39301623983499</v>
      </c>
      <c r="T52" s="52">
        <f t="shared" si="29"/>
        <v>0</v>
      </c>
      <c r="U52" s="53">
        <f t="shared" si="15"/>
        <v>1.3753244145217467E-14</v>
      </c>
      <c r="V52" s="53">
        <f t="shared" si="16"/>
        <v>1.2919701500658688E-14</v>
      </c>
      <c r="W52" s="53">
        <f t="shared" si="17"/>
        <v>0</v>
      </c>
      <c r="X52" s="46">
        <f t="shared" si="5"/>
        <v>8.335426445587791E-16</v>
      </c>
      <c r="Y52" s="54"/>
      <c r="Z52" s="41">
        <f t="shared" si="18"/>
        <v>2.4885725099098875E-8</v>
      </c>
      <c r="AA52" s="41">
        <f t="shared" si="19"/>
        <v>2.7506488290434932E-10</v>
      </c>
      <c r="AB52" s="41">
        <f t="shared" si="6"/>
        <v>1.510297584761341E-9</v>
      </c>
      <c r="AC52" s="41">
        <f t="shared" si="7"/>
        <v>1.6670852891175583E-11</v>
      </c>
      <c r="AD52" s="54"/>
      <c r="AE52" s="41">
        <f t="shared" si="8"/>
        <v>0</v>
      </c>
      <c r="AF52" s="41"/>
      <c r="AG52" s="41">
        <f t="shared" si="9"/>
        <v>-2.0838566113969476E-14</v>
      </c>
      <c r="AH52" s="41">
        <f t="shared" si="20"/>
        <v>-2.5839403001317375E-8</v>
      </c>
      <c r="AI52" s="41">
        <f t="shared" si="21"/>
        <v>0</v>
      </c>
      <c r="AJ52" s="41">
        <f t="shared" si="10"/>
        <v>-2.5839423839883489E-8</v>
      </c>
      <c r="AK52" s="41">
        <f t="shared" si="11"/>
        <v>2.3375427514337533E-8</v>
      </c>
      <c r="AL52" s="41">
        <f t="shared" si="22"/>
        <v>1.006431599280129E-9</v>
      </c>
      <c r="AM52" s="41">
        <f>SUM(AJ52:AL52)</f>
        <v>-1.4575647262658274E-9</v>
      </c>
      <c r="AN52" s="41">
        <f t="shared" si="13"/>
        <v>2.5839403001317372E-10</v>
      </c>
      <c r="AO52" s="41">
        <f t="shared" si="14"/>
        <v>-1.1991706962526538E-9</v>
      </c>
      <c r="AP52" s="45"/>
      <c r="AQ52" s="45"/>
      <c r="AR52" s="48"/>
      <c r="AS52" s="48"/>
      <c r="AT52" s="51">
        <f t="shared" si="23"/>
        <v>48</v>
      </c>
      <c r="AU52" s="49">
        <f t="shared" si="24"/>
        <v>1.3753244145217467E-14</v>
      </c>
      <c r="AV52" s="49">
        <f t="shared" si="25"/>
        <v>1.2919701500658688E-14</v>
      </c>
      <c r="AW52" s="50">
        <f xml:space="preserve"> IF(ISERROR(ROUND((1000*NPV($AT$1,$AV53:$AV$124)-$AW$1*($AU53+NPV($AT$1,$AU54:$AU$124)))/AU53,3)), 0, ROUND((1000*NPV($AT$1,$AV53:$AV$124)-$AW$1*($AU53+NPV($AT$1,$AU54:$AU$124)))/AU53,3))</f>
        <v>905.95100000000002</v>
      </c>
      <c r="AX52" s="50">
        <f>IF(ISERROR(ROUND(MAX(0,1000*NPV($AT$2,$AV53:$AV$124)-$AW$2*($AU53+NPV($AT$2,$AU54:$AU$124)))/AU53,3)), 0, ROUND(MAX(0,1000*NPV($AT$2,$AV53:$AV$124)-$AW$2*($AU53+NPV($AT$2,$AU54:$AU$124)))/AU53,3))</f>
        <v>872.91600000000005</v>
      </c>
    </row>
    <row r="53" spans="1:50" ht="15" x14ac:dyDescent="0.25">
      <c r="A53">
        <v>28</v>
      </c>
      <c r="B53">
        <v>1.0421876007215001E-3</v>
      </c>
      <c r="C53">
        <f t="shared" si="30"/>
        <v>9.7965634467820999E-4</v>
      </c>
      <c r="D53" s="60">
        <v>63</v>
      </c>
      <c r="E53" s="5">
        <v>1985472.9494777038</v>
      </c>
      <c r="F53" s="5">
        <v>59564.193121459335</v>
      </c>
      <c r="G53" s="8"/>
      <c r="I53" s="51">
        <v>49</v>
      </c>
      <c r="J53" s="41"/>
      <c r="K53" s="41" t="str">
        <f t="shared" si="26"/>
        <v/>
      </c>
      <c r="L53" s="42">
        <f t="shared" si="27"/>
        <v>25</v>
      </c>
      <c r="M53" s="41">
        <f t="shared" si="28"/>
        <v>2000000</v>
      </c>
      <c r="N53" s="43">
        <f t="shared" si="1"/>
        <v>874.28899999999999</v>
      </c>
      <c r="O53" s="44">
        <f t="shared" si="2"/>
        <v>906.98699999999997</v>
      </c>
      <c r="P53" s="41">
        <f t="shared" si="3"/>
        <v>1748578</v>
      </c>
      <c r="Q53" s="41">
        <f t="shared" si="4"/>
        <v>1813974</v>
      </c>
      <c r="R53" s="44"/>
      <c r="S53" s="44">
        <f>IF(I53&lt;&gt;"",_xlfn.XLOOKUP($D$4+I53,$A$26:$A$145,$B$26:$B$145,0) * 1000,"")</f>
        <v>952.46607427313506</v>
      </c>
      <c r="T53" s="52">
        <f t="shared" si="29"/>
        <v>0</v>
      </c>
      <c r="U53" s="53">
        <f t="shared" si="15"/>
        <v>8.335426445587791E-16</v>
      </c>
      <c r="V53" s="53">
        <f t="shared" si="16"/>
        <v>7.9392109040214757E-16</v>
      </c>
      <c r="W53" s="53">
        <f t="shared" si="17"/>
        <v>0</v>
      </c>
      <c r="X53" s="46">
        <f t="shared" si="5"/>
        <v>3.9621554156631525E-17</v>
      </c>
      <c r="Y53" s="54"/>
      <c r="Z53" s="41">
        <f t="shared" si="18"/>
        <v>1.510297584761341E-9</v>
      </c>
      <c r="AA53" s="41">
        <f t="shared" si="19"/>
        <v>1.6670852891175583E-11</v>
      </c>
      <c r="AB53" s="41">
        <f t="shared" si="6"/>
        <v>7.1872469079721512E-11</v>
      </c>
      <c r="AC53" s="41">
        <f t="shared" si="7"/>
        <v>7.9243108313263046E-13</v>
      </c>
      <c r="AD53" s="54"/>
      <c r="AE53" s="41">
        <f t="shared" si="8"/>
        <v>0</v>
      </c>
      <c r="AF53" s="41"/>
      <c r="AG53" s="41">
        <f t="shared" si="9"/>
        <v>-9.9053885391578812E-16</v>
      </c>
      <c r="AH53" s="41">
        <f t="shared" si="20"/>
        <v>-1.5878421808042952E-9</v>
      </c>
      <c r="AI53" s="41">
        <f t="shared" si="21"/>
        <v>0</v>
      </c>
      <c r="AJ53" s="41">
        <f t="shared" si="10"/>
        <v>-1.587843171343149E-9</v>
      </c>
      <c r="AK53" s="41">
        <f t="shared" si="11"/>
        <v>1.4384251156816194E-9</v>
      </c>
      <c r="AL53" s="41">
        <f t="shared" si="22"/>
        <v>6.1078737506100659E-11</v>
      </c>
      <c r="AM53" s="41">
        <f t="shared" si="12"/>
        <v>-8.8339318155428978E-11</v>
      </c>
      <c r="AN53" s="41">
        <f t="shared" si="13"/>
        <v>1.5878421808042953E-11</v>
      </c>
      <c r="AO53" s="41">
        <f t="shared" si="14"/>
        <v>-7.2460896347386028E-11</v>
      </c>
      <c r="AP53" s="45"/>
      <c r="AQ53" s="45"/>
      <c r="AR53" s="48"/>
      <c r="AS53" s="48"/>
      <c r="AT53" s="51">
        <f t="shared" si="23"/>
        <v>49</v>
      </c>
      <c r="AU53" s="49">
        <f t="shared" si="24"/>
        <v>8.335426445587791E-16</v>
      </c>
      <c r="AV53" s="49">
        <f t="shared" si="25"/>
        <v>7.9392109040214757E-16</v>
      </c>
      <c r="AW53" s="50">
        <f xml:space="preserve"> IF(ISERROR(ROUND((1000*NPV($AT$1,$AV54:$AV$124)-$AW$1*($AU54+NPV($AT$1,$AU55:$AU$124)))/AU54,3)), 0, ROUND((1000*NPV($AT$1,$AV54:$AV$124)-$AW$1*($AU54+NPV($AT$1,$AU55:$AU$124)))/AU54,3))</f>
        <v>906.98699999999997</v>
      </c>
      <c r="AX53" s="50">
        <f>IF(ISERROR(ROUND(MAX(0,1000*NPV($AT$2,$AV54:$AV$124)-$AW$2*($AU54+NPV($AT$2,$AU55:$AU$124)))/AU54,3)), 0, ROUND(MAX(0,1000*NPV($AT$2,$AV54:$AV$124)-$AW$2*($AU54+NPV($AT$2,$AU55:$AU$124)))/AU54,3))</f>
        <v>874.28899999999999</v>
      </c>
    </row>
    <row r="54" spans="1:50" ht="15" x14ac:dyDescent="0.25">
      <c r="A54">
        <v>29</v>
      </c>
      <c r="B54">
        <v>1.0705469803867799E-3</v>
      </c>
      <c r="C54">
        <f t="shared" si="30"/>
        <v>1.006314161563573E-3</v>
      </c>
      <c r="D54" s="60">
        <v>64</v>
      </c>
      <c r="E54" s="5">
        <v>2036625.3040744946</v>
      </c>
      <c r="F54" s="5">
        <v>61098.763711964246</v>
      </c>
      <c r="G54" s="8"/>
      <c r="I54" s="51">
        <v>50</v>
      </c>
      <c r="J54" s="41"/>
      <c r="K54" s="41" t="str">
        <f t="shared" si="26"/>
        <v/>
      </c>
      <c r="L54" s="42">
        <f t="shared" si="27"/>
        <v>25</v>
      </c>
      <c r="M54" s="41">
        <f t="shared" si="28"/>
        <v>2000000</v>
      </c>
      <c r="N54" s="43">
        <f t="shared" si="1"/>
        <v>875.43399999999997</v>
      </c>
      <c r="O54" s="44">
        <f t="shared" si="2"/>
        <v>907.851</v>
      </c>
      <c r="P54" s="41">
        <f t="shared" si="3"/>
        <v>1750868</v>
      </c>
      <c r="Q54" s="41">
        <f t="shared" si="4"/>
        <v>1815702</v>
      </c>
      <c r="R54" s="44"/>
      <c r="S54" s="44">
        <f>IF(I54&lt;&gt;"",_xlfn.XLOOKUP($D$4+I54,$A$26:$A$145,$B$26:$B$145,0) * 1000,"")</f>
        <v>963.70889370772807</v>
      </c>
      <c r="T54" s="52">
        <f t="shared" si="29"/>
        <v>0</v>
      </c>
      <c r="U54" s="53">
        <f t="shared" si="15"/>
        <v>3.9621554156631525E-17</v>
      </c>
      <c r="V54" s="53">
        <f t="shared" si="16"/>
        <v>3.8183644123268201E-17</v>
      </c>
      <c r="W54" s="53">
        <f t="shared" si="17"/>
        <v>0</v>
      </c>
      <c r="X54" s="46">
        <f t="shared" si="5"/>
        <v>1.4379100333633239E-18</v>
      </c>
      <c r="Y54" s="54"/>
      <c r="Z54" s="41">
        <f t="shared" si="18"/>
        <v>7.1872469079721512E-11</v>
      </c>
      <c r="AA54" s="41">
        <f t="shared" si="19"/>
        <v>7.9243108313263046E-13</v>
      </c>
      <c r="AB54" s="41">
        <f t="shared" si="6"/>
        <v>2.6108161233978539E-12</v>
      </c>
      <c r="AC54" s="41">
        <f t="shared" si="7"/>
        <v>2.8758200667266476E-14</v>
      </c>
      <c r="AD54" s="54"/>
      <c r="AE54" s="41">
        <f t="shared" si="8"/>
        <v>0</v>
      </c>
      <c r="AF54" s="41"/>
      <c r="AG54" s="41">
        <f t="shared" si="9"/>
        <v>-3.5947750834083098E-17</v>
      </c>
      <c r="AH54" s="41">
        <f t="shared" si="20"/>
        <v>-7.6367288246536401E-11</v>
      </c>
      <c r="AI54" s="41">
        <f t="shared" si="21"/>
        <v>0</v>
      </c>
      <c r="AJ54" s="41">
        <f t="shared" si="10"/>
        <v>-7.6367324194287236E-11</v>
      </c>
      <c r="AK54" s="41">
        <f t="shared" si="11"/>
        <v>6.9261652956323655E-11</v>
      </c>
      <c r="AL54" s="41">
        <f t="shared" si="22"/>
        <v>2.9065960065141655E-12</v>
      </c>
      <c r="AM54" s="41">
        <f t="shared" si="12"/>
        <v>-4.1990752314494149E-12</v>
      </c>
      <c r="AN54" s="41">
        <f t="shared" si="13"/>
        <v>7.6367288246536396E-13</v>
      </c>
      <c r="AO54" s="41">
        <f t="shared" si="14"/>
        <v>-3.4354023489840512E-12</v>
      </c>
      <c r="AP54" s="45"/>
      <c r="AQ54" s="45"/>
      <c r="AR54" s="48"/>
      <c r="AS54" s="48"/>
      <c r="AT54" s="51">
        <f t="shared" si="23"/>
        <v>50</v>
      </c>
      <c r="AU54" s="49">
        <f t="shared" si="24"/>
        <v>3.9621554156631525E-17</v>
      </c>
      <c r="AV54" s="49">
        <f t="shared" si="25"/>
        <v>3.8183644123268201E-17</v>
      </c>
      <c r="AW54" s="50">
        <f xml:space="preserve"> IF(ISERROR(ROUND((1000*NPV($AT$1,$AV55:$AV$124)-$AW$1*($AU55+NPV($AT$1,$AU56:$AU$124)))/AU55,3)), 0, ROUND((1000*NPV($AT$1,$AV55:$AV$124)-$AW$1*($AU55+NPV($AT$1,$AU56:$AU$124)))/AU55,3))</f>
        <v>907.851</v>
      </c>
      <c r="AX54" s="50">
        <f>IF(ISERROR(ROUND(MAX(0,1000*NPV($AT$2,$AV55:$AV$124)-$AW$2*($AU55+NPV($AT$2,$AU56:$AU$124)))/AU55,3)), 0, ROUND(MAX(0,1000*NPV($AT$2,$AV55:$AV$124)-$AW$2*($AU55+NPV($AT$2,$AU56:$AU$124)))/AU55,3))</f>
        <v>875.43399999999997</v>
      </c>
    </row>
    <row r="55" spans="1:50" ht="15" x14ac:dyDescent="0.25">
      <c r="A55">
        <v>30</v>
      </c>
      <c r="B55">
        <v>1.1072377629296501E-3</v>
      </c>
      <c r="C55">
        <f t="shared" si="30"/>
        <v>1.0408034971538711E-3</v>
      </c>
      <c r="D55" s="60">
        <v>65</v>
      </c>
      <c r="E55" s="5">
        <v>2087538.11483767</v>
      </c>
      <c r="F55">
        <v>62626.147645784309</v>
      </c>
      <c r="G55" s="8"/>
      <c r="I55" s="51">
        <v>51</v>
      </c>
      <c r="J55" s="41"/>
      <c r="K55" s="41" t="str">
        <f t="shared" si="26"/>
        <v/>
      </c>
      <c r="L55" s="42">
        <f t="shared" si="27"/>
        <v>25</v>
      </c>
      <c r="M55" s="41">
        <f t="shared" si="28"/>
        <v>2000000</v>
      </c>
      <c r="N55" s="43">
        <f t="shared" si="1"/>
        <v>876.37599999999998</v>
      </c>
      <c r="O55" s="44">
        <f t="shared" si="2"/>
        <v>908.56100000000004</v>
      </c>
      <c r="P55" s="41">
        <f t="shared" si="3"/>
        <v>1752752</v>
      </c>
      <c r="Q55" s="41">
        <f t="shared" si="4"/>
        <v>1817122</v>
      </c>
      <c r="R55" s="44"/>
      <c r="S55" s="44">
        <f>IF(I55&lt;&gt;"",_xlfn.XLOOKUP($D$4+I55,$A$26:$A$145,$B$26:$B$145,0) * 1000,"")</f>
        <v>973.25472301267905</v>
      </c>
      <c r="T55" s="52">
        <f t="shared" si="29"/>
        <v>0</v>
      </c>
      <c r="U55" s="53">
        <f t="shared" si="15"/>
        <v>1.4379100333633239E-18</v>
      </c>
      <c r="V55" s="53">
        <f t="shared" si="16"/>
        <v>1.3994527312381739E-18</v>
      </c>
      <c r="W55" s="53">
        <f t="shared" si="17"/>
        <v>0</v>
      </c>
      <c r="X55" s="46">
        <f t="shared" si="5"/>
        <v>3.8457302125149982E-20</v>
      </c>
      <c r="Y55" s="54"/>
      <c r="Z55" s="41">
        <f t="shared" si="18"/>
        <v>2.6108161233978539E-12</v>
      </c>
      <c r="AA55" s="41">
        <f t="shared" si="19"/>
        <v>2.8758200667266476E-14</v>
      </c>
      <c r="AB55" s="41">
        <f t="shared" si="6"/>
        <v>6.9881609752256783E-14</v>
      </c>
      <c r="AC55" s="41">
        <f t="shared" si="7"/>
        <v>7.6914604250299965E-16</v>
      </c>
      <c r="AD55" s="54"/>
      <c r="AE55" s="41">
        <f t="shared" si="8"/>
        <v>0</v>
      </c>
      <c r="AF55" s="41"/>
      <c r="AG55" s="41">
        <f t="shared" si="9"/>
        <v>-9.6143255312874954E-19</v>
      </c>
      <c r="AH55" s="41">
        <f t="shared" si="20"/>
        <v>-2.7989054624763478E-12</v>
      </c>
      <c r="AI55" s="41">
        <f t="shared" si="21"/>
        <v>0</v>
      </c>
      <c r="AJ55" s="41">
        <f t="shared" si="10"/>
        <v>-2.7989064239089009E-12</v>
      </c>
      <c r="AK55" s="41">
        <f t="shared" si="11"/>
        <v>2.540934513645597E-12</v>
      </c>
      <c r="AL55" s="41">
        <f t="shared" si="22"/>
        <v>1.0558297296260482E-13</v>
      </c>
      <c r="AM55" s="41">
        <f t="shared" si="12"/>
        <v>-1.5238893730069906E-13</v>
      </c>
      <c r="AN55" s="41">
        <f t="shared" si="13"/>
        <v>2.7989054624763476E-14</v>
      </c>
      <c r="AO55" s="41">
        <f t="shared" si="14"/>
        <v>-1.2439988267593559E-13</v>
      </c>
      <c r="AP55" s="45"/>
      <c r="AQ55" s="45"/>
      <c r="AR55" s="48"/>
      <c r="AS55" s="48"/>
      <c r="AT55" s="51">
        <f t="shared" si="23"/>
        <v>51</v>
      </c>
      <c r="AU55" s="49">
        <f t="shared" si="24"/>
        <v>1.4379100333633239E-18</v>
      </c>
      <c r="AV55" s="49">
        <f t="shared" si="25"/>
        <v>1.3994527312381739E-18</v>
      </c>
      <c r="AW55" s="50">
        <f xml:space="preserve"> IF(ISERROR(ROUND((1000*NPV($AT$1,$AV56:$AV$124)-$AW$1*($AU56+NPV($AT$1,$AU57:$AU$124)))/AU56,3)), 0, ROUND((1000*NPV($AT$1,$AV56:$AV$124)-$AW$1*($AU56+NPV($AT$1,$AU57:$AU$124)))/AU56,3))</f>
        <v>908.56100000000004</v>
      </c>
      <c r="AX55" s="50">
        <f>IF(ISERROR(ROUND(MAX(0,1000*NPV($AT$2,$AV56:$AV$124)-$AW$2*($AU56+NPV($AT$2,$AU57:$AU$124)))/AU56,3)), 0, ROUND(MAX(0,1000*NPV($AT$2,$AV56:$AV$124)-$AW$2*($AU56+NPV($AT$2,$AU57:$AU$124)))/AU56,3))</f>
        <v>876.37599999999998</v>
      </c>
    </row>
    <row r="56" spans="1:50" ht="15" x14ac:dyDescent="0.25">
      <c r="A56">
        <v>31</v>
      </c>
      <c r="B56">
        <v>1.1619355584235899E-3</v>
      </c>
      <c r="C56">
        <f t="shared" si="30"/>
        <v>1.0922194249181744E-3</v>
      </c>
      <c r="D56" s="60"/>
      <c r="E56" s="5"/>
      <c r="F56" s="5"/>
      <c r="G56" s="8"/>
      <c r="I56" s="51">
        <v>52</v>
      </c>
      <c r="J56" s="41"/>
      <c r="K56" s="41" t="str">
        <f t="shared" si="26"/>
        <v/>
      </c>
      <c r="L56" s="42">
        <f t="shared" si="27"/>
        <v>25</v>
      </c>
      <c r="M56" s="41">
        <f t="shared" si="28"/>
        <v>2000000</v>
      </c>
      <c r="N56" s="43">
        <f t="shared" si="1"/>
        <v>877.12900000000002</v>
      </c>
      <c r="O56" s="44">
        <f t="shared" si="2"/>
        <v>909.12900000000002</v>
      </c>
      <c r="P56" s="41">
        <f t="shared" si="3"/>
        <v>1754258</v>
      </c>
      <c r="Q56" s="41">
        <f t="shared" si="4"/>
        <v>1818258</v>
      </c>
      <c r="R56" s="44"/>
      <c r="S56" s="44">
        <f>IF(I56&lt;&gt;"",_xlfn.XLOOKUP($D$4+I56,$A$26:$A$145,$B$26:$B$145,0) * 1000,"")</f>
        <v>981.21796639544004</v>
      </c>
      <c r="T56" s="52">
        <f t="shared" si="29"/>
        <v>0</v>
      </c>
      <c r="U56" s="53">
        <f t="shared" si="15"/>
        <v>3.8457302125149982E-20</v>
      </c>
      <c r="V56" s="53">
        <f t="shared" si="16"/>
        <v>3.7734995784294702E-20</v>
      </c>
      <c r="W56" s="53">
        <f t="shared" si="17"/>
        <v>0</v>
      </c>
      <c r="X56" s="46">
        <f t="shared" si="5"/>
        <v>7.223063408552799E-22</v>
      </c>
      <c r="Y56" s="54"/>
      <c r="Z56" s="41">
        <f t="shared" si="18"/>
        <v>6.9881609752256783E-14</v>
      </c>
      <c r="AA56" s="41">
        <f t="shared" si="19"/>
        <v>7.6914604250299965E-16</v>
      </c>
      <c r="AB56" s="41">
        <f t="shared" si="6"/>
        <v>1.3133392827108395E-15</v>
      </c>
      <c r="AC56" s="41">
        <f t="shared" si="7"/>
        <v>1.4446126817105597E-17</v>
      </c>
      <c r="AD56" s="54"/>
      <c r="AE56" s="41">
        <f t="shared" si="8"/>
        <v>0</v>
      </c>
      <c r="AF56" s="41"/>
      <c r="AG56" s="41">
        <f t="shared" si="9"/>
        <v>-1.8057658521381998E-20</v>
      </c>
      <c r="AH56" s="41">
        <f t="shared" si="20"/>
        <v>-7.5469991568589409E-14</v>
      </c>
      <c r="AI56" s="41">
        <f t="shared" si="21"/>
        <v>0</v>
      </c>
      <c r="AJ56" s="41">
        <f t="shared" si="10"/>
        <v>-7.5470009626247931E-14</v>
      </c>
      <c r="AK56" s="41">
        <f t="shared" si="11"/>
        <v>6.856827046954594E-14</v>
      </c>
      <c r="AL56" s="41">
        <f t="shared" si="22"/>
        <v>2.8260302317903915E-15</v>
      </c>
      <c r="AM56" s="41">
        <f t="shared" si="12"/>
        <v>-4.075708924911599E-15</v>
      </c>
      <c r="AN56" s="41">
        <f t="shared" si="13"/>
        <v>7.5469991568589408E-16</v>
      </c>
      <c r="AO56" s="41">
        <f t="shared" si="14"/>
        <v>-3.3210090092257047E-15</v>
      </c>
      <c r="AP56" s="45"/>
      <c r="AQ56" s="45"/>
      <c r="AR56" s="48"/>
      <c r="AS56" s="48"/>
      <c r="AT56" s="51">
        <f t="shared" si="23"/>
        <v>52</v>
      </c>
      <c r="AU56" s="49">
        <f t="shared" si="24"/>
        <v>3.8457302125149982E-20</v>
      </c>
      <c r="AV56" s="49">
        <f t="shared" si="25"/>
        <v>3.7734995784294702E-20</v>
      </c>
      <c r="AW56" s="50">
        <f xml:space="preserve"> IF(ISERROR(ROUND((1000*NPV($AT$1,$AV57:$AV$124)-$AW$1*($AU57+NPV($AT$1,$AU58:$AU$124)))/AU57,3)), 0, ROUND((1000*NPV($AT$1,$AV57:$AV$124)-$AW$1*($AU57+NPV($AT$1,$AU58:$AU$124)))/AU57,3))</f>
        <v>909.12900000000002</v>
      </c>
      <c r="AX56" s="50">
        <f>IF(ISERROR(ROUND(MAX(0,1000*NPV($AT$2,$AV57:$AV$124)-$AW$2*($AU57+NPV($AT$2,$AU58:$AU$124)))/AU57,3)), 0, ROUND(MAX(0,1000*NPV($AT$2,$AV57:$AV$124)-$AW$2*($AU57+NPV($AT$2,$AU58:$AU$124)))/AU57,3))</f>
        <v>877.12900000000002</v>
      </c>
    </row>
    <row r="57" spans="1:50" ht="15" x14ac:dyDescent="0.25">
      <c r="A57">
        <v>32</v>
      </c>
      <c r="B57">
        <v>1.2277321335205601E-3</v>
      </c>
      <c r="C57">
        <f t="shared" si="30"/>
        <v>1.1540682055093264E-3</v>
      </c>
      <c r="D57" s="60"/>
      <c r="E57" s="5"/>
      <c r="F57" s="5"/>
      <c r="I57" s="51">
        <v>53</v>
      </c>
      <c r="J57" s="41"/>
      <c r="K57" s="41" t="str">
        <f t="shared" si="26"/>
        <v/>
      </c>
      <c r="L57" s="42">
        <f t="shared" si="27"/>
        <v>25</v>
      </c>
      <c r="M57" s="41">
        <f t="shared" si="28"/>
        <v>2000000</v>
      </c>
      <c r="N57" s="43">
        <f t="shared" si="1"/>
        <v>877.71</v>
      </c>
      <c r="O57" s="44">
        <f t="shared" si="2"/>
        <v>909.56700000000001</v>
      </c>
      <c r="P57" s="41">
        <f t="shared" si="3"/>
        <v>1755420</v>
      </c>
      <c r="Q57" s="41">
        <f t="shared" si="4"/>
        <v>1819134</v>
      </c>
      <c r="R57" s="44"/>
      <c r="S57" s="44">
        <f>IF(I57&lt;&gt;"",_xlfn.XLOOKUP($D$4+I57,$A$26:$A$145,$B$26:$B$145,0) * 1000,"")</f>
        <v>987.65766969855792</v>
      </c>
      <c r="T57" s="52">
        <f t="shared" si="29"/>
        <v>0</v>
      </c>
      <c r="U57" s="53">
        <f t="shared" si="15"/>
        <v>7.223063408552799E-22</v>
      </c>
      <c r="V57" s="53">
        <f t="shared" si="16"/>
        <v>7.1339139741761807E-22</v>
      </c>
      <c r="W57" s="53">
        <f t="shared" si="17"/>
        <v>0</v>
      </c>
      <c r="X57" s="46">
        <f t="shared" si="5"/>
        <v>8.914943437661832E-24</v>
      </c>
      <c r="Y57" s="54"/>
      <c r="Z57" s="41">
        <f t="shared" si="18"/>
        <v>1.3133392827108395E-15</v>
      </c>
      <c r="AA57" s="41">
        <f t="shared" si="19"/>
        <v>1.4446126817105597E-17</v>
      </c>
      <c r="AB57" s="41">
        <f t="shared" si="6"/>
        <v>1.6217476715527518E-17</v>
      </c>
      <c r="AC57" s="41">
        <f t="shared" si="7"/>
        <v>1.7829886875323664E-19</v>
      </c>
      <c r="AD57" s="54"/>
      <c r="AE57" s="41">
        <f t="shared" si="8"/>
        <v>0</v>
      </c>
      <c r="AF57" s="41"/>
      <c r="AG57" s="41">
        <f t="shared" si="9"/>
        <v>-2.228735859415458E-22</v>
      </c>
      <c r="AH57" s="41">
        <f t="shared" si="20"/>
        <v>-1.4267827948352361E-15</v>
      </c>
      <c r="AI57" s="41">
        <f t="shared" si="21"/>
        <v>0</v>
      </c>
      <c r="AJ57" s="41">
        <f t="shared" si="10"/>
        <v>-1.4267830177088221E-15</v>
      </c>
      <c r="AK57" s="41">
        <f t="shared" si="11"/>
        <v>1.297121805995312E-15</v>
      </c>
      <c r="AL57" s="41">
        <f t="shared" si="22"/>
        <v>5.3111416381117803E-17</v>
      </c>
      <c r="AM57" s="41">
        <f t="shared" si="12"/>
        <v>-7.6549795332392206E-17</v>
      </c>
      <c r="AN57" s="41">
        <f t="shared" si="13"/>
        <v>1.426782794835236E-17</v>
      </c>
      <c r="AO57" s="41">
        <f t="shared" si="14"/>
        <v>-6.2281967384039852E-17</v>
      </c>
      <c r="AP57" s="45"/>
      <c r="AQ57" s="45"/>
      <c r="AR57" s="48"/>
      <c r="AS57" s="48"/>
      <c r="AT57" s="51">
        <f t="shared" si="23"/>
        <v>53</v>
      </c>
      <c r="AU57" s="49">
        <f t="shared" si="24"/>
        <v>7.223063408552799E-22</v>
      </c>
      <c r="AV57" s="49">
        <f t="shared" si="25"/>
        <v>7.1339139741761807E-22</v>
      </c>
      <c r="AW57" s="50">
        <f xml:space="preserve"> IF(ISERROR(ROUND((1000*NPV($AT$1,$AV58:$AV$124)-$AW$1*($AU58+NPV($AT$1,$AU59:$AU$124)))/AU58,3)), 0, ROUND((1000*NPV($AT$1,$AV58:$AV$124)-$AW$1*($AU58+NPV($AT$1,$AU59:$AU$124)))/AU58,3))</f>
        <v>909.56700000000001</v>
      </c>
      <c r="AX57" s="50">
        <f>IF(ISERROR(ROUND(MAX(0,1000*NPV($AT$2,$AV58:$AV$124)-$AW$2*($AU58+NPV($AT$2,$AU59:$AU$124)))/AU58,3)), 0, ROUND(MAX(0,1000*NPV($AT$2,$AV58:$AV$124)-$AW$2*($AU58+NPV($AT$2,$AU59:$AU$124)))/AU58,3))</f>
        <v>877.71</v>
      </c>
    </row>
    <row r="58" spans="1:50" ht="15" x14ac:dyDescent="0.25">
      <c r="A58">
        <v>33</v>
      </c>
      <c r="B58">
        <v>1.29341474181388E-3</v>
      </c>
      <c r="C58">
        <f t="shared" si="30"/>
        <v>1.215809857305047E-3</v>
      </c>
      <c r="D58" s="60"/>
      <c r="E58" s="5"/>
      <c r="F58" s="5"/>
      <c r="G58" s="11"/>
      <c r="I58" s="51">
        <v>54</v>
      </c>
      <c r="J58" s="41"/>
      <c r="K58" s="41" t="str">
        <f t="shared" si="26"/>
        <v/>
      </c>
      <c r="L58" s="42">
        <f t="shared" si="27"/>
        <v>25</v>
      </c>
      <c r="M58" s="41">
        <f t="shared" si="28"/>
        <v>2000000</v>
      </c>
      <c r="N58" s="43">
        <f t="shared" si="1"/>
        <v>878.553</v>
      </c>
      <c r="O58" s="44">
        <f t="shared" si="2"/>
        <v>910.202</v>
      </c>
      <c r="P58" s="41">
        <f t="shared" si="3"/>
        <v>1757106</v>
      </c>
      <c r="Q58" s="41">
        <f t="shared" si="4"/>
        <v>1820404</v>
      </c>
      <c r="R58" s="44"/>
      <c r="S58" s="44">
        <f>IF(I58&lt;&gt;"",_xlfn.XLOOKUP($D$4+I58,$A$26:$A$145,$B$26:$B$145,0) * 1000,"")</f>
        <v>992.64120459572507</v>
      </c>
      <c r="T58" s="52">
        <f t="shared" si="29"/>
        <v>0</v>
      </c>
      <c r="U58" s="53">
        <f t="shared" si="15"/>
        <v>8.914943437661832E-24</v>
      </c>
      <c r="V58" s="53">
        <f t="shared" si="16"/>
        <v>8.8493401928633961E-24</v>
      </c>
      <c r="W58" s="53">
        <f t="shared" si="17"/>
        <v>0</v>
      </c>
      <c r="X58" s="46">
        <f t="shared" si="5"/>
        <v>6.5603244798435863E-26</v>
      </c>
      <c r="Y58" s="54"/>
      <c r="Z58" s="41">
        <f t="shared" si="18"/>
        <v>1.6217476715527518E-17</v>
      </c>
      <c r="AA58" s="41">
        <f t="shared" si="19"/>
        <v>1.7829886875323664E-19</v>
      </c>
      <c r="AB58" s="41">
        <f t="shared" si="6"/>
        <v>1.1942440924405184E-19</v>
      </c>
      <c r="AC58" s="41">
        <f t="shared" si="7"/>
        <v>1.3120648959687173E-21</v>
      </c>
      <c r="AD58" s="54"/>
      <c r="AE58" s="41">
        <f t="shared" si="8"/>
        <v>0</v>
      </c>
      <c r="AF58" s="41"/>
      <c r="AG58" s="41">
        <f t="shared" si="9"/>
        <v>-1.6400811199608966E-24</v>
      </c>
      <c r="AH58" s="41">
        <f t="shared" si="20"/>
        <v>-1.7698680385726793E-17</v>
      </c>
      <c r="AI58" s="41">
        <f t="shared" si="21"/>
        <v>0</v>
      </c>
      <c r="AJ58" s="41">
        <f t="shared" si="10"/>
        <v>-1.7698682025807913E-17</v>
      </c>
      <c r="AK58" s="41">
        <f t="shared" si="11"/>
        <v>1.6098052306283466E-17</v>
      </c>
      <c r="AL58" s="41">
        <f t="shared" si="22"/>
        <v>6.5583102337123026E-19</v>
      </c>
      <c r="AM58" s="41">
        <f t="shared" si="12"/>
        <v>-9.4479869615321743E-19</v>
      </c>
      <c r="AN58" s="41">
        <f t="shared" si="13"/>
        <v>1.7698680385726791E-19</v>
      </c>
      <c r="AO58" s="41">
        <f t="shared" si="14"/>
        <v>-7.678118922959495E-19</v>
      </c>
      <c r="AP58" s="45"/>
      <c r="AQ58" s="45"/>
      <c r="AR58" s="48"/>
      <c r="AS58" s="48"/>
      <c r="AT58" s="51">
        <f t="shared" si="23"/>
        <v>54</v>
      </c>
      <c r="AU58" s="49">
        <f t="shared" si="24"/>
        <v>8.914943437661832E-24</v>
      </c>
      <c r="AV58" s="49">
        <f t="shared" si="25"/>
        <v>8.8493401928633961E-24</v>
      </c>
      <c r="AW58" s="50">
        <f xml:space="preserve"> IF(ISERROR(ROUND((1000*NPV($AT$1,$AV59:$AV$124)-$AW$1*($AU59+NPV($AT$1,$AU60:$AU$124)))/AU59,3)), 0, ROUND((1000*NPV($AT$1,$AV59:$AV$124)-$AW$1*($AU59+NPV($AT$1,$AU60:$AU$124)))/AU59,3))</f>
        <v>910.202</v>
      </c>
      <c r="AX58" s="50">
        <f>IF(ISERROR(ROUND(MAX(0,1000*NPV($AT$2,$AV59:$AV$124)-$AW$2*($AU59+NPV($AT$2,$AU60:$AU$124)))/AU59,3)), 0, ROUND(MAX(0,1000*NPV($AT$2,$AV59:$AV$124)-$AW$2*($AU59+NPV($AT$2,$AU60:$AU$124)))/AU59,3))</f>
        <v>878.553</v>
      </c>
    </row>
    <row r="59" spans="1:50" ht="15" x14ac:dyDescent="0.25">
      <c r="A59">
        <v>34</v>
      </c>
      <c r="B59">
        <v>1.3751733051196001E-3</v>
      </c>
      <c r="C59">
        <f t="shared" si="30"/>
        <v>1.292662906812424E-3</v>
      </c>
      <c r="D59" s="60"/>
      <c r="E59" s="5"/>
      <c r="F59" s="5"/>
      <c r="I59" s="51">
        <v>55</v>
      </c>
      <c r="J59" s="41"/>
      <c r="K59" s="41" t="str">
        <f t="shared" si="26"/>
        <v/>
      </c>
      <c r="L59" s="42">
        <f t="shared" si="27"/>
        <v>25</v>
      </c>
      <c r="M59" s="41">
        <f t="shared" si="28"/>
        <v>2000000</v>
      </c>
      <c r="N59" s="43">
        <f t="shared" si="1"/>
        <v>0</v>
      </c>
      <c r="O59" s="44">
        <f t="shared" si="2"/>
        <v>0</v>
      </c>
      <c r="P59" s="41">
        <f t="shared" si="3"/>
        <v>0</v>
      </c>
      <c r="Q59" s="41">
        <f t="shared" si="4"/>
        <v>0</v>
      </c>
      <c r="R59" s="44"/>
      <c r="S59" s="44">
        <f>IF(I59&lt;&gt;"",_xlfn.XLOOKUP($D$4+I59,$A$26:$A$145,$B$26:$B$145,0) * 1000,"")</f>
        <v>1000</v>
      </c>
      <c r="T59" s="52">
        <f t="shared" si="29"/>
        <v>0</v>
      </c>
      <c r="U59" s="53">
        <f t="shared" si="15"/>
        <v>6.5603244798435863E-26</v>
      </c>
      <c r="V59" s="53">
        <f t="shared" si="16"/>
        <v>6.5603244798435863E-26</v>
      </c>
      <c r="W59" s="53">
        <f t="shared" si="17"/>
        <v>0</v>
      </c>
      <c r="X59" s="46">
        <f t="shared" si="5"/>
        <v>0</v>
      </c>
      <c r="Y59" s="54"/>
      <c r="Z59" s="41">
        <f t="shared" si="18"/>
        <v>1.1942440924405184E-19</v>
      </c>
      <c r="AA59" s="41">
        <f t="shared" si="19"/>
        <v>1.3120648959687173E-21</v>
      </c>
      <c r="AB59" s="41">
        <f t="shared" si="6"/>
        <v>0</v>
      </c>
      <c r="AC59" s="41">
        <f t="shared" si="7"/>
        <v>0</v>
      </c>
      <c r="AD59" s="54"/>
      <c r="AE59" s="41">
        <f t="shared" si="8"/>
        <v>0</v>
      </c>
      <c r="AF59" s="41"/>
      <c r="AG59" s="41">
        <f t="shared" si="9"/>
        <v>0</v>
      </c>
      <c r="AH59" s="41">
        <f t="shared" si="20"/>
        <v>-1.3120648959687173E-19</v>
      </c>
      <c r="AI59" s="41">
        <f t="shared" si="21"/>
        <v>0</v>
      </c>
      <c r="AJ59" s="41">
        <f t="shared" si="10"/>
        <v>-1.3120648959687173E-19</v>
      </c>
      <c r="AK59" s="41">
        <f t="shared" si="11"/>
        <v>1.1942440924405184E-19</v>
      </c>
      <c r="AL59" s="41">
        <f t="shared" si="22"/>
        <v>4.8294589656008231E-21</v>
      </c>
      <c r="AM59" s="41">
        <f t="shared" si="12"/>
        <v>-6.9526213872190655E-21</v>
      </c>
      <c r="AN59" s="41">
        <f t="shared" si="13"/>
        <v>1.3120648959687173E-21</v>
      </c>
      <c r="AO59" s="41">
        <f t="shared" si="14"/>
        <v>-5.6405564912503484E-21</v>
      </c>
      <c r="AP59" s="45"/>
      <c r="AQ59" s="45"/>
      <c r="AR59" s="48"/>
      <c r="AS59" s="48"/>
      <c r="AT59" s="51">
        <f t="shared" si="23"/>
        <v>55</v>
      </c>
      <c r="AU59" s="49">
        <f t="shared" si="24"/>
        <v>6.5603244798435863E-26</v>
      </c>
      <c r="AV59" s="49">
        <f t="shared" si="25"/>
        <v>6.5603244798435863E-26</v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1:50" ht="15" x14ac:dyDescent="0.25">
      <c r="A60">
        <v>35</v>
      </c>
      <c r="B60">
        <v>1.46076355471925E-3</v>
      </c>
      <c r="C60">
        <f t="shared" si="30"/>
        <v>1.3731177414360949E-3</v>
      </c>
      <c r="D60" s="60"/>
      <c r="E60" s="5"/>
      <c r="F60" s="5"/>
      <c r="I60" s="51"/>
      <c r="J60" s="41"/>
      <c r="K60" s="41" t="str">
        <f t="shared" si="26"/>
        <v/>
      </c>
      <c r="L60" s="42" t="str">
        <f t="shared" si="27"/>
        <v/>
      </c>
      <c r="M60" s="41" t="str">
        <f t="shared" si="28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>IF(I60&lt;&gt;"",_xlfn.XLOOKUP($D$4+I60,$A$26:$A$145,$B$26:$B$145,0) * 1000,"")</f>
        <v/>
      </c>
      <c r="T60" s="52">
        <f t="shared" si="29"/>
        <v>0</v>
      </c>
      <c r="U60" s="53" t="str">
        <f t="shared" si="15"/>
        <v/>
      </c>
      <c r="V60" s="53" t="str">
        <f t="shared" si="16"/>
        <v/>
      </c>
      <c r="W60" s="53" t="str">
        <f t="shared" si="17"/>
        <v/>
      </c>
      <c r="X60" s="46" t="str">
        <f t="shared" si="5"/>
        <v/>
      </c>
      <c r="Y60" s="54"/>
      <c r="Z60" s="41" t="str">
        <f t="shared" si="18"/>
        <v/>
      </c>
      <c r="AA60" s="41" t="str">
        <f t="shared" si="19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/>
      <c r="AG60" s="41" t="str">
        <f t="shared" si="9"/>
        <v/>
      </c>
      <c r="AH60" s="41" t="str">
        <f t="shared" si="20"/>
        <v/>
      </c>
      <c r="AI60" s="41" t="str">
        <f t="shared" si="21"/>
        <v/>
      </c>
      <c r="AJ60" s="41">
        <f t="shared" si="10"/>
        <v>0</v>
      </c>
      <c r="AK60" s="41" t="str">
        <f t="shared" si="11"/>
        <v/>
      </c>
      <c r="AL60" s="41">
        <f t="shared" si="22"/>
        <v>0</v>
      </c>
      <c r="AM60" s="41">
        <f t="shared" si="12"/>
        <v>0</v>
      </c>
      <c r="AN60" s="41" t="str">
        <f t="shared" si="13"/>
        <v/>
      </c>
      <c r="AO60" s="41">
        <f t="shared" si="14"/>
        <v>0</v>
      </c>
      <c r="AP60" s="45"/>
      <c r="AQ60" s="45"/>
      <c r="AR60" s="48"/>
      <c r="AS60" s="48"/>
      <c r="AT60" s="51">
        <f t="shared" si="23"/>
        <v>56</v>
      </c>
      <c r="AU60" s="49" t="str">
        <f t="shared" si="24"/>
        <v/>
      </c>
      <c r="AV60" s="49" t="str">
        <f t="shared" si="25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1.5218973874801E-3</v>
      </c>
      <c r="C61">
        <f t="shared" si="30"/>
        <v>1.430583544231294E-3</v>
      </c>
      <c r="D61" s="60"/>
      <c r="E61" s="5"/>
      <c r="F61" s="5"/>
      <c r="I61" s="51"/>
      <c r="J61" s="41"/>
      <c r="K61" s="41" t="str">
        <f t="shared" si="26"/>
        <v/>
      </c>
      <c r="L61" s="42" t="str">
        <f t="shared" si="27"/>
        <v/>
      </c>
      <c r="M61" s="41" t="str">
        <f t="shared" si="28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>IF(I61&lt;&gt;"",_xlfn.XLOOKUP($D$4+I61,$A$26:$A$145,$B$26:$B$145,0) * 1000,"")</f>
        <v/>
      </c>
      <c r="T61" s="52">
        <f t="shared" si="29"/>
        <v>0</v>
      </c>
      <c r="U61" s="53" t="str">
        <f t="shared" si="15"/>
        <v/>
      </c>
      <c r="V61" s="53" t="str">
        <f t="shared" si="16"/>
        <v/>
      </c>
      <c r="W61" s="53" t="str">
        <f t="shared" si="17"/>
        <v/>
      </c>
      <c r="X61" s="46" t="str">
        <f t="shared" si="5"/>
        <v/>
      </c>
      <c r="Y61" s="54"/>
      <c r="Z61" s="41" t="str">
        <f t="shared" si="18"/>
        <v/>
      </c>
      <c r="AA61" s="41" t="str">
        <f t="shared" si="19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20"/>
        <v/>
      </c>
      <c r="AI61" s="41" t="str">
        <f t="shared" si="21"/>
        <v/>
      </c>
      <c r="AJ61" s="41">
        <f t="shared" si="10"/>
        <v>0</v>
      </c>
      <c r="AK61" s="41" t="str">
        <f t="shared" si="11"/>
        <v/>
      </c>
      <c r="AL61" s="41">
        <f t="shared" si="22"/>
        <v>0</v>
      </c>
      <c r="AM61" s="41">
        <f t="shared" si="12"/>
        <v>0</v>
      </c>
      <c r="AN61" s="41" t="str">
        <f t="shared" si="13"/>
        <v/>
      </c>
      <c r="AO61" s="41">
        <f t="shared" si="14"/>
        <v>0</v>
      </c>
      <c r="AP61" s="45"/>
      <c r="AQ61" s="45"/>
      <c r="AR61" s="48"/>
      <c r="AS61" s="48"/>
      <c r="AT61" s="51">
        <f t="shared" si="23"/>
        <v>57</v>
      </c>
      <c r="AU61" s="49" t="str">
        <f t="shared" si="24"/>
        <v/>
      </c>
      <c r="AV61" s="49" t="str">
        <f t="shared" si="25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1.6551642099937899E-3</v>
      </c>
      <c r="C62">
        <f t="shared" si="30"/>
        <v>1.5558543573941624E-3</v>
      </c>
      <c r="D62" s="60"/>
      <c r="E62" s="5"/>
      <c r="F62" s="5"/>
      <c r="I62" s="51"/>
      <c r="J62" s="41"/>
      <c r="K62" s="41" t="str">
        <f t="shared" si="26"/>
        <v/>
      </c>
      <c r="L62" s="42" t="str">
        <f t="shared" si="27"/>
        <v/>
      </c>
      <c r="M62" s="41" t="str">
        <f t="shared" si="28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>IF(I62&lt;&gt;"",_xlfn.XLOOKUP($D$4+I62,$A$26:$A$145,$B$26:$B$145,0) * 1000,"")</f>
        <v/>
      </c>
      <c r="T62" s="52">
        <f t="shared" si="29"/>
        <v>0</v>
      </c>
      <c r="U62" s="53" t="str">
        <f t="shared" si="15"/>
        <v/>
      </c>
      <c r="V62" s="53" t="str">
        <f t="shared" si="16"/>
        <v/>
      </c>
      <c r="W62" s="53" t="str">
        <f t="shared" si="17"/>
        <v/>
      </c>
      <c r="X62" s="46" t="str">
        <f t="shared" si="5"/>
        <v/>
      </c>
      <c r="Y62" s="54"/>
      <c r="Z62" s="41" t="str">
        <f t="shared" si="18"/>
        <v/>
      </c>
      <c r="AA62" s="41" t="str">
        <f t="shared" si="19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20"/>
        <v/>
      </c>
      <c r="AI62" s="41" t="str">
        <f t="shared" si="21"/>
        <v/>
      </c>
      <c r="AJ62" s="41">
        <f t="shared" si="10"/>
        <v>0</v>
      </c>
      <c r="AK62" s="41" t="str">
        <f t="shared" si="11"/>
        <v/>
      </c>
      <c r="AL62" s="41">
        <f t="shared" si="22"/>
        <v>0</v>
      </c>
      <c r="AM62" s="41">
        <f t="shared" si="12"/>
        <v>0</v>
      </c>
      <c r="AN62" s="41" t="str">
        <f t="shared" si="13"/>
        <v/>
      </c>
      <c r="AO62" s="41">
        <f t="shared" si="14"/>
        <v>0</v>
      </c>
      <c r="AP62" s="45"/>
      <c r="AQ62" s="45"/>
      <c r="AR62" s="48"/>
      <c r="AS62" s="48"/>
      <c r="AT62" s="51">
        <f t="shared" si="23"/>
        <v>58</v>
      </c>
      <c r="AU62" s="49" t="str">
        <f t="shared" si="24"/>
        <v/>
      </c>
      <c r="AV62" s="49" t="str">
        <f t="shared" si="25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1.81023332466046E-3</v>
      </c>
      <c r="C63">
        <f t="shared" si="30"/>
        <v>1.7016193251808323E-3</v>
      </c>
      <c r="D63" s="60"/>
      <c r="E63" s="5"/>
      <c r="F63" s="5"/>
      <c r="I63" s="51"/>
      <c r="J63" s="41"/>
      <c r="K63" s="41" t="str">
        <f t="shared" si="26"/>
        <v/>
      </c>
      <c r="L63" s="42" t="str">
        <f t="shared" si="27"/>
        <v/>
      </c>
      <c r="M63" s="41" t="str">
        <f t="shared" si="28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>IF(I63&lt;&gt;"",_xlfn.XLOOKUP($D$4+I63,$A$26:$A$145,$B$26:$B$145,0) * 1000,"")</f>
        <v/>
      </c>
      <c r="T63" s="52">
        <f t="shared" si="29"/>
        <v>0</v>
      </c>
      <c r="U63" s="53" t="str">
        <f t="shared" si="15"/>
        <v/>
      </c>
      <c r="V63" s="53" t="str">
        <f t="shared" si="16"/>
        <v/>
      </c>
      <c r="W63" s="53" t="str">
        <f t="shared" si="17"/>
        <v/>
      </c>
      <c r="X63" s="46" t="str">
        <f t="shared" si="5"/>
        <v/>
      </c>
      <c r="Y63" s="54"/>
      <c r="Z63" s="41" t="str">
        <f t="shared" si="18"/>
        <v/>
      </c>
      <c r="AA63" s="41" t="str">
        <f t="shared" si="19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20"/>
        <v/>
      </c>
      <c r="AI63" s="41" t="str">
        <f t="shared" si="21"/>
        <v/>
      </c>
      <c r="AJ63" s="41">
        <f t="shared" si="10"/>
        <v>0</v>
      </c>
      <c r="AK63" s="41" t="str">
        <f t="shared" si="11"/>
        <v/>
      </c>
      <c r="AL63" s="41">
        <f t="shared" si="22"/>
        <v>0</v>
      </c>
      <c r="AM63" s="41">
        <f t="shared" si="12"/>
        <v>0</v>
      </c>
      <c r="AN63" s="41" t="str">
        <f t="shared" si="13"/>
        <v/>
      </c>
      <c r="AO63" s="41">
        <f t="shared" si="14"/>
        <v>0</v>
      </c>
      <c r="AP63" s="45"/>
      <c r="AQ63" s="45"/>
      <c r="AR63" s="48"/>
      <c r="AS63" s="48"/>
      <c r="AT63" s="51">
        <f t="shared" si="23"/>
        <v>59</v>
      </c>
      <c r="AU63" s="49" t="str">
        <f t="shared" si="24"/>
        <v/>
      </c>
      <c r="AV63" s="49" t="str">
        <f t="shared" si="25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1.9695319363742798E-3</v>
      </c>
      <c r="C64">
        <f t="shared" si="30"/>
        <v>1.8513600201918229E-3</v>
      </c>
      <c r="D64" s="60"/>
      <c r="E64" s="5"/>
      <c r="F64" s="5"/>
      <c r="I64" s="51"/>
      <c r="J64" s="41"/>
      <c r="K64" s="41" t="str">
        <f t="shared" si="26"/>
        <v/>
      </c>
      <c r="L64" s="42" t="str">
        <f t="shared" si="27"/>
        <v/>
      </c>
      <c r="M64" s="41" t="str">
        <f t="shared" si="28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>IF(I64&lt;&gt;"",_xlfn.XLOOKUP($D$4+I64,$A$26:$A$145,$B$26:$B$145,0) * 1000,"")</f>
        <v/>
      </c>
      <c r="T64" s="52">
        <f t="shared" si="29"/>
        <v>0</v>
      </c>
      <c r="U64" s="53" t="str">
        <f t="shared" si="15"/>
        <v/>
      </c>
      <c r="V64" s="53" t="str">
        <f t="shared" si="16"/>
        <v/>
      </c>
      <c r="W64" s="53" t="str">
        <f t="shared" si="17"/>
        <v/>
      </c>
      <c r="X64" s="46" t="str">
        <f t="shared" si="5"/>
        <v/>
      </c>
      <c r="Y64" s="54"/>
      <c r="Z64" s="41" t="str">
        <f t="shared" si="18"/>
        <v/>
      </c>
      <c r="AA64" s="41" t="str">
        <f t="shared" si="19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20"/>
        <v/>
      </c>
      <c r="AI64" s="41" t="str">
        <f t="shared" si="21"/>
        <v/>
      </c>
      <c r="AJ64" s="41">
        <f t="shared" si="10"/>
        <v>0</v>
      </c>
      <c r="AK64" s="41" t="str">
        <f t="shared" si="11"/>
        <v/>
      </c>
      <c r="AL64" s="41">
        <f t="shared" si="22"/>
        <v>0</v>
      </c>
      <c r="AM64" s="41">
        <f t="shared" si="12"/>
        <v>0</v>
      </c>
      <c r="AN64" s="41" t="str">
        <f t="shared" si="13"/>
        <v/>
      </c>
      <c r="AO64" s="41">
        <f t="shared" si="14"/>
        <v>0</v>
      </c>
      <c r="AP64" s="45"/>
      <c r="AQ64" s="45"/>
      <c r="AR64" s="48"/>
      <c r="AS64" s="48"/>
      <c r="AT64" s="51">
        <f t="shared" si="23"/>
        <v>60</v>
      </c>
      <c r="AU64" s="49" t="str">
        <f t="shared" si="24"/>
        <v/>
      </c>
      <c r="AV64" s="49" t="str">
        <f t="shared" si="25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2.1357140330629E-3</v>
      </c>
      <c r="C65">
        <f t="shared" si="30"/>
        <v>2.0075711910791257E-3</v>
      </c>
      <c r="D65" s="60"/>
      <c r="E65" s="5"/>
      <c r="F65" s="5"/>
      <c r="I65" s="51"/>
      <c r="J65" s="41"/>
      <c r="K65" s="41" t="str">
        <f t="shared" si="26"/>
        <v/>
      </c>
      <c r="L65" s="42" t="str">
        <f t="shared" si="27"/>
        <v/>
      </c>
      <c r="M65" s="41" t="str">
        <f t="shared" si="28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>IF(I65&lt;&gt;"",_xlfn.XLOOKUP($D$4+I65,$A$26:$A$145,$B$26:$B$145,0) * 1000,"")</f>
        <v/>
      </c>
      <c r="T65" s="52">
        <f t="shared" si="29"/>
        <v>0</v>
      </c>
      <c r="U65" s="53" t="str">
        <f t="shared" si="15"/>
        <v/>
      </c>
      <c r="V65" s="53" t="str">
        <f t="shared" si="16"/>
        <v/>
      </c>
      <c r="W65" s="53" t="str">
        <f t="shared" si="17"/>
        <v/>
      </c>
      <c r="X65" s="46" t="str">
        <f t="shared" si="5"/>
        <v/>
      </c>
      <c r="Y65" s="54"/>
      <c r="Z65" s="41" t="str">
        <f t="shared" si="18"/>
        <v/>
      </c>
      <c r="AA65" s="41" t="str">
        <f t="shared" si="19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20"/>
        <v/>
      </c>
      <c r="AI65" s="41" t="str">
        <f t="shared" si="21"/>
        <v/>
      </c>
      <c r="AJ65" s="41">
        <f t="shared" si="10"/>
        <v>0</v>
      </c>
      <c r="AK65" s="41" t="str">
        <f t="shared" si="11"/>
        <v/>
      </c>
      <c r="AL65" s="41">
        <f t="shared" si="22"/>
        <v>0</v>
      </c>
      <c r="AM65" s="41">
        <f t="shared" si="12"/>
        <v>0</v>
      </c>
      <c r="AN65" s="41" t="str">
        <f t="shared" si="13"/>
        <v/>
      </c>
      <c r="AO65" s="41">
        <f t="shared" si="14"/>
        <v>0</v>
      </c>
      <c r="AP65" s="45"/>
      <c r="AQ65" s="45"/>
      <c r="AR65" s="48"/>
      <c r="AS65" s="48"/>
      <c r="AT65" s="51">
        <f t="shared" si="23"/>
        <v>61</v>
      </c>
      <c r="AU65" s="49" t="str">
        <f t="shared" si="24"/>
        <v/>
      </c>
      <c r="AV65" s="49" t="str">
        <f t="shared" si="25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2.3293921088438601E-3</v>
      </c>
      <c r="C66">
        <f t="shared" si="30"/>
        <v>2.1896285823132283E-3</v>
      </c>
      <c r="D66" s="60"/>
      <c r="E66" s="5"/>
      <c r="F66" s="5"/>
      <c r="I66" s="51"/>
      <c r="J66" s="41"/>
      <c r="K66" s="41" t="str">
        <f t="shared" si="26"/>
        <v/>
      </c>
      <c r="L66" s="42" t="str">
        <f t="shared" si="27"/>
        <v/>
      </c>
      <c r="M66" s="41" t="str">
        <f t="shared" si="28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>IF(I66&lt;&gt;"",_xlfn.XLOOKUP($D$4+I66,$A$26:$A$145,$B$26:$B$145,0) * 1000,"")</f>
        <v/>
      </c>
      <c r="T66" s="52">
        <f t="shared" si="29"/>
        <v>0</v>
      </c>
      <c r="U66" s="53" t="str">
        <f t="shared" si="15"/>
        <v/>
      </c>
      <c r="V66" s="53" t="str">
        <f t="shared" si="16"/>
        <v/>
      </c>
      <c r="W66" s="53" t="str">
        <f t="shared" si="17"/>
        <v/>
      </c>
      <c r="X66" s="46" t="str">
        <f t="shared" si="5"/>
        <v/>
      </c>
      <c r="Y66" s="54"/>
      <c r="Z66" s="41" t="str">
        <f t="shared" si="18"/>
        <v/>
      </c>
      <c r="AA66" s="41" t="str">
        <f t="shared" si="19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20"/>
        <v/>
      </c>
      <c r="AI66" s="41" t="str">
        <f t="shared" si="21"/>
        <v/>
      </c>
      <c r="AJ66" s="41">
        <f t="shared" si="10"/>
        <v>0</v>
      </c>
      <c r="AK66" s="41" t="str">
        <f t="shared" si="11"/>
        <v/>
      </c>
      <c r="AL66" s="41">
        <f t="shared" si="22"/>
        <v>0</v>
      </c>
      <c r="AM66" s="41">
        <f t="shared" si="12"/>
        <v>0</v>
      </c>
      <c r="AN66" s="41" t="str">
        <f t="shared" si="13"/>
        <v/>
      </c>
      <c r="AO66" s="41">
        <f t="shared" si="14"/>
        <v>0</v>
      </c>
      <c r="AP66" s="45"/>
      <c r="AQ66" s="45"/>
      <c r="AR66" s="48"/>
      <c r="AS66" s="48"/>
      <c r="AT66" s="51">
        <f t="shared" si="23"/>
        <v>62</v>
      </c>
      <c r="AU66" s="49" t="str">
        <f t="shared" si="24"/>
        <v/>
      </c>
      <c r="AV66" s="49" t="str">
        <f t="shared" si="25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2.5216556729444899E-3</v>
      </c>
      <c r="C67">
        <f t="shared" si="30"/>
        <v>2.3703563325678202E-3</v>
      </c>
      <c r="D67" s="60"/>
      <c r="E67" s="5"/>
      <c r="F67" s="5"/>
      <c r="I67" s="51"/>
      <c r="J67" s="41"/>
      <c r="K67" s="41" t="str">
        <f t="shared" si="26"/>
        <v/>
      </c>
      <c r="L67" s="42" t="str">
        <f t="shared" si="27"/>
        <v/>
      </c>
      <c r="M67" s="41" t="str">
        <f t="shared" si="28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>IF(I67&lt;&gt;"",_xlfn.XLOOKUP($D$4+I67,$A$26:$A$145,$B$26:$B$145,0) * 1000,"")</f>
        <v/>
      </c>
      <c r="T67" s="52">
        <f t="shared" si="29"/>
        <v>0</v>
      </c>
      <c r="U67" s="53" t="str">
        <f t="shared" si="15"/>
        <v/>
      </c>
      <c r="V67" s="53" t="str">
        <f t="shared" si="16"/>
        <v/>
      </c>
      <c r="W67" s="53" t="str">
        <f t="shared" si="17"/>
        <v/>
      </c>
      <c r="X67" s="46" t="str">
        <f t="shared" si="5"/>
        <v/>
      </c>
      <c r="Y67" s="54"/>
      <c r="Z67" s="41" t="str">
        <f t="shared" si="18"/>
        <v/>
      </c>
      <c r="AA67" s="41" t="str">
        <f t="shared" si="19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20"/>
        <v/>
      </c>
      <c r="AI67" s="41" t="str">
        <f t="shared" si="21"/>
        <v/>
      </c>
      <c r="AJ67" s="41">
        <f t="shared" si="10"/>
        <v>0</v>
      </c>
      <c r="AK67" s="41" t="str">
        <f t="shared" si="11"/>
        <v/>
      </c>
      <c r="AL67" s="41">
        <f t="shared" si="22"/>
        <v>0</v>
      </c>
      <c r="AM67" s="41">
        <f t="shared" si="12"/>
        <v>0</v>
      </c>
      <c r="AN67" s="41" t="str">
        <f t="shared" si="13"/>
        <v/>
      </c>
      <c r="AO67" s="41">
        <f t="shared" si="14"/>
        <v>0</v>
      </c>
      <c r="AP67" s="45"/>
      <c r="AQ67" s="45"/>
      <c r="AR67" s="48"/>
      <c r="AS67" s="48"/>
      <c r="AT67" s="51">
        <f t="shared" si="23"/>
        <v>63</v>
      </c>
      <c r="AU67" s="49" t="str">
        <f t="shared" si="24"/>
        <v/>
      </c>
      <c r="AV67" s="49" t="str">
        <f t="shared" si="25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2.7409038679577801E-3</v>
      </c>
      <c r="C68">
        <f t="shared" si="30"/>
        <v>2.576449635880313E-3</v>
      </c>
      <c r="D68" s="60"/>
      <c r="E68" s="5"/>
      <c r="F68" s="5"/>
      <c r="I68" s="51"/>
      <c r="J68" s="41"/>
      <c r="K68" s="41" t="str">
        <f t="shared" si="26"/>
        <v/>
      </c>
      <c r="L68" s="42" t="str">
        <f t="shared" si="27"/>
        <v/>
      </c>
      <c r="M68" s="41" t="str">
        <f t="shared" si="28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>IF(I68&lt;&gt;"",_xlfn.XLOOKUP($D$4+I68,$A$26:$A$145,$B$26:$B$145,0) * 1000,"")</f>
        <v/>
      </c>
      <c r="T68" s="52">
        <f t="shared" si="29"/>
        <v>0</v>
      </c>
      <c r="U68" s="53" t="str">
        <f t="shared" si="15"/>
        <v/>
      </c>
      <c r="V68" s="53" t="str">
        <f t="shared" si="16"/>
        <v/>
      </c>
      <c r="W68" s="53" t="str">
        <f t="shared" si="17"/>
        <v/>
      </c>
      <c r="X68" s="46" t="str">
        <f t="shared" si="5"/>
        <v/>
      </c>
      <c r="Y68" s="54"/>
      <c r="Z68" s="41" t="str">
        <f t="shared" si="18"/>
        <v/>
      </c>
      <c r="AA68" s="41" t="str">
        <f t="shared" si="19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20"/>
        <v/>
      </c>
      <c r="AI68" s="41" t="str">
        <f t="shared" si="21"/>
        <v/>
      </c>
      <c r="AJ68" s="41">
        <f t="shared" si="10"/>
        <v>0</v>
      </c>
      <c r="AK68" s="41" t="str">
        <f t="shared" si="11"/>
        <v/>
      </c>
      <c r="AL68" s="41">
        <f t="shared" si="22"/>
        <v>0</v>
      </c>
      <c r="AM68" s="41">
        <f t="shared" si="12"/>
        <v>0</v>
      </c>
      <c r="AN68" s="41" t="str">
        <f t="shared" si="13"/>
        <v/>
      </c>
      <c r="AO68" s="41">
        <f t="shared" si="14"/>
        <v>0</v>
      </c>
      <c r="AP68" s="45"/>
      <c r="AQ68" s="45"/>
      <c r="AR68" s="48"/>
      <c r="AS68" s="48"/>
      <c r="AT68" s="51">
        <f t="shared" si="23"/>
        <v>64</v>
      </c>
      <c r="AU68" s="49" t="str">
        <f t="shared" si="24"/>
        <v/>
      </c>
      <c r="AV68" s="49" t="str">
        <f t="shared" si="25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2.9769287789749299E-3</v>
      </c>
      <c r="C69">
        <f t="shared" si="30"/>
        <v>2.7983130522364341E-3</v>
      </c>
      <c r="D69" s="60"/>
      <c r="E69" s="5"/>
      <c r="F69" s="5"/>
      <c r="I69" s="51"/>
      <c r="J69" s="41"/>
      <c r="K69" s="41" t="str">
        <f t="shared" si="26"/>
        <v/>
      </c>
      <c r="L69" s="42" t="str">
        <f t="shared" si="27"/>
        <v/>
      </c>
      <c r="M69" s="41" t="str">
        <f t="shared" si="28"/>
        <v/>
      </c>
      <c r="N69" s="43">
        <f t="shared" ref="N69:N123" si="31">AX69</f>
        <v>0</v>
      </c>
      <c r="O69" s="44">
        <f t="shared" ref="O69:O123" si="32">AW69</f>
        <v>0</v>
      </c>
      <c r="P69" s="41" t="str">
        <f t="shared" ref="P69:P124" si="33">IF(I69&lt;&gt;"", M69*N69/1000, "")</f>
        <v/>
      </c>
      <c r="Q69" s="41" t="str">
        <f t="shared" ref="Q69:Q124" si="34">IF(I69&lt;&gt;"", M69*O69/1000, "")</f>
        <v/>
      </c>
      <c r="R69" s="44"/>
      <c r="S69" s="44" t="str">
        <f>IF(I69&lt;&gt;"",_xlfn.XLOOKUP($D$4+I69,$A$26:$A$145,$B$26:$B$145,0) * 1000,"")</f>
        <v/>
      </c>
      <c r="T69" s="52">
        <f t="shared" si="29"/>
        <v>0</v>
      </c>
      <c r="U69" s="53" t="str">
        <f t="shared" si="15"/>
        <v/>
      </c>
      <c r="V69" s="53" t="str">
        <f t="shared" si="16"/>
        <v/>
      </c>
      <c r="W69" s="53" t="str">
        <f t="shared" si="17"/>
        <v/>
      </c>
      <c r="X69" s="46" t="str">
        <f t="shared" ref="X69:X124" si="35">IF(I69&lt;&gt;"", U69-SUM(V69:W69), "")</f>
        <v/>
      </c>
      <c r="Y69" s="54"/>
      <c r="Z69" s="41" t="str">
        <f t="shared" si="18"/>
        <v/>
      </c>
      <c r="AA69" s="41" t="str">
        <f t="shared" si="19"/>
        <v/>
      </c>
      <c r="AB69" s="41" t="str">
        <f t="shared" ref="AB69:AB124" si="36">IF(I69&lt;&gt;"", Q69*X69, "" )</f>
        <v/>
      </c>
      <c r="AC69" s="41" t="str">
        <f t="shared" ref="AC69:AC124" si="37">IF(I69&lt;&gt;"", $H$14*M69*X69, "")</f>
        <v/>
      </c>
      <c r="AD69" s="54"/>
      <c r="AE69" s="41" t="str">
        <f t="shared" ref="AE69:AE124" si="38">IF(I69&lt;&gt;"", $X69*J69, "")</f>
        <v/>
      </c>
      <c r="AF69" s="41"/>
      <c r="AG69" s="41" t="str">
        <f t="shared" ref="AG69:AG124" si="39">IF(I69&lt;&gt;"", -$X69*L69, "")</f>
        <v/>
      </c>
      <c r="AH69" s="41" t="str">
        <f t="shared" si="20"/>
        <v/>
      </c>
      <c r="AI69" s="41" t="str">
        <f t="shared" si="21"/>
        <v/>
      </c>
      <c r="AJ69" s="41">
        <f t="shared" ref="AJ69:AJ124" si="40">SUM(AE69:AI69)</f>
        <v>0</v>
      </c>
      <c r="AK69" s="41" t="str">
        <f t="shared" ref="AK69:AK124" si="41">IF(I69&lt;&gt;"", Z69-AB69, "")</f>
        <v/>
      </c>
      <c r="AL69" s="41">
        <f t="shared" si="22"/>
        <v>0</v>
      </c>
      <c r="AM69" s="41">
        <f t="shared" ref="AM69:AM124" si="42">SUM(AJ69:AL69)</f>
        <v>0</v>
      </c>
      <c r="AN69" s="41" t="str">
        <f t="shared" ref="AN69:AN124" si="43">IF(I69&lt;&gt;"", AA69-AC69, "")</f>
        <v/>
      </c>
      <c r="AO69" s="41">
        <f t="shared" ref="AO69:AO78" si="44">SUM(AM69:AN69)</f>
        <v>0</v>
      </c>
      <c r="AP69" s="45"/>
      <c r="AQ69" s="45"/>
      <c r="AR69" s="48"/>
      <c r="AS69" s="48"/>
      <c r="AT69" s="51">
        <f t="shared" si="23"/>
        <v>65</v>
      </c>
      <c r="AU69" s="49" t="str">
        <f t="shared" si="24"/>
        <v/>
      </c>
      <c r="AV69" s="49" t="str">
        <f t="shared" si="25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3.2342348989919901E-3</v>
      </c>
      <c r="C70">
        <f t="shared" si="30"/>
        <v>3.0401808050524704E-3</v>
      </c>
      <c r="D70" s="60"/>
      <c r="E70" s="5"/>
      <c r="F70" s="5"/>
      <c r="I70" s="51"/>
      <c r="J70" s="41"/>
      <c r="K70" s="41" t="str">
        <f t="shared" si="26"/>
        <v/>
      </c>
      <c r="L70" s="42" t="str">
        <f t="shared" si="27"/>
        <v/>
      </c>
      <c r="M70" s="41" t="str">
        <f t="shared" si="28"/>
        <v/>
      </c>
      <c r="N70" s="43">
        <f t="shared" si="31"/>
        <v>0</v>
      </c>
      <c r="O70" s="44">
        <f t="shared" si="32"/>
        <v>0</v>
      </c>
      <c r="P70" s="41" t="str">
        <f t="shared" si="33"/>
        <v/>
      </c>
      <c r="Q70" s="41" t="str">
        <f t="shared" si="34"/>
        <v/>
      </c>
      <c r="R70" s="44"/>
      <c r="S70" s="44" t="str">
        <f>IF(I70&lt;&gt;"",_xlfn.XLOOKUP($D$4+I70,$A$26:$A$145,$B$26:$B$145,0) * 1000,"")</f>
        <v/>
      </c>
      <c r="T70" s="52">
        <f t="shared" si="29"/>
        <v>0</v>
      </c>
      <c r="U70" s="53" t="str">
        <f t="shared" ref="U70:U124" si="45">IF(I70&lt;&gt;"", X69, "")</f>
        <v/>
      </c>
      <c r="V70" s="53" t="str">
        <f t="shared" ref="V70:V124" si="46">IF(I70&lt;&gt;"", S70*U70/1000, "")</f>
        <v/>
      </c>
      <c r="W70" s="53" t="str">
        <f t="shared" ref="W70:W124" si="47">IF(I70&lt;&gt;"", MIN(T70*U70,U70-V70), "")</f>
        <v/>
      </c>
      <c r="X70" s="46" t="str">
        <f t="shared" si="35"/>
        <v/>
      </c>
      <c r="Y70" s="54"/>
      <c r="Z70" s="41" t="str">
        <f t="shared" ref="Z70:Z124" si="48">IF(I70&lt;&gt;"",AB69,"")</f>
        <v/>
      </c>
      <c r="AA70" s="41" t="str">
        <f t="shared" ref="AA70:AA124" si="49">IF(I70&lt;&gt;"", AC69, "")</f>
        <v/>
      </c>
      <c r="AB70" s="41" t="str">
        <f t="shared" si="36"/>
        <v/>
      </c>
      <c r="AC70" s="41" t="str">
        <f t="shared" si="37"/>
        <v/>
      </c>
      <c r="AD70" s="54"/>
      <c r="AE70" s="41" t="str">
        <f t="shared" si="38"/>
        <v/>
      </c>
      <c r="AF70" s="41"/>
      <c r="AG70" s="41" t="str">
        <f t="shared" si="39"/>
        <v/>
      </c>
      <c r="AH70" s="41" t="str">
        <f t="shared" ref="AH70:AH124" si="50">IF(I70&lt;&gt;"",-M70*V70,"")</f>
        <v/>
      </c>
      <c r="AI70" s="41" t="str">
        <f t="shared" ref="AI70:AI124" si="51">IF(I70 &lt;&gt; "", -P70*W70, "")</f>
        <v/>
      </c>
      <c r="AJ70" s="41">
        <f t="shared" si="40"/>
        <v>0</v>
      </c>
      <c r="AK70" s="41" t="str">
        <f t="shared" si="41"/>
        <v/>
      </c>
      <c r="AL70" s="41">
        <f t="shared" ref="AL70:AL124" si="52">$D$6*SUM(Z70:AA70,AE70:AF70)</f>
        <v>0</v>
      </c>
      <c r="AM70" s="41">
        <f t="shared" si="42"/>
        <v>0</v>
      </c>
      <c r="AN70" s="41" t="str">
        <f t="shared" si="43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3">AT69+1</f>
        <v>66</v>
      </c>
      <c r="AU70" s="49" t="str">
        <f t="shared" ref="AU70:AU124" si="54">IF(I70&lt;&gt;"", AU69-AV69, "")</f>
        <v/>
      </c>
      <c r="AV70" s="49" t="str">
        <f t="shared" ref="AV70:AV124" si="55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3.42204336616136E-3</v>
      </c>
      <c r="C71">
        <f t="shared" si="30"/>
        <v>3.216720764191678E-3</v>
      </c>
      <c r="D71" s="60"/>
      <c r="E71" s="5"/>
      <c r="F71" s="5"/>
      <c r="I71" s="51"/>
      <c r="J71" s="41"/>
      <c r="K71" s="41" t="str">
        <f t="shared" ref="K71:K124" si="56">IF(J71&lt;&gt;"",J71*$C$17,"")</f>
        <v/>
      </c>
      <c r="L71" s="42" t="str">
        <f t="shared" ref="L71:L124" si="57">IF(I71&lt;&gt;"",$C$21,"")</f>
        <v/>
      </c>
      <c r="M71" s="41" t="str">
        <f t="shared" ref="M71:M124" si="58">IF(I71&lt;&gt;"",$E$11,"")</f>
        <v/>
      </c>
      <c r="N71" s="43">
        <f t="shared" si="31"/>
        <v>0</v>
      </c>
      <c r="O71" s="44">
        <f t="shared" si="32"/>
        <v>0</v>
      </c>
      <c r="P71" s="41" t="str">
        <f t="shared" si="33"/>
        <v/>
      </c>
      <c r="Q71" s="41" t="str">
        <f t="shared" si="34"/>
        <v/>
      </c>
      <c r="R71" s="44"/>
      <c r="S71" s="44" t="str">
        <f>IF(I71&lt;&gt;"",_xlfn.XLOOKUP($D$4+I71,$A$26:$A$145,$B$26:$B$145,0) * 1000,"")</f>
        <v/>
      </c>
      <c r="T71" s="52">
        <f t="shared" si="29"/>
        <v>0</v>
      </c>
      <c r="U71" s="53" t="str">
        <f t="shared" si="45"/>
        <v/>
      </c>
      <c r="V71" s="53" t="str">
        <f t="shared" si="46"/>
        <v/>
      </c>
      <c r="W71" s="53" t="str">
        <f t="shared" si="47"/>
        <v/>
      </c>
      <c r="X71" s="46" t="str">
        <f t="shared" si="35"/>
        <v/>
      </c>
      <c r="Y71" s="54"/>
      <c r="Z71" s="41" t="str">
        <f t="shared" si="48"/>
        <v/>
      </c>
      <c r="AA71" s="41" t="str">
        <f t="shared" si="49"/>
        <v/>
      </c>
      <c r="AB71" s="41" t="str">
        <f t="shared" si="36"/>
        <v/>
      </c>
      <c r="AC71" s="41" t="str">
        <f t="shared" si="37"/>
        <v/>
      </c>
      <c r="AD71" s="54"/>
      <c r="AE71" s="41" t="str">
        <f t="shared" si="38"/>
        <v/>
      </c>
      <c r="AF71" s="41"/>
      <c r="AG71" s="41" t="str">
        <f t="shared" si="39"/>
        <v/>
      </c>
      <c r="AH71" s="41" t="str">
        <f t="shared" si="50"/>
        <v/>
      </c>
      <c r="AI71" s="41" t="str">
        <f t="shared" si="51"/>
        <v/>
      </c>
      <c r="AJ71" s="41">
        <f t="shared" si="40"/>
        <v>0</v>
      </c>
      <c r="AK71" s="41" t="str">
        <f t="shared" si="41"/>
        <v/>
      </c>
      <c r="AL71" s="41">
        <f t="shared" si="52"/>
        <v>0</v>
      </c>
      <c r="AM71" s="41">
        <f t="shared" si="42"/>
        <v>0</v>
      </c>
      <c r="AN71" s="41" t="str">
        <f t="shared" si="43"/>
        <v/>
      </c>
      <c r="AO71" s="41">
        <f t="shared" si="44"/>
        <v>0</v>
      </c>
      <c r="AP71" s="45"/>
      <c r="AQ71" s="45"/>
      <c r="AR71" s="48"/>
      <c r="AS71" s="48"/>
      <c r="AT71" s="51">
        <f t="shared" si="53"/>
        <v>67</v>
      </c>
      <c r="AU71" s="49" t="str">
        <f t="shared" si="54"/>
        <v/>
      </c>
      <c r="AV71" s="49" t="str">
        <f t="shared" si="55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3.7350770317632299E-3</v>
      </c>
      <c r="C72">
        <f t="shared" si="30"/>
        <v>3.510972409857436E-3</v>
      </c>
      <c r="D72" s="60"/>
      <c r="E72" s="5"/>
      <c r="F72" s="5"/>
      <c r="I72" s="51"/>
      <c r="J72" s="41"/>
      <c r="K72" s="41" t="str">
        <f t="shared" si="56"/>
        <v/>
      </c>
      <c r="L72" s="42" t="str">
        <f t="shared" si="57"/>
        <v/>
      </c>
      <c r="M72" s="41" t="str">
        <f t="shared" si="58"/>
        <v/>
      </c>
      <c r="N72" s="43">
        <f>AX72</f>
        <v>0</v>
      </c>
      <c r="O72" s="44">
        <f t="shared" si="32"/>
        <v>0</v>
      </c>
      <c r="P72" s="41" t="str">
        <f t="shared" si="33"/>
        <v/>
      </c>
      <c r="Q72" s="41" t="str">
        <f t="shared" si="34"/>
        <v/>
      </c>
      <c r="R72" s="44"/>
      <c r="S72" s="44" t="str">
        <f>IF(I72&lt;&gt;"",_xlfn.XLOOKUP($D$4+I72,$A$26:$A$145,$B$26:$B$145,0) * 1000,"")</f>
        <v/>
      </c>
      <c r="T72" s="52">
        <f t="shared" si="29"/>
        <v>0</v>
      </c>
      <c r="U72" s="53" t="str">
        <f t="shared" si="45"/>
        <v/>
      </c>
      <c r="V72" s="53" t="str">
        <f t="shared" si="46"/>
        <v/>
      </c>
      <c r="W72" s="53" t="str">
        <f t="shared" si="47"/>
        <v/>
      </c>
      <c r="X72" s="46" t="str">
        <f t="shared" si="35"/>
        <v/>
      </c>
      <c r="Y72" s="54"/>
      <c r="Z72" s="41" t="str">
        <f t="shared" si="48"/>
        <v/>
      </c>
      <c r="AA72" s="41" t="str">
        <f t="shared" si="49"/>
        <v/>
      </c>
      <c r="AB72" s="41" t="str">
        <f t="shared" si="36"/>
        <v/>
      </c>
      <c r="AC72" s="41" t="str">
        <f t="shared" si="37"/>
        <v/>
      </c>
      <c r="AD72" s="54"/>
      <c r="AE72" s="41" t="str">
        <f t="shared" si="38"/>
        <v/>
      </c>
      <c r="AF72" s="41"/>
      <c r="AG72" s="41" t="str">
        <f t="shared" si="39"/>
        <v/>
      </c>
      <c r="AH72" s="41" t="str">
        <f t="shared" si="50"/>
        <v/>
      </c>
      <c r="AI72" s="41" t="str">
        <f t="shared" si="51"/>
        <v/>
      </c>
      <c r="AJ72" s="41">
        <f t="shared" si="40"/>
        <v>0</v>
      </c>
      <c r="AK72" s="41" t="str">
        <f t="shared" si="41"/>
        <v/>
      </c>
      <c r="AL72" s="41">
        <f t="shared" si="52"/>
        <v>0</v>
      </c>
      <c r="AM72" s="41">
        <f t="shared" si="42"/>
        <v>0</v>
      </c>
      <c r="AN72" s="41" t="str">
        <f t="shared" si="43"/>
        <v/>
      </c>
      <c r="AO72" s="41">
        <f t="shared" si="44"/>
        <v>0</v>
      </c>
      <c r="AP72" s="45"/>
      <c r="AQ72" s="45"/>
      <c r="AR72" s="48"/>
      <c r="AS72" s="48"/>
      <c r="AT72" s="51">
        <f t="shared" si="53"/>
        <v>68</v>
      </c>
      <c r="AU72" s="49" t="str">
        <f t="shared" si="54"/>
        <v/>
      </c>
      <c r="AV72" s="49" t="str">
        <f t="shared" si="55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4.0948156353121101E-3</v>
      </c>
      <c r="C73">
        <f t="shared" si="30"/>
        <v>3.8491266971933833E-3</v>
      </c>
      <c r="D73" s="60"/>
      <c r="E73" s="5"/>
      <c r="F73" s="5"/>
      <c r="I73" s="51"/>
      <c r="J73" s="41"/>
      <c r="K73" s="41" t="str">
        <f t="shared" si="56"/>
        <v/>
      </c>
      <c r="L73" s="42" t="str">
        <f t="shared" si="57"/>
        <v/>
      </c>
      <c r="M73" s="41" t="str">
        <f t="shared" si="58"/>
        <v/>
      </c>
      <c r="N73" s="43">
        <f t="shared" si="31"/>
        <v>0</v>
      </c>
      <c r="O73" s="44">
        <f t="shared" si="32"/>
        <v>0</v>
      </c>
      <c r="P73" s="41" t="str">
        <f t="shared" si="33"/>
        <v/>
      </c>
      <c r="Q73" s="41" t="str">
        <f t="shared" si="34"/>
        <v/>
      </c>
      <c r="R73" s="44"/>
      <c r="S73" s="44" t="str">
        <f>IF(I73&lt;&gt;"",_xlfn.XLOOKUP($D$4+I73,$A$26:$A$145,$B$26:$B$145,0) * 1000,"")</f>
        <v/>
      </c>
      <c r="T73" s="52">
        <f t="shared" si="29"/>
        <v>0</v>
      </c>
      <c r="U73" s="53" t="str">
        <f t="shared" si="45"/>
        <v/>
      </c>
      <c r="V73" s="53" t="str">
        <f t="shared" si="46"/>
        <v/>
      </c>
      <c r="W73" s="53" t="str">
        <f t="shared" si="47"/>
        <v/>
      </c>
      <c r="X73" s="46" t="str">
        <f t="shared" si="35"/>
        <v/>
      </c>
      <c r="Y73" s="54"/>
      <c r="Z73" s="41" t="str">
        <f t="shared" si="48"/>
        <v/>
      </c>
      <c r="AA73" s="41" t="str">
        <f t="shared" si="49"/>
        <v/>
      </c>
      <c r="AB73" s="41" t="str">
        <f t="shared" si="36"/>
        <v/>
      </c>
      <c r="AC73" s="41" t="str">
        <f t="shared" si="37"/>
        <v/>
      </c>
      <c r="AD73" s="54"/>
      <c r="AE73" s="41" t="str">
        <f t="shared" si="38"/>
        <v/>
      </c>
      <c r="AF73" s="41"/>
      <c r="AG73" s="41" t="str">
        <f t="shared" si="39"/>
        <v/>
      </c>
      <c r="AH73" s="41" t="str">
        <f t="shared" si="50"/>
        <v/>
      </c>
      <c r="AI73" s="41" t="str">
        <f t="shared" si="51"/>
        <v/>
      </c>
      <c r="AJ73" s="41">
        <f t="shared" si="40"/>
        <v>0</v>
      </c>
      <c r="AK73" s="41" t="str">
        <f t="shared" si="41"/>
        <v/>
      </c>
      <c r="AL73" s="41">
        <f t="shared" si="52"/>
        <v>0</v>
      </c>
      <c r="AM73" s="41">
        <f t="shared" si="42"/>
        <v>0</v>
      </c>
      <c r="AN73" s="41" t="str">
        <f t="shared" si="43"/>
        <v/>
      </c>
      <c r="AO73" s="41">
        <f t="shared" si="44"/>
        <v>0</v>
      </c>
      <c r="AP73" s="45"/>
      <c r="AQ73" s="45"/>
      <c r="AR73" s="48"/>
      <c r="AS73" s="48"/>
      <c r="AT73" s="51">
        <f t="shared" si="53"/>
        <v>69</v>
      </c>
      <c r="AU73" s="49" t="str">
        <f t="shared" si="54"/>
        <v/>
      </c>
      <c r="AV73" s="49" t="str">
        <f t="shared" si="55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4.47599631895734E-3</v>
      </c>
      <c r="C74">
        <f t="shared" si="30"/>
        <v>4.207436539819899E-3</v>
      </c>
      <c r="D74" s="60"/>
      <c r="E74" s="5"/>
      <c r="F74" s="5"/>
      <c r="I74" s="51"/>
      <c r="J74" s="41"/>
      <c r="K74" s="41" t="str">
        <f t="shared" si="56"/>
        <v/>
      </c>
      <c r="L74" s="42" t="str">
        <f t="shared" si="57"/>
        <v/>
      </c>
      <c r="M74" s="41" t="str">
        <f t="shared" si="58"/>
        <v/>
      </c>
      <c r="N74" s="43">
        <f t="shared" si="31"/>
        <v>0</v>
      </c>
      <c r="O74" s="44">
        <f t="shared" si="32"/>
        <v>0</v>
      </c>
      <c r="P74" s="41" t="str">
        <f t="shared" si="33"/>
        <v/>
      </c>
      <c r="Q74" s="41" t="str">
        <f t="shared" si="34"/>
        <v/>
      </c>
      <c r="R74" s="44"/>
      <c r="S74" s="44" t="str">
        <f>IF(I74&lt;&gt;"",_xlfn.XLOOKUP($D$4+I74,$A$26:$A$145,$B$26:$B$145,0) * 1000,"")</f>
        <v/>
      </c>
      <c r="T74" s="52">
        <f t="shared" si="29"/>
        <v>0</v>
      </c>
      <c r="U74" s="53" t="str">
        <f t="shared" si="45"/>
        <v/>
      </c>
      <c r="V74" s="53" t="str">
        <f t="shared" si="46"/>
        <v/>
      </c>
      <c r="W74" s="53" t="str">
        <f t="shared" si="47"/>
        <v/>
      </c>
      <c r="X74" s="46" t="str">
        <f t="shared" si="35"/>
        <v/>
      </c>
      <c r="Y74" s="54"/>
      <c r="Z74" s="41" t="str">
        <f t="shared" si="48"/>
        <v/>
      </c>
      <c r="AA74" s="41" t="str">
        <f t="shared" si="49"/>
        <v/>
      </c>
      <c r="AB74" s="41" t="str">
        <f t="shared" si="36"/>
        <v/>
      </c>
      <c r="AC74" s="41" t="str">
        <f t="shared" si="37"/>
        <v/>
      </c>
      <c r="AD74" s="54"/>
      <c r="AE74" s="41" t="str">
        <f t="shared" si="38"/>
        <v/>
      </c>
      <c r="AF74" s="41"/>
      <c r="AG74" s="41" t="str">
        <f t="shared" si="39"/>
        <v/>
      </c>
      <c r="AH74" s="41" t="str">
        <f t="shared" si="50"/>
        <v/>
      </c>
      <c r="AI74" s="41" t="str">
        <f t="shared" si="51"/>
        <v/>
      </c>
      <c r="AJ74" s="41">
        <f t="shared" si="40"/>
        <v>0</v>
      </c>
      <c r="AK74" s="41" t="str">
        <f t="shared" si="41"/>
        <v/>
      </c>
      <c r="AL74" s="41">
        <f t="shared" si="52"/>
        <v>0</v>
      </c>
      <c r="AM74" s="41">
        <f t="shared" si="42"/>
        <v>0</v>
      </c>
      <c r="AN74" s="41" t="str">
        <f t="shared" si="43"/>
        <v/>
      </c>
      <c r="AO74" s="41">
        <f t="shared" si="44"/>
        <v>0</v>
      </c>
      <c r="AP74" s="45"/>
      <c r="AQ74" s="45"/>
      <c r="AR74" s="48"/>
      <c r="AS74" s="48"/>
      <c r="AT74" s="51">
        <f t="shared" si="53"/>
        <v>70</v>
      </c>
      <c r="AU74" s="49" t="str">
        <f t="shared" si="54"/>
        <v/>
      </c>
      <c r="AV74" s="49" t="str">
        <f t="shared" si="55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4.8936175083202898E-3</v>
      </c>
      <c r="C75">
        <f t="shared" si="30"/>
        <v>4.6000004578210718E-3</v>
      </c>
      <c r="D75" s="60"/>
      <c r="E75" s="5"/>
      <c r="F75" s="5"/>
      <c r="I75" s="51"/>
      <c r="J75" s="41"/>
      <c r="K75" s="41" t="str">
        <f t="shared" si="56"/>
        <v/>
      </c>
      <c r="L75" s="42" t="str">
        <f t="shared" si="57"/>
        <v/>
      </c>
      <c r="M75" s="41" t="str">
        <f t="shared" si="58"/>
        <v/>
      </c>
      <c r="N75" s="43">
        <f t="shared" si="31"/>
        <v>0</v>
      </c>
      <c r="O75" s="44">
        <f t="shared" si="32"/>
        <v>0</v>
      </c>
      <c r="P75" s="41" t="str">
        <f t="shared" si="33"/>
        <v/>
      </c>
      <c r="Q75" s="41" t="str">
        <f t="shared" si="34"/>
        <v/>
      </c>
      <c r="R75" s="44"/>
      <c r="S75" s="44" t="str">
        <f>IF(I75&lt;&gt;"",_xlfn.XLOOKUP($D$4+I75,$A$26:$A$145,$B$26:$B$145,0) * 1000,"")</f>
        <v/>
      </c>
      <c r="T75" s="52">
        <f t="shared" si="29"/>
        <v>0</v>
      </c>
      <c r="U75" s="53" t="str">
        <f t="shared" si="45"/>
        <v/>
      </c>
      <c r="V75" s="53" t="str">
        <f t="shared" si="46"/>
        <v/>
      </c>
      <c r="W75" s="53" t="str">
        <f t="shared" si="47"/>
        <v/>
      </c>
      <c r="X75" s="46" t="str">
        <f t="shared" si="35"/>
        <v/>
      </c>
      <c r="Y75" s="54"/>
      <c r="Z75" s="41" t="str">
        <f t="shared" si="48"/>
        <v/>
      </c>
      <c r="AA75" s="41" t="str">
        <f t="shared" si="49"/>
        <v/>
      </c>
      <c r="AB75" s="41" t="str">
        <f t="shared" si="36"/>
        <v/>
      </c>
      <c r="AC75" s="41" t="str">
        <f t="shared" si="37"/>
        <v/>
      </c>
      <c r="AD75" s="54"/>
      <c r="AE75" s="41" t="str">
        <f t="shared" si="38"/>
        <v/>
      </c>
      <c r="AF75" s="41"/>
      <c r="AG75" s="41" t="str">
        <f t="shared" si="39"/>
        <v/>
      </c>
      <c r="AH75" s="41" t="str">
        <f t="shared" si="50"/>
        <v/>
      </c>
      <c r="AI75" s="41" t="str">
        <f t="shared" si="51"/>
        <v/>
      </c>
      <c r="AJ75" s="41">
        <f t="shared" si="40"/>
        <v>0</v>
      </c>
      <c r="AK75" s="41" t="str">
        <f t="shared" si="41"/>
        <v/>
      </c>
      <c r="AL75" s="41">
        <f t="shared" si="52"/>
        <v>0</v>
      </c>
      <c r="AM75" s="41">
        <f t="shared" si="42"/>
        <v>0</v>
      </c>
      <c r="AN75" s="41" t="str">
        <f t="shared" si="43"/>
        <v/>
      </c>
      <c r="AO75" s="41">
        <f t="shared" si="44"/>
        <v>0</v>
      </c>
      <c r="AP75" s="45"/>
      <c r="AQ75" s="45"/>
      <c r="AR75" s="48"/>
      <c r="AS75" s="48"/>
      <c r="AT75" s="51">
        <f t="shared" si="53"/>
        <v>71</v>
      </c>
      <c r="AU75" s="49" t="str">
        <f t="shared" si="54"/>
        <v/>
      </c>
      <c r="AV75" s="49" t="str">
        <f t="shared" si="55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5.3411896860906501E-3</v>
      </c>
      <c r="C76">
        <f t="shared" si="30"/>
        <v>5.0207183049252105E-3</v>
      </c>
      <c r="D76" s="60"/>
      <c r="E76" s="5"/>
      <c r="F76" s="5"/>
      <c r="I76" s="51"/>
      <c r="J76" s="41"/>
      <c r="K76" s="41" t="str">
        <f t="shared" si="56"/>
        <v/>
      </c>
      <c r="L76" s="42" t="str">
        <f t="shared" si="57"/>
        <v/>
      </c>
      <c r="M76" s="41" t="str">
        <f t="shared" si="58"/>
        <v/>
      </c>
      <c r="N76" s="43">
        <f t="shared" si="31"/>
        <v>0</v>
      </c>
      <c r="O76" s="44">
        <f t="shared" si="32"/>
        <v>0</v>
      </c>
      <c r="P76" s="41" t="str">
        <f t="shared" si="33"/>
        <v/>
      </c>
      <c r="Q76" s="41" t="str">
        <f t="shared" si="34"/>
        <v/>
      </c>
      <c r="R76" s="44"/>
      <c r="S76" s="44" t="str">
        <f>IF(I76&lt;&gt;"",_xlfn.XLOOKUP($D$4+I76,$A$26:$A$145,$B$26:$B$145,0) * 1000,"")</f>
        <v/>
      </c>
      <c r="T76" s="52">
        <f t="shared" si="29"/>
        <v>0</v>
      </c>
      <c r="U76" s="53" t="str">
        <f t="shared" si="45"/>
        <v/>
      </c>
      <c r="V76" s="53" t="str">
        <f t="shared" si="46"/>
        <v/>
      </c>
      <c r="W76" s="53" t="str">
        <f t="shared" si="47"/>
        <v/>
      </c>
      <c r="X76" s="46" t="str">
        <f t="shared" si="35"/>
        <v/>
      </c>
      <c r="Y76" s="54"/>
      <c r="Z76" s="41" t="str">
        <f t="shared" si="48"/>
        <v/>
      </c>
      <c r="AA76" s="41" t="str">
        <f t="shared" si="49"/>
        <v/>
      </c>
      <c r="AB76" s="41" t="str">
        <f t="shared" si="36"/>
        <v/>
      </c>
      <c r="AC76" s="41" t="str">
        <f t="shared" si="37"/>
        <v/>
      </c>
      <c r="AD76" s="54"/>
      <c r="AE76" s="41" t="str">
        <f t="shared" si="38"/>
        <v/>
      </c>
      <c r="AF76" s="41"/>
      <c r="AG76" s="41" t="str">
        <f t="shared" si="39"/>
        <v/>
      </c>
      <c r="AH76" s="41" t="str">
        <f t="shared" si="50"/>
        <v/>
      </c>
      <c r="AI76" s="41" t="str">
        <f t="shared" si="51"/>
        <v/>
      </c>
      <c r="AJ76" s="41">
        <f t="shared" si="40"/>
        <v>0</v>
      </c>
      <c r="AK76" s="41" t="str">
        <f t="shared" si="41"/>
        <v/>
      </c>
      <c r="AL76" s="41">
        <f t="shared" si="52"/>
        <v>0</v>
      </c>
      <c r="AM76" s="41">
        <f t="shared" si="42"/>
        <v>0</v>
      </c>
      <c r="AN76" s="41" t="str">
        <f t="shared" si="43"/>
        <v/>
      </c>
      <c r="AO76" s="41">
        <f t="shared" si="44"/>
        <v>0</v>
      </c>
      <c r="AP76" s="45"/>
      <c r="AQ76" s="45"/>
      <c r="AR76" s="48"/>
      <c r="AS76" s="48"/>
      <c r="AT76" s="51">
        <f t="shared" si="53"/>
        <v>72</v>
      </c>
      <c r="AU76" s="49" t="str">
        <f t="shared" si="54"/>
        <v/>
      </c>
      <c r="AV76" s="49" t="str">
        <f t="shared" si="55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5.8563414346521903E-3</v>
      </c>
      <c r="C77">
        <f t="shared" si="30"/>
        <v>5.5049609485730584E-3</v>
      </c>
      <c r="D77" s="60"/>
      <c r="E77" s="5"/>
      <c r="F77" s="5"/>
      <c r="I77" s="51"/>
      <c r="J77" s="41"/>
      <c r="K77" s="41" t="str">
        <f t="shared" si="56"/>
        <v/>
      </c>
      <c r="L77" s="42" t="str">
        <f t="shared" si="57"/>
        <v/>
      </c>
      <c r="M77" s="41" t="str">
        <f t="shared" si="58"/>
        <v/>
      </c>
      <c r="N77" s="43">
        <f t="shared" si="31"/>
        <v>0</v>
      </c>
      <c r="O77" s="44">
        <f t="shared" si="32"/>
        <v>0</v>
      </c>
      <c r="P77" s="41" t="str">
        <f t="shared" si="33"/>
        <v/>
      </c>
      <c r="Q77" s="41" t="str">
        <f t="shared" si="34"/>
        <v/>
      </c>
      <c r="R77" s="44"/>
      <c r="S77" s="44" t="str">
        <f>IF(I77&lt;&gt;"",_xlfn.XLOOKUP($D$4+I77,$A$26:$A$145,$B$26:$B$145,0) * 1000,"")</f>
        <v/>
      </c>
      <c r="T77" s="52">
        <f t="shared" si="29"/>
        <v>0</v>
      </c>
      <c r="U77" s="53" t="str">
        <f t="shared" si="45"/>
        <v/>
      </c>
      <c r="V77" s="53" t="str">
        <f t="shared" si="46"/>
        <v/>
      </c>
      <c r="W77" s="53" t="str">
        <f t="shared" si="47"/>
        <v/>
      </c>
      <c r="X77" s="46" t="str">
        <f t="shared" si="35"/>
        <v/>
      </c>
      <c r="Y77" s="54"/>
      <c r="Z77" s="41" t="str">
        <f t="shared" si="48"/>
        <v/>
      </c>
      <c r="AA77" s="41" t="str">
        <f t="shared" si="49"/>
        <v/>
      </c>
      <c r="AB77" s="41" t="str">
        <f t="shared" si="36"/>
        <v/>
      </c>
      <c r="AC77" s="41" t="str">
        <f t="shared" si="37"/>
        <v/>
      </c>
      <c r="AD77" s="54"/>
      <c r="AE77" s="41" t="str">
        <f t="shared" si="38"/>
        <v/>
      </c>
      <c r="AF77" s="41"/>
      <c r="AG77" s="41" t="str">
        <f t="shared" si="39"/>
        <v/>
      </c>
      <c r="AH77" s="41" t="str">
        <f t="shared" si="50"/>
        <v/>
      </c>
      <c r="AI77" s="41" t="str">
        <f t="shared" si="51"/>
        <v/>
      </c>
      <c r="AJ77" s="41">
        <f t="shared" si="40"/>
        <v>0</v>
      </c>
      <c r="AK77" s="41" t="str">
        <f t="shared" si="41"/>
        <v/>
      </c>
      <c r="AL77" s="41">
        <f t="shared" si="52"/>
        <v>0</v>
      </c>
      <c r="AM77" s="41">
        <f t="shared" si="42"/>
        <v>0</v>
      </c>
      <c r="AN77" s="41" t="str">
        <f t="shared" si="43"/>
        <v/>
      </c>
      <c r="AO77" s="41">
        <f t="shared" si="44"/>
        <v>0</v>
      </c>
      <c r="AP77" s="45"/>
      <c r="AQ77" s="45"/>
      <c r="AR77" s="48"/>
      <c r="AS77" s="48"/>
      <c r="AT77" s="51">
        <f t="shared" si="53"/>
        <v>73</v>
      </c>
      <c r="AU77" s="49" t="str">
        <f t="shared" si="54"/>
        <v/>
      </c>
      <c r="AV77" s="49" t="str">
        <f t="shared" si="55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6.4442529312064298E-3</v>
      </c>
      <c r="C78">
        <f t="shared" si="30"/>
        <v>6.0575977553340441E-3</v>
      </c>
      <c r="D78" s="60"/>
      <c r="E78" s="5"/>
      <c r="F78" s="5"/>
      <c r="I78" s="51"/>
      <c r="J78" s="41"/>
      <c r="K78" s="41" t="str">
        <f t="shared" si="56"/>
        <v/>
      </c>
      <c r="L78" s="42" t="str">
        <f t="shared" si="57"/>
        <v/>
      </c>
      <c r="M78" s="41" t="str">
        <f t="shared" si="58"/>
        <v/>
      </c>
      <c r="N78" s="43">
        <f>AX78</f>
        <v>0</v>
      </c>
      <c r="O78" s="44">
        <f t="shared" si="32"/>
        <v>0</v>
      </c>
      <c r="P78" s="41" t="str">
        <f t="shared" si="33"/>
        <v/>
      </c>
      <c r="Q78" s="41" t="str">
        <f t="shared" si="34"/>
        <v/>
      </c>
      <c r="R78" s="44"/>
      <c r="S78" s="44" t="str">
        <f>IF(I78&lt;&gt;"",_xlfn.XLOOKUP($D$4+I78,$A$26:$A$145,$B$26:$B$145,0) * 1000,"")</f>
        <v/>
      </c>
      <c r="T78" s="52">
        <f t="shared" si="29"/>
        <v>0</v>
      </c>
      <c r="U78" s="53" t="str">
        <f t="shared" si="45"/>
        <v/>
      </c>
      <c r="V78" s="53" t="str">
        <f t="shared" si="46"/>
        <v/>
      </c>
      <c r="W78" s="53" t="str">
        <f t="shared" si="47"/>
        <v/>
      </c>
      <c r="X78" s="46" t="str">
        <f t="shared" si="35"/>
        <v/>
      </c>
      <c r="Y78" s="54"/>
      <c r="Z78" s="41" t="str">
        <f t="shared" si="48"/>
        <v/>
      </c>
      <c r="AA78" s="41" t="str">
        <f t="shared" si="49"/>
        <v/>
      </c>
      <c r="AB78" s="41" t="str">
        <f t="shared" si="36"/>
        <v/>
      </c>
      <c r="AC78" s="41" t="str">
        <f t="shared" si="37"/>
        <v/>
      </c>
      <c r="AD78" s="54"/>
      <c r="AE78" s="41" t="str">
        <f t="shared" si="38"/>
        <v/>
      </c>
      <c r="AF78" s="41"/>
      <c r="AG78" s="41" t="str">
        <f t="shared" si="39"/>
        <v/>
      </c>
      <c r="AH78" s="41" t="str">
        <f t="shared" si="50"/>
        <v/>
      </c>
      <c r="AI78" s="41" t="str">
        <f t="shared" si="51"/>
        <v/>
      </c>
      <c r="AJ78" s="41">
        <f t="shared" si="40"/>
        <v>0</v>
      </c>
      <c r="AK78" s="41" t="str">
        <f t="shared" si="41"/>
        <v/>
      </c>
      <c r="AL78" s="41">
        <f t="shared" si="52"/>
        <v>0</v>
      </c>
      <c r="AM78" s="41">
        <f t="shared" si="42"/>
        <v>0</v>
      </c>
      <c r="AN78" s="41" t="str">
        <f t="shared" si="43"/>
        <v/>
      </c>
      <c r="AO78" s="41">
        <f t="shared" si="44"/>
        <v>0</v>
      </c>
      <c r="AP78" s="45"/>
      <c r="AQ78" s="45"/>
      <c r="AR78" s="48"/>
      <c r="AS78" s="48"/>
      <c r="AT78" s="51">
        <f t="shared" si="53"/>
        <v>74</v>
      </c>
      <c r="AU78" s="49" t="str">
        <f t="shared" si="54"/>
        <v/>
      </c>
      <c r="AV78" s="49" t="str">
        <f t="shared" si="55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7.0924275140461504E-3</v>
      </c>
      <c r="C79">
        <f t="shared" si="30"/>
        <v>6.6668818632033807E-3</v>
      </c>
      <c r="D79" s="60"/>
      <c r="E79" s="5"/>
      <c r="F79" s="5"/>
      <c r="I79" s="51"/>
      <c r="J79" s="41"/>
      <c r="K79" s="41" t="str">
        <f t="shared" si="56"/>
        <v/>
      </c>
      <c r="L79" s="42" t="str">
        <f t="shared" si="57"/>
        <v/>
      </c>
      <c r="M79" s="41" t="str">
        <f t="shared" si="58"/>
        <v/>
      </c>
      <c r="N79" s="43">
        <f t="shared" si="31"/>
        <v>0</v>
      </c>
      <c r="O79" s="44">
        <f t="shared" si="32"/>
        <v>0</v>
      </c>
      <c r="P79" s="41" t="str">
        <f t="shared" si="33"/>
        <v/>
      </c>
      <c r="Q79" s="41" t="str">
        <f t="shared" si="34"/>
        <v/>
      </c>
      <c r="R79" s="44"/>
      <c r="S79" s="44" t="str">
        <f>IF(I79&lt;&gt;"",_xlfn.XLOOKUP($D$4+I79,$A$26:$A$145,$B$26:$B$145,0) * 1000,"")</f>
        <v/>
      </c>
      <c r="T79" s="52">
        <f t="shared" si="29"/>
        <v>0</v>
      </c>
      <c r="U79" s="53" t="str">
        <f t="shared" si="45"/>
        <v/>
      </c>
      <c r="V79" s="53" t="str">
        <f t="shared" si="46"/>
        <v/>
      </c>
      <c r="W79" s="53" t="str">
        <f t="shared" si="47"/>
        <v/>
      </c>
      <c r="X79" s="46" t="str">
        <f t="shared" si="35"/>
        <v/>
      </c>
      <c r="Y79" s="54"/>
      <c r="Z79" s="41" t="str">
        <f t="shared" si="48"/>
        <v/>
      </c>
      <c r="AA79" s="41" t="str">
        <f t="shared" si="49"/>
        <v/>
      </c>
      <c r="AB79" s="41" t="str">
        <f t="shared" si="36"/>
        <v/>
      </c>
      <c r="AC79" s="41" t="str">
        <f t="shared" si="37"/>
        <v/>
      </c>
      <c r="AD79" s="54"/>
      <c r="AE79" s="41" t="str">
        <f t="shared" si="38"/>
        <v/>
      </c>
      <c r="AF79" s="41"/>
      <c r="AG79" s="41" t="str">
        <f t="shared" si="39"/>
        <v/>
      </c>
      <c r="AH79" s="41" t="str">
        <f t="shared" si="50"/>
        <v/>
      </c>
      <c r="AI79" s="41" t="str">
        <f t="shared" si="51"/>
        <v/>
      </c>
      <c r="AJ79" s="41">
        <f t="shared" si="40"/>
        <v>0</v>
      </c>
      <c r="AK79" s="41" t="str">
        <f t="shared" si="41"/>
        <v/>
      </c>
      <c r="AL79" s="41">
        <f t="shared" si="52"/>
        <v>0</v>
      </c>
      <c r="AM79" s="41">
        <f t="shared" si="42"/>
        <v>0</v>
      </c>
      <c r="AN79" s="41" t="str">
        <f t="shared" si="43"/>
        <v/>
      </c>
      <c r="AO79" s="41">
        <f>SUM(AM79:AN79)</f>
        <v>0</v>
      </c>
      <c r="AP79" s="45"/>
      <c r="AQ79" s="45"/>
      <c r="AR79" s="48"/>
      <c r="AS79" s="48"/>
      <c r="AT79" s="51">
        <f t="shared" si="53"/>
        <v>75</v>
      </c>
      <c r="AU79" s="49" t="str">
        <f t="shared" si="54"/>
        <v/>
      </c>
      <c r="AV79" s="49" t="str">
        <f t="shared" si="55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7.83038331374852E-3</v>
      </c>
      <c r="C80">
        <f t="shared" si="30"/>
        <v>7.3605603149236084E-3</v>
      </c>
      <c r="D80" s="60"/>
      <c r="E80" s="5"/>
      <c r="F80" s="5"/>
      <c r="I80" s="51"/>
      <c r="J80" s="41"/>
      <c r="K80" s="41" t="str">
        <f t="shared" si="56"/>
        <v/>
      </c>
      <c r="L80" s="42" t="str">
        <f t="shared" si="57"/>
        <v/>
      </c>
      <c r="M80" s="41" t="str">
        <f t="shared" si="58"/>
        <v/>
      </c>
      <c r="N80" s="43">
        <f t="shared" si="31"/>
        <v>0</v>
      </c>
      <c r="O80" s="44">
        <f t="shared" si="32"/>
        <v>0</v>
      </c>
      <c r="P80" s="41" t="str">
        <f t="shared" si="33"/>
        <v/>
      </c>
      <c r="Q80" s="41" t="str">
        <f t="shared" si="34"/>
        <v/>
      </c>
      <c r="R80" s="45"/>
      <c r="S80" s="44" t="str">
        <f>IF(I80&lt;&gt;"",_xlfn.XLOOKUP($D$4+I80,$A$26:$A$145,$B$26:$B$145,0) * 1000,"")</f>
        <v/>
      </c>
      <c r="T80" s="52">
        <f t="shared" si="29"/>
        <v>0</v>
      </c>
      <c r="U80" s="53" t="str">
        <f t="shared" si="45"/>
        <v/>
      </c>
      <c r="V80" s="53" t="str">
        <f t="shared" si="46"/>
        <v/>
      </c>
      <c r="W80" s="53" t="str">
        <f t="shared" si="47"/>
        <v/>
      </c>
      <c r="X80" s="46" t="str">
        <f t="shared" si="35"/>
        <v/>
      </c>
      <c r="Y80" s="45"/>
      <c r="Z80" s="41" t="str">
        <f t="shared" si="48"/>
        <v/>
      </c>
      <c r="AA80" s="41" t="str">
        <f t="shared" si="49"/>
        <v/>
      </c>
      <c r="AB80" s="41" t="str">
        <f t="shared" si="36"/>
        <v/>
      </c>
      <c r="AC80" s="41" t="str">
        <f t="shared" si="37"/>
        <v/>
      </c>
      <c r="AD80" s="45"/>
      <c r="AE80" s="41" t="str">
        <f t="shared" si="38"/>
        <v/>
      </c>
      <c r="AF80" s="41"/>
      <c r="AG80" s="41" t="str">
        <f t="shared" si="39"/>
        <v/>
      </c>
      <c r="AH80" s="41" t="str">
        <f t="shared" si="50"/>
        <v/>
      </c>
      <c r="AI80" s="41" t="str">
        <f t="shared" si="51"/>
        <v/>
      </c>
      <c r="AJ80" s="41">
        <f t="shared" si="40"/>
        <v>0</v>
      </c>
      <c r="AK80" s="41" t="str">
        <f t="shared" si="41"/>
        <v/>
      </c>
      <c r="AL80" s="41">
        <f t="shared" si="52"/>
        <v>0</v>
      </c>
      <c r="AM80" s="41">
        <f t="shared" si="42"/>
        <v>0</v>
      </c>
      <c r="AN80" s="41" t="str">
        <f t="shared" si="43"/>
        <v/>
      </c>
      <c r="AO80" s="41">
        <f t="shared" ref="AO80:AO124" si="59">SUM(AM80:AN80)</f>
        <v>0</v>
      </c>
      <c r="AP80" s="45"/>
      <c r="AQ80" s="48"/>
      <c r="AR80" s="48"/>
      <c r="AS80" s="48"/>
      <c r="AT80" s="51">
        <f t="shared" si="53"/>
        <v>76</v>
      </c>
      <c r="AU80" s="49" t="str">
        <f t="shared" si="54"/>
        <v/>
      </c>
      <c r="AV80" s="49" t="str">
        <f t="shared" si="55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8.2598621689084998E-3</v>
      </c>
      <c r="C81">
        <f t="shared" si="30"/>
        <v>7.7642704387739896E-3</v>
      </c>
      <c r="D81" s="60"/>
      <c r="E81" s="5"/>
      <c r="F81" s="5"/>
      <c r="I81" s="51"/>
      <c r="J81" s="41"/>
      <c r="K81" s="41" t="str">
        <f t="shared" si="56"/>
        <v/>
      </c>
      <c r="L81" s="42" t="str">
        <f t="shared" si="57"/>
        <v/>
      </c>
      <c r="M81" s="41" t="str">
        <f t="shared" si="58"/>
        <v/>
      </c>
      <c r="N81" s="43">
        <f t="shared" si="31"/>
        <v>0</v>
      </c>
      <c r="O81" s="44">
        <f t="shared" si="32"/>
        <v>0</v>
      </c>
      <c r="P81" s="41" t="str">
        <f t="shared" si="33"/>
        <v/>
      </c>
      <c r="Q81" s="41" t="str">
        <f t="shared" si="34"/>
        <v/>
      </c>
      <c r="R81" s="45"/>
      <c r="S81" s="44" t="str">
        <f>IF(I81&lt;&gt;"",_xlfn.XLOOKUP($D$4+I81,$A$26:$A$145,$B$26:$B$145,0) * 1000,"")</f>
        <v/>
      </c>
      <c r="T81" s="52">
        <f t="shared" ref="T81:T124" si="60">$C$13</f>
        <v>0</v>
      </c>
      <c r="U81" s="53" t="str">
        <f t="shared" si="45"/>
        <v/>
      </c>
      <c r="V81" s="53" t="str">
        <f t="shared" si="46"/>
        <v/>
      </c>
      <c r="W81" s="53" t="str">
        <f t="shared" si="47"/>
        <v/>
      </c>
      <c r="X81" s="46" t="str">
        <f t="shared" si="35"/>
        <v/>
      </c>
      <c r="Y81" s="45"/>
      <c r="Z81" s="41" t="str">
        <f t="shared" si="48"/>
        <v/>
      </c>
      <c r="AA81" s="41" t="str">
        <f t="shared" si="49"/>
        <v/>
      </c>
      <c r="AB81" s="41" t="str">
        <f t="shared" si="36"/>
        <v/>
      </c>
      <c r="AC81" s="41" t="str">
        <f t="shared" si="37"/>
        <v/>
      </c>
      <c r="AD81" s="48"/>
      <c r="AE81" s="41" t="str">
        <f t="shared" si="38"/>
        <v/>
      </c>
      <c r="AF81" s="41"/>
      <c r="AG81" s="41" t="str">
        <f t="shared" si="39"/>
        <v/>
      </c>
      <c r="AH81" s="41" t="str">
        <f t="shared" si="50"/>
        <v/>
      </c>
      <c r="AI81" s="41" t="str">
        <f t="shared" si="51"/>
        <v/>
      </c>
      <c r="AJ81" s="41">
        <f t="shared" si="40"/>
        <v>0</v>
      </c>
      <c r="AK81" s="41" t="str">
        <f t="shared" si="41"/>
        <v/>
      </c>
      <c r="AL81" s="41">
        <f t="shared" si="52"/>
        <v>0</v>
      </c>
      <c r="AM81" s="41">
        <f t="shared" si="42"/>
        <v>0</v>
      </c>
      <c r="AN81" s="41" t="str">
        <f t="shared" si="43"/>
        <v/>
      </c>
      <c r="AO81" s="41">
        <f t="shared" si="59"/>
        <v>0</v>
      </c>
      <c r="AP81" s="45"/>
      <c r="AQ81" s="48"/>
      <c r="AR81" s="48"/>
      <c r="AS81" s="48"/>
      <c r="AT81" s="51">
        <f t="shared" si="53"/>
        <v>77</v>
      </c>
      <c r="AU81" s="49" t="str">
        <f t="shared" si="54"/>
        <v/>
      </c>
      <c r="AV81" s="49" t="str">
        <f t="shared" si="55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9.0905806376133692E-3</v>
      </c>
      <c r="C82">
        <f t="shared" si="30"/>
        <v>8.5451457993565658E-3</v>
      </c>
      <c r="D82" s="60"/>
      <c r="E82" s="5"/>
      <c r="F82" s="5"/>
      <c r="I82" s="51"/>
      <c r="J82" s="41"/>
      <c r="K82" s="41" t="str">
        <f t="shared" si="56"/>
        <v/>
      </c>
      <c r="L82" s="42" t="str">
        <f t="shared" si="57"/>
        <v/>
      </c>
      <c r="M82" s="41" t="str">
        <f t="shared" si="58"/>
        <v/>
      </c>
      <c r="N82" s="43">
        <f t="shared" si="31"/>
        <v>0</v>
      </c>
      <c r="O82" s="44">
        <f t="shared" si="32"/>
        <v>0</v>
      </c>
      <c r="P82" s="41" t="str">
        <f t="shared" si="33"/>
        <v/>
      </c>
      <c r="Q82" s="41" t="str">
        <f t="shared" si="34"/>
        <v/>
      </c>
      <c r="R82" s="45"/>
      <c r="S82" s="44" t="str">
        <f>IF(I82&lt;&gt;"",_xlfn.XLOOKUP($D$4+I82,$A$26:$A$145,$B$26:$B$145,0) * 1000,"")</f>
        <v/>
      </c>
      <c r="T82" s="52">
        <f t="shared" si="60"/>
        <v>0</v>
      </c>
      <c r="U82" s="53" t="str">
        <f t="shared" si="45"/>
        <v/>
      </c>
      <c r="V82" s="53" t="str">
        <f t="shared" si="46"/>
        <v/>
      </c>
      <c r="W82" s="53" t="str">
        <f t="shared" si="47"/>
        <v/>
      </c>
      <c r="X82" s="46" t="str">
        <f t="shared" si="35"/>
        <v/>
      </c>
      <c r="Y82" s="45"/>
      <c r="Z82" s="41" t="str">
        <f t="shared" si="48"/>
        <v/>
      </c>
      <c r="AA82" s="41" t="str">
        <f t="shared" si="49"/>
        <v/>
      </c>
      <c r="AB82" s="41" t="str">
        <f t="shared" si="36"/>
        <v/>
      </c>
      <c r="AC82" s="41" t="str">
        <f t="shared" si="37"/>
        <v/>
      </c>
      <c r="AD82" s="48"/>
      <c r="AE82" s="41" t="str">
        <f t="shared" si="38"/>
        <v/>
      </c>
      <c r="AF82" s="41"/>
      <c r="AG82" s="41" t="str">
        <f t="shared" si="39"/>
        <v/>
      </c>
      <c r="AH82" s="41" t="str">
        <f t="shared" si="50"/>
        <v/>
      </c>
      <c r="AI82" s="41" t="str">
        <f t="shared" si="51"/>
        <v/>
      </c>
      <c r="AJ82" s="41">
        <f t="shared" si="40"/>
        <v>0</v>
      </c>
      <c r="AK82" s="41" t="str">
        <f t="shared" si="41"/>
        <v/>
      </c>
      <c r="AL82" s="41">
        <f t="shared" si="52"/>
        <v>0</v>
      </c>
      <c r="AM82" s="41">
        <f t="shared" si="42"/>
        <v>0</v>
      </c>
      <c r="AN82" s="41" t="str">
        <f t="shared" si="43"/>
        <v/>
      </c>
      <c r="AO82" s="41">
        <f t="shared" si="59"/>
        <v>0</v>
      </c>
      <c r="AP82" s="45"/>
      <c r="AQ82" s="48"/>
      <c r="AR82" s="48"/>
      <c r="AS82" s="48"/>
      <c r="AT82" s="51">
        <f t="shared" si="53"/>
        <v>78</v>
      </c>
      <c r="AU82" s="49" t="str">
        <f t="shared" si="54"/>
        <v/>
      </c>
      <c r="AV82" s="49" t="str">
        <f t="shared" si="55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9.9790081853315896E-3</v>
      </c>
      <c r="C83">
        <f t="shared" si="30"/>
        <v>9.3802676942116945E-3</v>
      </c>
      <c r="D83" s="60"/>
      <c r="E83" s="5"/>
      <c r="F83" s="5"/>
      <c r="I83" s="51"/>
      <c r="J83" s="41"/>
      <c r="K83" s="41" t="str">
        <f t="shared" si="56"/>
        <v/>
      </c>
      <c r="L83" s="42" t="str">
        <f t="shared" si="57"/>
        <v/>
      </c>
      <c r="M83" s="41" t="str">
        <f t="shared" si="58"/>
        <v/>
      </c>
      <c r="N83" s="43">
        <f t="shared" si="31"/>
        <v>0</v>
      </c>
      <c r="O83" s="44">
        <f t="shared" si="32"/>
        <v>0</v>
      </c>
      <c r="P83" s="41" t="str">
        <f t="shared" si="33"/>
        <v/>
      </c>
      <c r="Q83" s="41" t="str">
        <f t="shared" si="34"/>
        <v/>
      </c>
      <c r="R83" s="45"/>
      <c r="S83" s="44" t="str">
        <f>IF(I83&lt;&gt;"",_xlfn.XLOOKUP($D$4+I83,$A$26:$A$145,$B$26:$B$145,0) * 1000,"")</f>
        <v/>
      </c>
      <c r="T83" s="52">
        <f t="shared" si="60"/>
        <v>0</v>
      </c>
      <c r="U83" s="53" t="str">
        <f t="shared" si="45"/>
        <v/>
      </c>
      <c r="V83" s="53" t="str">
        <f t="shared" si="46"/>
        <v/>
      </c>
      <c r="W83" s="53" t="str">
        <f t="shared" si="47"/>
        <v/>
      </c>
      <c r="X83" s="46" t="str">
        <f t="shared" si="35"/>
        <v/>
      </c>
      <c r="Y83" s="45"/>
      <c r="Z83" s="41" t="str">
        <f t="shared" si="48"/>
        <v/>
      </c>
      <c r="AA83" s="41" t="str">
        <f t="shared" si="49"/>
        <v/>
      </c>
      <c r="AB83" s="41" t="str">
        <f t="shared" si="36"/>
        <v/>
      </c>
      <c r="AC83" s="41" t="str">
        <f t="shared" si="37"/>
        <v/>
      </c>
      <c r="AD83" s="48"/>
      <c r="AE83" s="41" t="str">
        <f t="shared" si="38"/>
        <v/>
      </c>
      <c r="AF83" s="41"/>
      <c r="AG83" s="41" t="str">
        <f t="shared" si="39"/>
        <v/>
      </c>
      <c r="AH83" s="41" t="str">
        <f t="shared" si="50"/>
        <v/>
      </c>
      <c r="AI83" s="41" t="str">
        <f t="shared" si="51"/>
        <v/>
      </c>
      <c r="AJ83" s="41">
        <f t="shared" si="40"/>
        <v>0</v>
      </c>
      <c r="AK83" s="41" t="str">
        <f t="shared" si="41"/>
        <v/>
      </c>
      <c r="AL83" s="41">
        <f t="shared" si="52"/>
        <v>0</v>
      </c>
      <c r="AM83" s="41">
        <f t="shared" si="42"/>
        <v>0</v>
      </c>
      <c r="AN83" s="41" t="str">
        <f t="shared" si="43"/>
        <v/>
      </c>
      <c r="AO83" s="41">
        <f t="shared" si="59"/>
        <v>0</v>
      </c>
      <c r="AP83" s="45"/>
      <c r="AQ83" s="48"/>
      <c r="AR83" s="48"/>
      <c r="AS83" s="48"/>
      <c r="AT83" s="51">
        <f t="shared" si="53"/>
        <v>79</v>
      </c>
      <c r="AU83" s="49" t="str">
        <f t="shared" si="54"/>
        <v/>
      </c>
      <c r="AV83" s="49" t="str">
        <f t="shared" si="55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1.0956090102026E-2</v>
      </c>
      <c r="C84">
        <f t="shared" si="30"/>
        <v>1.029872469590444E-2</v>
      </c>
      <c r="D84" s="60"/>
      <c r="E84" s="5"/>
      <c r="F84" s="5"/>
      <c r="I84" s="51"/>
      <c r="J84" s="41"/>
      <c r="K84" s="41" t="str">
        <f t="shared" si="56"/>
        <v/>
      </c>
      <c r="L84" s="42" t="str">
        <f t="shared" si="57"/>
        <v/>
      </c>
      <c r="M84" s="41" t="str">
        <f t="shared" si="58"/>
        <v/>
      </c>
      <c r="N84" s="43">
        <f t="shared" si="31"/>
        <v>0</v>
      </c>
      <c r="O84" s="44">
        <f t="shared" si="32"/>
        <v>0</v>
      </c>
      <c r="P84" s="41" t="str">
        <f t="shared" si="33"/>
        <v/>
      </c>
      <c r="Q84" s="41" t="str">
        <f t="shared" si="34"/>
        <v/>
      </c>
      <c r="R84" s="45"/>
      <c r="S84" s="44" t="str">
        <f>IF(I84&lt;&gt;"",_xlfn.XLOOKUP($D$4+I84,$A$26:$A$145,$B$26:$B$145,0) * 1000,"")</f>
        <v/>
      </c>
      <c r="T84" s="52">
        <f t="shared" si="60"/>
        <v>0</v>
      </c>
      <c r="U84" s="53" t="str">
        <f t="shared" si="45"/>
        <v/>
      </c>
      <c r="V84" s="53" t="str">
        <f t="shared" si="46"/>
        <v/>
      </c>
      <c r="W84" s="53" t="str">
        <f t="shared" si="47"/>
        <v/>
      </c>
      <c r="X84" s="46" t="str">
        <f t="shared" si="35"/>
        <v/>
      </c>
      <c r="Y84" s="45"/>
      <c r="Z84" s="41" t="str">
        <f t="shared" si="48"/>
        <v/>
      </c>
      <c r="AA84" s="41" t="str">
        <f t="shared" si="49"/>
        <v/>
      </c>
      <c r="AB84" s="41" t="str">
        <f t="shared" si="36"/>
        <v/>
      </c>
      <c r="AC84" s="41" t="str">
        <f t="shared" si="37"/>
        <v/>
      </c>
      <c r="AD84" s="48"/>
      <c r="AE84" s="41" t="str">
        <f t="shared" si="38"/>
        <v/>
      </c>
      <c r="AF84" s="41"/>
      <c r="AG84" s="41" t="str">
        <f t="shared" si="39"/>
        <v/>
      </c>
      <c r="AH84" s="41" t="str">
        <f t="shared" si="50"/>
        <v/>
      </c>
      <c r="AI84" s="41" t="str">
        <f t="shared" si="51"/>
        <v/>
      </c>
      <c r="AJ84" s="41">
        <f t="shared" si="40"/>
        <v>0</v>
      </c>
      <c r="AK84" s="41" t="str">
        <f t="shared" si="41"/>
        <v/>
      </c>
      <c r="AL84" s="41">
        <f t="shared" si="52"/>
        <v>0</v>
      </c>
      <c r="AM84" s="41">
        <f t="shared" si="42"/>
        <v>0</v>
      </c>
      <c r="AN84" s="41" t="str">
        <f t="shared" si="43"/>
        <v/>
      </c>
      <c r="AO84" s="41">
        <f t="shared" si="59"/>
        <v>0</v>
      </c>
      <c r="AP84" s="45"/>
      <c r="AQ84" s="48"/>
      <c r="AR84" s="48"/>
      <c r="AS84" s="48"/>
      <c r="AT84" s="51">
        <f t="shared" si="53"/>
        <v>80</v>
      </c>
      <c r="AU84" s="49" t="str">
        <f t="shared" si="54"/>
        <v/>
      </c>
      <c r="AV84" s="49" t="str">
        <f t="shared" si="55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1.2126102584828401E-2</v>
      </c>
      <c r="C85">
        <f t="shared" si="30"/>
        <v>1.1398536429738697E-2</v>
      </c>
      <c r="D85" s="60"/>
      <c r="E85" s="5"/>
      <c r="F85" s="5"/>
      <c r="I85" s="51"/>
      <c r="J85" s="41"/>
      <c r="K85" s="41" t="str">
        <f t="shared" si="56"/>
        <v/>
      </c>
      <c r="L85" s="42" t="str">
        <f t="shared" si="57"/>
        <v/>
      </c>
      <c r="M85" s="41" t="str">
        <f t="shared" si="58"/>
        <v/>
      </c>
      <c r="N85" s="43">
        <f t="shared" si="31"/>
        <v>0</v>
      </c>
      <c r="O85" s="44">
        <f t="shared" si="32"/>
        <v>0</v>
      </c>
      <c r="P85" s="41" t="str">
        <f t="shared" si="33"/>
        <v/>
      </c>
      <c r="Q85" s="41" t="str">
        <f t="shared" si="34"/>
        <v/>
      </c>
      <c r="R85" s="45"/>
      <c r="S85" s="44" t="str">
        <f>IF(I85&lt;&gt;"",_xlfn.XLOOKUP($D$4+I85,$A$26:$A$145,$B$26:$B$145,0) * 1000,"")</f>
        <v/>
      </c>
      <c r="T85" s="52">
        <f t="shared" si="60"/>
        <v>0</v>
      </c>
      <c r="U85" s="53" t="str">
        <f t="shared" si="45"/>
        <v/>
      </c>
      <c r="V85" s="53" t="str">
        <f t="shared" si="46"/>
        <v/>
      </c>
      <c r="W85" s="53" t="str">
        <f t="shared" si="47"/>
        <v/>
      </c>
      <c r="X85" s="46" t="str">
        <f t="shared" si="35"/>
        <v/>
      </c>
      <c r="Y85" s="45"/>
      <c r="Z85" s="41" t="str">
        <f t="shared" si="48"/>
        <v/>
      </c>
      <c r="AA85" s="41" t="str">
        <f t="shared" si="49"/>
        <v/>
      </c>
      <c r="AB85" s="41" t="str">
        <f t="shared" si="36"/>
        <v/>
      </c>
      <c r="AC85" s="41" t="str">
        <f t="shared" si="37"/>
        <v/>
      </c>
      <c r="AD85" s="48"/>
      <c r="AE85" s="41" t="str">
        <f t="shared" si="38"/>
        <v/>
      </c>
      <c r="AF85" s="41"/>
      <c r="AG85" s="41" t="str">
        <f t="shared" si="39"/>
        <v/>
      </c>
      <c r="AH85" s="41" t="str">
        <f t="shared" si="50"/>
        <v/>
      </c>
      <c r="AI85" s="41" t="str">
        <f t="shared" si="51"/>
        <v/>
      </c>
      <c r="AJ85" s="41">
        <f t="shared" si="40"/>
        <v>0</v>
      </c>
      <c r="AK85" s="41" t="str">
        <f t="shared" si="41"/>
        <v/>
      </c>
      <c r="AL85" s="41">
        <f t="shared" si="52"/>
        <v>0</v>
      </c>
      <c r="AM85" s="41">
        <f t="shared" si="42"/>
        <v>0</v>
      </c>
      <c r="AN85" s="41" t="str">
        <f t="shared" si="43"/>
        <v/>
      </c>
      <c r="AO85" s="41">
        <f t="shared" si="59"/>
        <v>0</v>
      </c>
      <c r="AP85" s="45"/>
      <c r="AQ85" s="48"/>
      <c r="AR85" s="48"/>
      <c r="AS85" s="48"/>
      <c r="AT85" s="51">
        <f t="shared" si="53"/>
        <v>81</v>
      </c>
      <c r="AU85" s="49" t="str">
        <f t="shared" si="54"/>
        <v/>
      </c>
      <c r="AV85" s="49" t="str">
        <f t="shared" si="55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1.33729341028768E-2</v>
      </c>
      <c r="C86">
        <f t="shared" si="30"/>
        <v>1.2570558056704192E-2</v>
      </c>
      <c r="D86" s="60"/>
      <c r="E86" s="5"/>
      <c r="F86" s="5"/>
      <c r="I86" s="51"/>
      <c r="J86" s="41"/>
      <c r="K86" s="41" t="str">
        <f t="shared" si="56"/>
        <v/>
      </c>
      <c r="L86" s="42" t="str">
        <f t="shared" si="57"/>
        <v/>
      </c>
      <c r="M86" s="41" t="str">
        <f t="shared" si="58"/>
        <v/>
      </c>
      <c r="N86" s="43">
        <f t="shared" si="31"/>
        <v>0</v>
      </c>
      <c r="O86" s="44">
        <f t="shared" si="32"/>
        <v>0</v>
      </c>
      <c r="P86" s="41" t="str">
        <f t="shared" si="33"/>
        <v/>
      </c>
      <c r="Q86" s="41" t="str">
        <f t="shared" si="34"/>
        <v/>
      </c>
      <c r="R86" s="45"/>
      <c r="S86" s="44" t="str">
        <f>IF(I86&lt;&gt;"",_xlfn.XLOOKUP($D$4+I86,$A$26:$A$145,$B$26:$B$145,0) * 1000,"")</f>
        <v/>
      </c>
      <c r="T86" s="52">
        <f t="shared" si="60"/>
        <v>0</v>
      </c>
      <c r="U86" s="53" t="str">
        <f t="shared" si="45"/>
        <v/>
      </c>
      <c r="V86" s="53" t="str">
        <f t="shared" si="46"/>
        <v/>
      </c>
      <c r="W86" s="53" t="str">
        <f t="shared" si="47"/>
        <v/>
      </c>
      <c r="X86" s="46" t="str">
        <f t="shared" si="35"/>
        <v/>
      </c>
      <c r="Y86" s="45"/>
      <c r="Z86" s="41" t="str">
        <f t="shared" si="48"/>
        <v/>
      </c>
      <c r="AA86" s="41" t="str">
        <f t="shared" si="49"/>
        <v/>
      </c>
      <c r="AB86" s="41" t="str">
        <f t="shared" si="36"/>
        <v/>
      </c>
      <c r="AC86" s="41" t="str">
        <f t="shared" si="37"/>
        <v/>
      </c>
      <c r="AD86" s="45"/>
      <c r="AE86" s="41" t="str">
        <f t="shared" si="38"/>
        <v/>
      </c>
      <c r="AF86" s="41"/>
      <c r="AG86" s="41" t="str">
        <f t="shared" si="39"/>
        <v/>
      </c>
      <c r="AH86" s="41" t="str">
        <f t="shared" si="50"/>
        <v/>
      </c>
      <c r="AI86" s="41" t="str">
        <f t="shared" si="51"/>
        <v/>
      </c>
      <c r="AJ86" s="41">
        <f t="shared" si="40"/>
        <v>0</v>
      </c>
      <c r="AK86" s="41" t="str">
        <f t="shared" si="41"/>
        <v/>
      </c>
      <c r="AL86" s="41">
        <f t="shared" si="52"/>
        <v>0</v>
      </c>
      <c r="AM86" s="41">
        <f t="shared" si="42"/>
        <v>0</v>
      </c>
      <c r="AN86" s="41" t="str">
        <f t="shared" si="43"/>
        <v/>
      </c>
      <c r="AO86" s="41">
        <f t="shared" si="59"/>
        <v>0</v>
      </c>
      <c r="AP86" s="45"/>
      <c r="AQ86" s="48"/>
      <c r="AR86" s="48"/>
      <c r="AS86" s="48"/>
      <c r="AT86" s="51">
        <f t="shared" si="53"/>
        <v>82</v>
      </c>
      <c r="AU86" s="49" t="str">
        <f t="shared" si="54"/>
        <v/>
      </c>
      <c r="AV86" s="49" t="str">
        <f t="shared" si="55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1.4612697646989799E-2</v>
      </c>
      <c r="C87">
        <f t="shared" si="30"/>
        <v>1.373593578817041E-2</v>
      </c>
      <c r="D87" s="60"/>
      <c r="E87" s="5"/>
      <c r="F87" s="5"/>
      <c r="I87" s="51"/>
      <c r="J87" s="41"/>
      <c r="K87" s="41" t="str">
        <f t="shared" si="56"/>
        <v/>
      </c>
      <c r="L87" s="42" t="str">
        <f t="shared" si="57"/>
        <v/>
      </c>
      <c r="M87" s="41" t="str">
        <f t="shared" si="58"/>
        <v/>
      </c>
      <c r="N87" s="43">
        <f t="shared" si="31"/>
        <v>0</v>
      </c>
      <c r="O87" s="44">
        <f t="shared" si="32"/>
        <v>0</v>
      </c>
      <c r="P87" s="41" t="str">
        <f t="shared" si="33"/>
        <v/>
      </c>
      <c r="Q87" s="41" t="str">
        <f t="shared" si="34"/>
        <v/>
      </c>
      <c r="R87" s="45"/>
      <c r="S87" s="44" t="str">
        <f>IF(I87&lt;&gt;"",_xlfn.XLOOKUP($D$4+I87,$A$26:$A$145,$B$26:$B$145,0) * 1000,"")</f>
        <v/>
      </c>
      <c r="T87" s="52">
        <f t="shared" si="60"/>
        <v>0</v>
      </c>
      <c r="U87" s="53" t="str">
        <f t="shared" si="45"/>
        <v/>
      </c>
      <c r="V87" s="53" t="str">
        <f t="shared" si="46"/>
        <v/>
      </c>
      <c r="W87" s="53" t="str">
        <f t="shared" si="47"/>
        <v/>
      </c>
      <c r="X87" s="46" t="str">
        <f t="shared" si="35"/>
        <v/>
      </c>
      <c r="Y87" s="45"/>
      <c r="Z87" s="41" t="str">
        <f t="shared" si="48"/>
        <v/>
      </c>
      <c r="AA87" s="41" t="str">
        <f t="shared" si="49"/>
        <v/>
      </c>
      <c r="AB87" s="41" t="str">
        <f t="shared" si="36"/>
        <v/>
      </c>
      <c r="AC87" s="41" t="str">
        <f t="shared" si="37"/>
        <v/>
      </c>
      <c r="AD87" s="45"/>
      <c r="AE87" s="41" t="str">
        <f t="shared" si="38"/>
        <v/>
      </c>
      <c r="AF87" s="41"/>
      <c r="AG87" s="41" t="str">
        <f t="shared" si="39"/>
        <v/>
      </c>
      <c r="AH87" s="41" t="str">
        <f t="shared" si="50"/>
        <v/>
      </c>
      <c r="AI87" s="41" t="str">
        <f t="shared" si="51"/>
        <v/>
      </c>
      <c r="AJ87" s="41">
        <f t="shared" si="40"/>
        <v>0</v>
      </c>
      <c r="AK87" s="41" t="str">
        <f t="shared" si="41"/>
        <v/>
      </c>
      <c r="AL87" s="41">
        <f t="shared" si="52"/>
        <v>0</v>
      </c>
      <c r="AM87" s="41">
        <f t="shared" si="42"/>
        <v>0</v>
      </c>
      <c r="AN87" s="41" t="str">
        <f t="shared" si="43"/>
        <v/>
      </c>
      <c r="AO87" s="41">
        <f t="shared" si="59"/>
        <v>0</v>
      </c>
      <c r="AP87" s="45"/>
      <c r="AQ87" s="48"/>
      <c r="AR87" s="48"/>
      <c r="AS87" s="48"/>
      <c r="AT87" s="51">
        <f t="shared" si="53"/>
        <v>83</v>
      </c>
      <c r="AU87" s="49" t="str">
        <f t="shared" si="54"/>
        <v/>
      </c>
      <c r="AV87" s="49" t="str">
        <f t="shared" si="55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1.5977196753136198E-2</v>
      </c>
      <c r="C88">
        <f t="shared" si="30"/>
        <v>1.5018564947948026E-2</v>
      </c>
      <c r="D88" s="60"/>
      <c r="E88" s="5"/>
      <c r="F88" s="5"/>
      <c r="I88" s="51"/>
      <c r="J88" s="41"/>
      <c r="K88" s="41" t="str">
        <f t="shared" si="56"/>
        <v/>
      </c>
      <c r="L88" s="42" t="str">
        <f t="shared" si="57"/>
        <v/>
      </c>
      <c r="M88" s="41" t="str">
        <f t="shared" si="58"/>
        <v/>
      </c>
      <c r="N88" s="43">
        <f t="shared" si="31"/>
        <v>0</v>
      </c>
      <c r="O88" s="44">
        <f t="shared" si="32"/>
        <v>0</v>
      </c>
      <c r="P88" s="41" t="str">
        <f t="shared" si="33"/>
        <v/>
      </c>
      <c r="Q88" s="41" t="str">
        <f t="shared" si="34"/>
        <v/>
      </c>
      <c r="R88" s="45"/>
      <c r="S88" s="44" t="str">
        <f>IF(I88&lt;&gt;"",_xlfn.XLOOKUP($D$4+I88,$A$26:$A$145,$B$26:$B$145,0) * 1000,"")</f>
        <v/>
      </c>
      <c r="T88" s="52">
        <f t="shared" si="60"/>
        <v>0</v>
      </c>
      <c r="U88" s="53" t="str">
        <f t="shared" si="45"/>
        <v/>
      </c>
      <c r="V88" s="53" t="str">
        <f t="shared" si="46"/>
        <v/>
      </c>
      <c r="W88" s="53" t="str">
        <f t="shared" si="47"/>
        <v/>
      </c>
      <c r="X88" s="46" t="str">
        <f t="shared" si="35"/>
        <v/>
      </c>
      <c r="Y88" s="45"/>
      <c r="Z88" s="41" t="str">
        <f t="shared" si="48"/>
        <v/>
      </c>
      <c r="AA88" s="41" t="str">
        <f t="shared" si="49"/>
        <v/>
      </c>
      <c r="AB88" s="41" t="str">
        <f t="shared" si="36"/>
        <v/>
      </c>
      <c r="AC88" s="41" t="str">
        <f t="shared" si="37"/>
        <v/>
      </c>
      <c r="AD88" s="45"/>
      <c r="AE88" s="41" t="str">
        <f t="shared" si="38"/>
        <v/>
      </c>
      <c r="AF88" s="41"/>
      <c r="AG88" s="41" t="str">
        <f t="shared" si="39"/>
        <v/>
      </c>
      <c r="AH88" s="41" t="str">
        <f t="shared" si="50"/>
        <v/>
      </c>
      <c r="AI88" s="41" t="str">
        <f t="shared" si="51"/>
        <v/>
      </c>
      <c r="AJ88" s="41">
        <f t="shared" si="40"/>
        <v>0</v>
      </c>
      <c r="AK88" s="41" t="str">
        <f t="shared" si="41"/>
        <v/>
      </c>
      <c r="AL88" s="41">
        <f t="shared" si="52"/>
        <v>0</v>
      </c>
      <c r="AM88" s="41">
        <f t="shared" si="42"/>
        <v>0</v>
      </c>
      <c r="AN88" s="41" t="str">
        <f t="shared" si="43"/>
        <v/>
      </c>
      <c r="AO88" s="41">
        <f t="shared" si="59"/>
        <v>0</v>
      </c>
      <c r="AP88" s="45"/>
      <c r="AQ88" s="48"/>
      <c r="AR88" s="48"/>
      <c r="AS88" s="48"/>
      <c r="AT88" s="51">
        <f t="shared" si="53"/>
        <v>84</v>
      </c>
      <c r="AU88" s="49" t="str">
        <f t="shared" si="54"/>
        <v/>
      </c>
      <c r="AV88" s="49" t="str">
        <f t="shared" si="55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1.7428122841198799E-2</v>
      </c>
      <c r="C89">
        <f t="shared" si="30"/>
        <v>1.6382435470726871E-2</v>
      </c>
      <c r="D89" s="60"/>
      <c r="E89" s="5"/>
      <c r="F89" s="5"/>
      <c r="I89" s="51"/>
      <c r="J89" s="41"/>
      <c r="K89" s="41" t="str">
        <f t="shared" si="56"/>
        <v/>
      </c>
      <c r="L89" s="42" t="str">
        <f t="shared" si="57"/>
        <v/>
      </c>
      <c r="M89" s="41" t="str">
        <f t="shared" si="58"/>
        <v/>
      </c>
      <c r="N89" s="43">
        <f t="shared" si="31"/>
        <v>0</v>
      </c>
      <c r="O89" s="44">
        <f t="shared" si="32"/>
        <v>0</v>
      </c>
      <c r="P89" s="41" t="str">
        <f t="shared" si="33"/>
        <v/>
      </c>
      <c r="Q89" s="41" t="str">
        <f t="shared" si="34"/>
        <v/>
      </c>
      <c r="R89" s="45"/>
      <c r="S89" s="44" t="str">
        <f>IF(I89&lt;&gt;"",_xlfn.XLOOKUP($D$4+I89,$A$26:$A$145,$B$26:$B$145,0) * 1000,"")</f>
        <v/>
      </c>
      <c r="T89" s="52">
        <f t="shared" si="60"/>
        <v>0</v>
      </c>
      <c r="U89" s="53" t="str">
        <f t="shared" si="45"/>
        <v/>
      </c>
      <c r="V89" s="53" t="str">
        <f t="shared" si="46"/>
        <v/>
      </c>
      <c r="W89" s="53" t="str">
        <f t="shared" si="47"/>
        <v/>
      </c>
      <c r="X89" s="46" t="str">
        <f t="shared" si="35"/>
        <v/>
      </c>
      <c r="Y89" s="45"/>
      <c r="Z89" s="41" t="str">
        <f t="shared" si="48"/>
        <v/>
      </c>
      <c r="AA89" s="41" t="str">
        <f t="shared" si="49"/>
        <v/>
      </c>
      <c r="AB89" s="41" t="str">
        <f t="shared" si="36"/>
        <v/>
      </c>
      <c r="AC89" s="41" t="str">
        <f t="shared" si="37"/>
        <v/>
      </c>
      <c r="AD89" s="45"/>
      <c r="AE89" s="41" t="str">
        <f t="shared" si="38"/>
        <v/>
      </c>
      <c r="AF89" s="41"/>
      <c r="AG89" s="41" t="str">
        <f t="shared" si="39"/>
        <v/>
      </c>
      <c r="AH89" s="41" t="str">
        <f t="shared" si="50"/>
        <v/>
      </c>
      <c r="AI89" s="41" t="str">
        <f t="shared" si="51"/>
        <v/>
      </c>
      <c r="AJ89" s="41">
        <f t="shared" si="40"/>
        <v>0</v>
      </c>
      <c r="AK89" s="41" t="str">
        <f t="shared" si="41"/>
        <v/>
      </c>
      <c r="AL89" s="41">
        <f t="shared" si="52"/>
        <v>0</v>
      </c>
      <c r="AM89" s="41">
        <f t="shared" si="42"/>
        <v>0</v>
      </c>
      <c r="AN89" s="41" t="str">
        <f t="shared" si="43"/>
        <v/>
      </c>
      <c r="AO89" s="41">
        <f t="shared" si="59"/>
        <v>0</v>
      </c>
      <c r="AP89" s="45"/>
      <c r="AQ89" s="48"/>
      <c r="AR89" s="48"/>
      <c r="AS89" s="48"/>
      <c r="AT89" s="51">
        <f t="shared" si="53"/>
        <v>85</v>
      </c>
      <c r="AU89" s="49" t="str">
        <f t="shared" si="54"/>
        <v/>
      </c>
      <c r="AV89" s="49" t="str">
        <f t="shared" si="55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1.9816726274900501E-2</v>
      </c>
      <c r="C90">
        <f t="shared" si="30"/>
        <v>1.8627722698406471E-2</v>
      </c>
      <c r="D90" s="60"/>
      <c r="E90" s="5"/>
      <c r="F90" s="5"/>
      <c r="I90" s="51"/>
      <c r="J90" s="41"/>
      <c r="K90" s="41" t="str">
        <f t="shared" si="56"/>
        <v/>
      </c>
      <c r="L90" s="42" t="str">
        <f t="shared" si="57"/>
        <v/>
      </c>
      <c r="M90" s="41" t="str">
        <f t="shared" si="58"/>
        <v/>
      </c>
      <c r="N90" s="43">
        <f t="shared" si="31"/>
        <v>0</v>
      </c>
      <c r="O90" s="44">
        <f t="shared" si="32"/>
        <v>0</v>
      </c>
      <c r="P90" s="41" t="str">
        <f t="shared" si="33"/>
        <v/>
      </c>
      <c r="Q90" s="41" t="str">
        <f t="shared" si="34"/>
        <v/>
      </c>
      <c r="R90" s="45"/>
      <c r="S90" s="44" t="str">
        <f>IF(I90&lt;&gt;"",_xlfn.XLOOKUP($D$4+I90,$A$26:$A$145,$B$26:$B$145,0) * 1000,"")</f>
        <v/>
      </c>
      <c r="T90" s="52">
        <f t="shared" si="60"/>
        <v>0</v>
      </c>
      <c r="U90" s="53" t="str">
        <f t="shared" si="45"/>
        <v/>
      </c>
      <c r="V90" s="53" t="str">
        <f t="shared" si="46"/>
        <v/>
      </c>
      <c r="W90" s="53" t="str">
        <f t="shared" si="47"/>
        <v/>
      </c>
      <c r="X90" s="46" t="str">
        <f t="shared" si="35"/>
        <v/>
      </c>
      <c r="Y90" s="45"/>
      <c r="Z90" s="41" t="str">
        <f t="shared" si="48"/>
        <v/>
      </c>
      <c r="AA90" s="41" t="str">
        <f t="shared" si="49"/>
        <v/>
      </c>
      <c r="AB90" s="41" t="str">
        <f t="shared" si="36"/>
        <v/>
      </c>
      <c r="AC90" s="41" t="str">
        <f t="shared" si="37"/>
        <v/>
      </c>
      <c r="AD90" s="45"/>
      <c r="AE90" s="41" t="str">
        <f t="shared" si="38"/>
        <v/>
      </c>
      <c r="AF90" s="41"/>
      <c r="AG90" s="41" t="str">
        <f t="shared" si="39"/>
        <v/>
      </c>
      <c r="AH90" s="41" t="str">
        <f t="shared" si="50"/>
        <v/>
      </c>
      <c r="AI90" s="41" t="str">
        <f t="shared" si="51"/>
        <v/>
      </c>
      <c r="AJ90" s="41">
        <f t="shared" si="40"/>
        <v>0</v>
      </c>
      <c r="AK90" s="41" t="str">
        <f t="shared" si="41"/>
        <v/>
      </c>
      <c r="AL90" s="41">
        <f t="shared" si="52"/>
        <v>0</v>
      </c>
      <c r="AM90" s="41">
        <f t="shared" si="42"/>
        <v>0</v>
      </c>
      <c r="AN90" s="41" t="str">
        <f t="shared" si="43"/>
        <v/>
      </c>
      <c r="AO90" s="41">
        <f t="shared" si="59"/>
        <v>0</v>
      </c>
      <c r="AP90" s="45"/>
      <c r="AQ90" s="48"/>
      <c r="AR90" s="48"/>
      <c r="AS90" s="48"/>
      <c r="AT90" s="51">
        <f t="shared" si="53"/>
        <v>86</v>
      </c>
      <c r="AU90" s="49" t="str">
        <f t="shared" si="54"/>
        <v/>
      </c>
      <c r="AV90" s="49" t="str">
        <f t="shared" si="55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2.50967029379957E-2</v>
      </c>
      <c r="C91">
        <f t="shared" ref="C91:C144" si="61">B91*(1-$F$16)</f>
        <v>2.3590900761715956E-2</v>
      </c>
      <c r="D91" s="60"/>
      <c r="E91" s="5"/>
      <c r="F91" s="5"/>
      <c r="I91" s="51"/>
      <c r="J91" s="41"/>
      <c r="K91" s="41" t="str">
        <f t="shared" si="56"/>
        <v/>
      </c>
      <c r="L91" s="42" t="str">
        <f t="shared" si="57"/>
        <v/>
      </c>
      <c r="M91" s="41" t="str">
        <f t="shared" si="58"/>
        <v/>
      </c>
      <c r="N91" s="43">
        <f t="shared" si="31"/>
        <v>0</v>
      </c>
      <c r="O91" s="44">
        <f t="shared" si="32"/>
        <v>0</v>
      </c>
      <c r="P91" s="41" t="str">
        <f t="shared" si="33"/>
        <v/>
      </c>
      <c r="Q91" s="41" t="str">
        <f t="shared" si="34"/>
        <v/>
      </c>
      <c r="R91" s="45"/>
      <c r="S91" s="44" t="str">
        <f>IF(I91&lt;&gt;"",_xlfn.XLOOKUP($D$4+I91,$A$26:$A$145,$B$26:$B$145,0) * 1000,"")</f>
        <v/>
      </c>
      <c r="T91" s="52">
        <f t="shared" si="60"/>
        <v>0</v>
      </c>
      <c r="U91" s="53" t="str">
        <f t="shared" si="45"/>
        <v/>
      </c>
      <c r="V91" s="53" t="str">
        <f t="shared" si="46"/>
        <v/>
      </c>
      <c r="W91" s="53" t="str">
        <f t="shared" si="47"/>
        <v/>
      </c>
      <c r="X91" s="46" t="str">
        <f t="shared" si="35"/>
        <v/>
      </c>
      <c r="Y91" s="45"/>
      <c r="Z91" s="41" t="str">
        <f t="shared" si="48"/>
        <v/>
      </c>
      <c r="AA91" s="41" t="str">
        <f t="shared" si="49"/>
        <v/>
      </c>
      <c r="AB91" s="41" t="str">
        <f t="shared" si="36"/>
        <v/>
      </c>
      <c r="AC91" s="41" t="str">
        <f t="shared" si="37"/>
        <v/>
      </c>
      <c r="AD91" s="45"/>
      <c r="AE91" s="41" t="str">
        <f t="shared" si="38"/>
        <v/>
      </c>
      <c r="AF91" s="41"/>
      <c r="AG91" s="41" t="str">
        <f t="shared" si="39"/>
        <v/>
      </c>
      <c r="AH91" s="41" t="str">
        <f t="shared" si="50"/>
        <v/>
      </c>
      <c r="AI91" s="41" t="str">
        <f t="shared" si="51"/>
        <v/>
      </c>
      <c r="AJ91" s="41">
        <f t="shared" si="40"/>
        <v>0</v>
      </c>
      <c r="AK91" s="41" t="str">
        <f t="shared" si="41"/>
        <v/>
      </c>
      <c r="AL91" s="41">
        <f t="shared" si="52"/>
        <v>0</v>
      </c>
      <c r="AM91" s="41">
        <f t="shared" si="42"/>
        <v>0</v>
      </c>
      <c r="AN91" s="41" t="str">
        <f t="shared" si="43"/>
        <v/>
      </c>
      <c r="AO91" s="41">
        <f t="shared" si="59"/>
        <v>0</v>
      </c>
      <c r="AP91" s="45"/>
      <c r="AQ91" s="48"/>
      <c r="AR91" s="48"/>
      <c r="AS91" s="48"/>
      <c r="AT91" s="51">
        <f t="shared" si="53"/>
        <v>87</v>
      </c>
      <c r="AU91" s="49" t="str">
        <f t="shared" si="54"/>
        <v/>
      </c>
      <c r="AV91" s="49" t="str">
        <f t="shared" si="55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2.7475647578921101E-2</v>
      </c>
      <c r="C92">
        <f t="shared" si="61"/>
        <v>2.5827108724185834E-2</v>
      </c>
      <c r="D92" s="60"/>
      <c r="E92" s="5"/>
      <c r="F92" s="5"/>
      <c r="I92" s="51"/>
      <c r="J92" s="41"/>
      <c r="K92" s="41" t="str">
        <f t="shared" si="56"/>
        <v/>
      </c>
      <c r="L92" s="42" t="str">
        <f t="shared" si="57"/>
        <v/>
      </c>
      <c r="M92" s="41" t="str">
        <f t="shared" si="58"/>
        <v/>
      </c>
      <c r="N92" s="43">
        <f t="shared" si="31"/>
        <v>0</v>
      </c>
      <c r="O92" s="44">
        <f t="shared" si="32"/>
        <v>0</v>
      </c>
      <c r="P92" s="41" t="str">
        <f t="shared" si="33"/>
        <v/>
      </c>
      <c r="Q92" s="41" t="str">
        <f t="shared" si="34"/>
        <v/>
      </c>
      <c r="R92" s="45"/>
      <c r="S92" s="44" t="str">
        <f>IF(I92&lt;&gt;"",_xlfn.XLOOKUP($D$4+I92,$A$26:$A$145,$B$26:$B$145,0) * 1000,"")</f>
        <v/>
      </c>
      <c r="T92" s="52">
        <f t="shared" si="60"/>
        <v>0</v>
      </c>
      <c r="U92" s="53" t="str">
        <f t="shared" si="45"/>
        <v/>
      </c>
      <c r="V92" s="53" t="str">
        <f t="shared" si="46"/>
        <v/>
      </c>
      <c r="W92" s="53" t="str">
        <f t="shared" si="47"/>
        <v/>
      </c>
      <c r="X92" s="46" t="str">
        <f t="shared" si="35"/>
        <v/>
      </c>
      <c r="Y92" s="45"/>
      <c r="Z92" s="41" t="str">
        <f t="shared" si="48"/>
        <v/>
      </c>
      <c r="AA92" s="41" t="str">
        <f t="shared" si="49"/>
        <v/>
      </c>
      <c r="AB92" s="41" t="str">
        <f t="shared" si="36"/>
        <v/>
      </c>
      <c r="AC92" s="41" t="str">
        <f t="shared" si="37"/>
        <v/>
      </c>
      <c r="AD92" s="45"/>
      <c r="AE92" s="41" t="str">
        <f t="shared" si="38"/>
        <v/>
      </c>
      <c r="AF92" s="41"/>
      <c r="AG92" s="41" t="str">
        <f t="shared" si="39"/>
        <v/>
      </c>
      <c r="AH92" s="41" t="str">
        <f t="shared" si="50"/>
        <v/>
      </c>
      <c r="AI92" s="41" t="str">
        <f t="shared" si="51"/>
        <v/>
      </c>
      <c r="AJ92" s="41">
        <f t="shared" si="40"/>
        <v>0</v>
      </c>
      <c r="AK92" s="41" t="str">
        <f t="shared" si="41"/>
        <v/>
      </c>
      <c r="AL92" s="41">
        <f t="shared" si="52"/>
        <v>0</v>
      </c>
      <c r="AM92" s="41">
        <f t="shared" si="42"/>
        <v>0</v>
      </c>
      <c r="AN92" s="41" t="str">
        <f t="shared" si="43"/>
        <v/>
      </c>
      <c r="AO92" s="41">
        <f t="shared" si="59"/>
        <v>0</v>
      </c>
      <c r="AP92" s="45"/>
      <c r="AQ92" s="48"/>
      <c r="AR92" s="48"/>
      <c r="AS92" s="48"/>
      <c r="AT92" s="51">
        <f t="shared" si="53"/>
        <v>88</v>
      </c>
      <c r="AU92" s="49" t="str">
        <f t="shared" si="54"/>
        <v/>
      </c>
      <c r="AV92" s="49" t="str">
        <f t="shared" si="55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3.0002964203949899E-2</v>
      </c>
      <c r="C93">
        <f t="shared" si="61"/>
        <v>2.8202786351712902E-2</v>
      </c>
      <c r="D93" s="60"/>
      <c r="E93" s="5"/>
      <c r="F93" s="5"/>
      <c r="I93" s="51"/>
      <c r="J93" s="41"/>
      <c r="K93" s="41" t="str">
        <f t="shared" si="56"/>
        <v/>
      </c>
      <c r="L93" s="42" t="str">
        <f t="shared" si="57"/>
        <v/>
      </c>
      <c r="M93" s="41" t="str">
        <f t="shared" si="58"/>
        <v/>
      </c>
      <c r="N93" s="43">
        <f t="shared" si="31"/>
        <v>0</v>
      </c>
      <c r="O93" s="44">
        <f t="shared" si="32"/>
        <v>0</v>
      </c>
      <c r="P93" s="41" t="str">
        <f t="shared" si="33"/>
        <v/>
      </c>
      <c r="Q93" s="41" t="str">
        <f t="shared" si="34"/>
        <v/>
      </c>
      <c r="R93" s="45"/>
      <c r="S93" s="44" t="str">
        <f>IF(I93&lt;&gt;"",_xlfn.XLOOKUP($D$4+I93,$A$26:$A$145,$B$26:$B$145,0) * 1000,"")</f>
        <v/>
      </c>
      <c r="T93" s="52">
        <f t="shared" si="60"/>
        <v>0</v>
      </c>
      <c r="U93" s="53" t="str">
        <f t="shared" si="45"/>
        <v/>
      </c>
      <c r="V93" s="53" t="str">
        <f t="shared" si="46"/>
        <v/>
      </c>
      <c r="W93" s="53" t="str">
        <f t="shared" si="47"/>
        <v/>
      </c>
      <c r="X93" s="46" t="str">
        <f t="shared" si="35"/>
        <v/>
      </c>
      <c r="Y93" s="45"/>
      <c r="Z93" s="41" t="str">
        <f t="shared" si="48"/>
        <v/>
      </c>
      <c r="AA93" s="41" t="str">
        <f t="shared" si="49"/>
        <v/>
      </c>
      <c r="AB93" s="41" t="str">
        <f t="shared" si="36"/>
        <v/>
      </c>
      <c r="AC93" s="41" t="str">
        <f t="shared" si="37"/>
        <v/>
      </c>
      <c r="AD93" s="45"/>
      <c r="AE93" s="41" t="str">
        <f t="shared" si="38"/>
        <v/>
      </c>
      <c r="AF93" s="41"/>
      <c r="AG93" s="41" t="str">
        <f t="shared" si="39"/>
        <v/>
      </c>
      <c r="AH93" s="41" t="str">
        <f t="shared" si="50"/>
        <v/>
      </c>
      <c r="AI93" s="41" t="str">
        <f t="shared" si="51"/>
        <v/>
      </c>
      <c r="AJ93" s="41">
        <f t="shared" si="40"/>
        <v>0</v>
      </c>
      <c r="AK93" s="41" t="str">
        <f t="shared" si="41"/>
        <v/>
      </c>
      <c r="AL93" s="41">
        <f t="shared" si="52"/>
        <v>0</v>
      </c>
      <c r="AM93" s="41">
        <f t="shared" si="42"/>
        <v>0</v>
      </c>
      <c r="AN93" s="41" t="str">
        <f t="shared" si="43"/>
        <v/>
      </c>
      <c r="AO93" s="41">
        <f t="shared" si="59"/>
        <v>0</v>
      </c>
      <c r="AP93" s="45"/>
      <c r="AQ93" s="48"/>
      <c r="AR93" s="48"/>
      <c r="AS93" s="48"/>
      <c r="AT93" s="51">
        <f t="shared" si="53"/>
        <v>89</v>
      </c>
      <c r="AU93" s="49" t="str">
        <f t="shared" si="54"/>
        <v/>
      </c>
      <c r="AV93" s="49" t="str">
        <f t="shared" si="55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3.28436946138135E-2</v>
      </c>
      <c r="C94">
        <f t="shared" si="61"/>
        <v>3.0873072936984689E-2</v>
      </c>
      <c r="D94" s="60"/>
      <c r="E94" s="5"/>
      <c r="F94" s="5"/>
      <c r="I94" s="40"/>
      <c r="J94" s="41"/>
      <c r="K94" s="41" t="str">
        <f t="shared" si="56"/>
        <v/>
      </c>
      <c r="L94" s="42" t="str">
        <f t="shared" si="57"/>
        <v/>
      </c>
      <c r="M94" s="41" t="str">
        <f t="shared" si="58"/>
        <v/>
      </c>
      <c r="N94" s="43">
        <f t="shared" si="31"/>
        <v>0</v>
      </c>
      <c r="O94" s="44">
        <f>AW94</f>
        <v>0</v>
      </c>
      <c r="P94" s="41" t="str">
        <f t="shared" si="33"/>
        <v/>
      </c>
      <c r="Q94" s="41" t="str">
        <f t="shared" si="34"/>
        <v/>
      </c>
      <c r="R94" s="48"/>
      <c r="S94" s="44" t="str">
        <f>IF(I94&lt;&gt;"",_xlfn.XLOOKUP($D$4+I94,$A$26:$A$145,$B$26:$B$145,0) * 1000,"")</f>
        <v/>
      </c>
      <c r="T94" s="52">
        <f t="shared" si="60"/>
        <v>0</v>
      </c>
      <c r="U94" s="53" t="str">
        <f t="shared" si="45"/>
        <v/>
      </c>
      <c r="V94" s="53" t="str">
        <f t="shared" si="46"/>
        <v/>
      </c>
      <c r="W94" s="53" t="str">
        <f t="shared" si="47"/>
        <v/>
      </c>
      <c r="X94" s="46" t="str">
        <f t="shared" si="35"/>
        <v/>
      </c>
      <c r="Y94" s="48"/>
      <c r="Z94" s="41" t="str">
        <f t="shared" si="48"/>
        <v/>
      </c>
      <c r="AA94" s="41" t="str">
        <f t="shared" si="49"/>
        <v/>
      </c>
      <c r="AB94" s="41" t="str">
        <f t="shared" si="36"/>
        <v/>
      </c>
      <c r="AC94" s="41" t="str">
        <f t="shared" si="37"/>
        <v/>
      </c>
      <c r="AD94" s="48"/>
      <c r="AE94" s="41" t="str">
        <f t="shared" si="38"/>
        <v/>
      </c>
      <c r="AF94" s="41"/>
      <c r="AG94" s="41" t="str">
        <f t="shared" si="39"/>
        <v/>
      </c>
      <c r="AH94" s="41" t="str">
        <f t="shared" si="50"/>
        <v/>
      </c>
      <c r="AI94" s="41" t="str">
        <f t="shared" si="51"/>
        <v/>
      </c>
      <c r="AJ94" s="41">
        <f t="shared" si="40"/>
        <v>0</v>
      </c>
      <c r="AK94" s="41" t="str">
        <f t="shared" si="41"/>
        <v/>
      </c>
      <c r="AL94" s="41">
        <f t="shared" si="52"/>
        <v>0</v>
      </c>
      <c r="AM94" s="41">
        <f t="shared" si="42"/>
        <v>0</v>
      </c>
      <c r="AN94" s="41" t="str">
        <f t="shared" si="43"/>
        <v/>
      </c>
      <c r="AO94" s="41">
        <f t="shared" si="59"/>
        <v>0</v>
      </c>
      <c r="AP94" s="48"/>
      <c r="AQ94" s="48"/>
      <c r="AR94" s="48"/>
      <c r="AS94" s="48"/>
      <c r="AT94" s="51">
        <f t="shared" si="53"/>
        <v>90</v>
      </c>
      <c r="AU94" s="49" t="str">
        <f t="shared" si="54"/>
        <v/>
      </c>
      <c r="AV94" s="49" t="str">
        <f t="shared" si="55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3.6041229043075801E-2</v>
      </c>
      <c r="C95">
        <f t="shared" si="61"/>
        <v>3.3878755300491253E-2</v>
      </c>
      <c r="D95" s="60"/>
      <c r="E95" s="5"/>
      <c r="F95" s="5"/>
      <c r="I95" s="40"/>
      <c r="J95" s="41"/>
      <c r="K95" s="41" t="str">
        <f t="shared" si="56"/>
        <v/>
      </c>
      <c r="L95" s="42" t="str">
        <f t="shared" si="57"/>
        <v/>
      </c>
      <c r="M95" s="41" t="str">
        <f t="shared" si="58"/>
        <v/>
      </c>
      <c r="N95" s="43">
        <f t="shared" si="31"/>
        <v>0</v>
      </c>
      <c r="O95" s="44">
        <f t="shared" si="32"/>
        <v>0</v>
      </c>
      <c r="P95" s="41" t="str">
        <f t="shared" si="33"/>
        <v/>
      </c>
      <c r="Q95" s="41" t="str">
        <f t="shared" si="34"/>
        <v/>
      </c>
      <c r="R95" s="48"/>
      <c r="S95" s="44" t="str">
        <f>IF(I95&lt;&gt;"",_xlfn.XLOOKUP($D$4+I95,$A$26:$A$145,$B$26:$B$145,0) * 1000,"")</f>
        <v/>
      </c>
      <c r="T95" s="52">
        <f t="shared" si="60"/>
        <v>0</v>
      </c>
      <c r="U95" s="53" t="str">
        <f t="shared" si="45"/>
        <v/>
      </c>
      <c r="V95" s="53" t="str">
        <f t="shared" si="46"/>
        <v/>
      </c>
      <c r="W95" s="53" t="str">
        <f t="shared" si="47"/>
        <v/>
      </c>
      <c r="X95" s="46" t="str">
        <f t="shared" si="35"/>
        <v/>
      </c>
      <c r="Y95" s="48"/>
      <c r="Z95" s="41" t="str">
        <f t="shared" si="48"/>
        <v/>
      </c>
      <c r="AA95" s="41" t="str">
        <f t="shared" si="49"/>
        <v/>
      </c>
      <c r="AB95" s="41" t="str">
        <f t="shared" si="36"/>
        <v/>
      </c>
      <c r="AC95" s="41" t="str">
        <f t="shared" si="37"/>
        <v/>
      </c>
      <c r="AD95" s="48"/>
      <c r="AE95" s="41" t="str">
        <f t="shared" si="38"/>
        <v/>
      </c>
      <c r="AF95" s="41"/>
      <c r="AG95" s="41" t="str">
        <f t="shared" si="39"/>
        <v/>
      </c>
      <c r="AH95" s="41" t="str">
        <f t="shared" si="50"/>
        <v/>
      </c>
      <c r="AI95" s="41" t="str">
        <f t="shared" si="51"/>
        <v/>
      </c>
      <c r="AJ95" s="41">
        <f t="shared" si="40"/>
        <v>0</v>
      </c>
      <c r="AK95" s="41" t="str">
        <f t="shared" si="41"/>
        <v/>
      </c>
      <c r="AL95" s="41">
        <f t="shared" si="52"/>
        <v>0</v>
      </c>
      <c r="AM95" s="41">
        <f t="shared" si="42"/>
        <v>0</v>
      </c>
      <c r="AN95" s="41" t="str">
        <f t="shared" si="43"/>
        <v/>
      </c>
      <c r="AO95" s="41">
        <f t="shared" si="59"/>
        <v>0</v>
      </c>
      <c r="AP95" s="48"/>
      <c r="AQ95" s="48"/>
      <c r="AR95" s="48"/>
      <c r="AS95" s="48"/>
      <c r="AT95" s="51">
        <f t="shared" si="53"/>
        <v>91</v>
      </c>
      <c r="AU95" s="49" t="str">
        <f t="shared" si="54"/>
        <v/>
      </c>
      <c r="AV95" s="49" t="str">
        <f t="shared" si="55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3.9696967801334103E-2</v>
      </c>
      <c r="C96">
        <f t="shared" si="61"/>
        <v>3.7315149733254054E-2</v>
      </c>
      <c r="D96" s="60"/>
      <c r="E96" s="5"/>
      <c r="F96" s="5"/>
      <c r="I96" s="40"/>
      <c r="J96" s="41"/>
      <c r="K96" s="41" t="str">
        <f t="shared" si="56"/>
        <v/>
      </c>
      <c r="L96" s="42" t="str">
        <f t="shared" si="57"/>
        <v/>
      </c>
      <c r="M96" s="41" t="str">
        <f t="shared" si="58"/>
        <v/>
      </c>
      <c r="N96" s="43">
        <f t="shared" si="31"/>
        <v>0</v>
      </c>
      <c r="O96" s="44">
        <f t="shared" si="32"/>
        <v>0</v>
      </c>
      <c r="P96" s="41" t="str">
        <f t="shared" si="33"/>
        <v/>
      </c>
      <c r="Q96" s="41" t="str">
        <f t="shared" si="34"/>
        <v/>
      </c>
      <c r="R96" s="48"/>
      <c r="S96" s="44" t="str">
        <f>IF(I96&lt;&gt;"",_xlfn.XLOOKUP($D$4+I96,$A$26:$A$145,$B$26:$B$145,0) * 1000,"")</f>
        <v/>
      </c>
      <c r="T96" s="52">
        <f t="shared" si="60"/>
        <v>0</v>
      </c>
      <c r="U96" s="53" t="str">
        <f t="shared" si="45"/>
        <v/>
      </c>
      <c r="V96" s="53" t="str">
        <f t="shared" si="46"/>
        <v/>
      </c>
      <c r="W96" s="53" t="str">
        <f t="shared" si="47"/>
        <v/>
      </c>
      <c r="X96" s="46" t="str">
        <f t="shared" si="35"/>
        <v/>
      </c>
      <c r="Y96" s="48"/>
      <c r="Z96" s="41" t="str">
        <f t="shared" si="48"/>
        <v/>
      </c>
      <c r="AA96" s="41" t="str">
        <f t="shared" si="49"/>
        <v/>
      </c>
      <c r="AB96" s="41" t="str">
        <f t="shared" si="36"/>
        <v/>
      </c>
      <c r="AC96" s="41" t="str">
        <f t="shared" si="37"/>
        <v/>
      </c>
      <c r="AD96" s="48"/>
      <c r="AE96" s="41" t="str">
        <f t="shared" si="38"/>
        <v/>
      </c>
      <c r="AF96" s="41"/>
      <c r="AG96" s="41" t="str">
        <f t="shared" si="39"/>
        <v/>
      </c>
      <c r="AH96" s="41" t="str">
        <f t="shared" si="50"/>
        <v/>
      </c>
      <c r="AI96" s="41" t="str">
        <f t="shared" si="51"/>
        <v/>
      </c>
      <c r="AJ96" s="41">
        <f>SUM(AE96:AI96)</f>
        <v>0</v>
      </c>
      <c r="AK96" s="41" t="str">
        <f t="shared" si="41"/>
        <v/>
      </c>
      <c r="AL96" s="41">
        <f t="shared" si="52"/>
        <v>0</v>
      </c>
      <c r="AM96" s="41">
        <f t="shared" si="42"/>
        <v>0</v>
      </c>
      <c r="AN96" s="41" t="str">
        <f t="shared" si="43"/>
        <v/>
      </c>
      <c r="AO96" s="41">
        <f t="shared" si="59"/>
        <v>0</v>
      </c>
      <c r="AP96" s="48"/>
      <c r="AQ96" s="48"/>
      <c r="AR96" s="48"/>
      <c r="AS96" s="48"/>
      <c r="AT96" s="51">
        <f t="shared" si="53"/>
        <v>92</v>
      </c>
      <c r="AU96" s="49" t="str">
        <f t="shared" si="54"/>
        <v/>
      </c>
      <c r="AV96" s="49" t="str">
        <f t="shared" si="55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4.3904036040879203E-2</v>
      </c>
      <c r="C97">
        <f t="shared" si="61"/>
        <v>4.1269793878426449E-2</v>
      </c>
      <c r="D97" s="60"/>
      <c r="E97" s="5"/>
      <c r="F97" s="5"/>
      <c r="I97" s="40"/>
      <c r="J97" s="41"/>
      <c r="K97" s="41" t="str">
        <f t="shared" si="56"/>
        <v/>
      </c>
      <c r="L97" s="42" t="str">
        <f t="shared" si="57"/>
        <v/>
      </c>
      <c r="M97" s="41" t="str">
        <f t="shared" si="58"/>
        <v/>
      </c>
      <c r="N97" s="43">
        <f t="shared" si="31"/>
        <v>0</v>
      </c>
      <c r="O97" s="44">
        <f t="shared" si="32"/>
        <v>0</v>
      </c>
      <c r="P97" s="41" t="str">
        <f t="shared" si="33"/>
        <v/>
      </c>
      <c r="Q97" s="41" t="str">
        <f t="shared" si="34"/>
        <v/>
      </c>
      <c r="R97" s="48"/>
      <c r="S97" s="44" t="str">
        <f>IF(I97&lt;&gt;"",_xlfn.XLOOKUP($D$4+I97,$A$26:$A$145,$B$26:$B$145,0) * 1000,"")</f>
        <v/>
      </c>
      <c r="T97" s="52">
        <f t="shared" si="60"/>
        <v>0</v>
      </c>
      <c r="U97" s="53" t="str">
        <f t="shared" si="45"/>
        <v/>
      </c>
      <c r="V97" s="53" t="str">
        <f t="shared" si="46"/>
        <v/>
      </c>
      <c r="W97" s="53" t="str">
        <f t="shared" si="47"/>
        <v/>
      </c>
      <c r="X97" s="46" t="str">
        <f t="shared" si="35"/>
        <v/>
      </c>
      <c r="Y97" s="48"/>
      <c r="Z97" s="41" t="str">
        <f t="shared" si="48"/>
        <v/>
      </c>
      <c r="AA97" s="41" t="str">
        <f t="shared" si="49"/>
        <v/>
      </c>
      <c r="AB97" s="41" t="str">
        <f t="shared" si="36"/>
        <v/>
      </c>
      <c r="AC97" s="41" t="str">
        <f t="shared" si="37"/>
        <v/>
      </c>
      <c r="AD97" s="48"/>
      <c r="AE97" s="41" t="str">
        <f t="shared" si="38"/>
        <v/>
      </c>
      <c r="AF97" s="41"/>
      <c r="AG97" s="41" t="str">
        <f t="shared" si="39"/>
        <v/>
      </c>
      <c r="AH97" s="41" t="str">
        <f t="shared" si="50"/>
        <v/>
      </c>
      <c r="AI97" s="41" t="str">
        <f t="shared" si="51"/>
        <v/>
      </c>
      <c r="AJ97" s="41">
        <f t="shared" si="40"/>
        <v>0</v>
      </c>
      <c r="AK97" s="41" t="str">
        <f t="shared" si="41"/>
        <v/>
      </c>
      <c r="AL97" s="41">
        <f t="shared" si="52"/>
        <v>0</v>
      </c>
      <c r="AM97" s="41">
        <f t="shared" si="42"/>
        <v>0</v>
      </c>
      <c r="AN97" s="41" t="str">
        <f t="shared" si="43"/>
        <v/>
      </c>
      <c r="AO97" s="41">
        <f t="shared" si="59"/>
        <v>0</v>
      </c>
      <c r="AP97" s="48"/>
      <c r="AQ97" s="48"/>
      <c r="AR97" s="48"/>
      <c r="AS97" s="48"/>
      <c r="AT97" s="51">
        <f t="shared" si="53"/>
        <v>93</v>
      </c>
      <c r="AU97" s="49" t="str">
        <f t="shared" si="54"/>
        <v/>
      </c>
      <c r="AV97" s="49" t="str">
        <f t="shared" si="55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4.8745918240341697E-2</v>
      </c>
      <c r="C98">
        <f t="shared" si="61"/>
        <v>4.582116314592119E-2</v>
      </c>
      <c r="D98" s="60"/>
      <c r="E98" s="5"/>
      <c r="F98" s="5"/>
      <c r="I98" s="40"/>
      <c r="J98" s="41"/>
      <c r="K98" s="41" t="str">
        <f t="shared" si="56"/>
        <v/>
      </c>
      <c r="L98" s="42" t="str">
        <f t="shared" si="57"/>
        <v/>
      </c>
      <c r="M98" s="41" t="str">
        <f t="shared" si="58"/>
        <v/>
      </c>
      <c r="N98" s="43">
        <f t="shared" si="31"/>
        <v>0</v>
      </c>
      <c r="O98" s="44">
        <f t="shared" si="32"/>
        <v>0</v>
      </c>
      <c r="P98" s="41" t="str">
        <f t="shared" si="33"/>
        <v/>
      </c>
      <c r="Q98" s="41" t="str">
        <f t="shared" si="34"/>
        <v/>
      </c>
      <c r="R98" s="48"/>
      <c r="S98" s="44" t="str">
        <f>IF(I98&lt;&gt;"",_xlfn.XLOOKUP($D$4+I98,$A$26:$A$145,$B$26:$B$145,0) * 1000,"")</f>
        <v/>
      </c>
      <c r="T98" s="52">
        <f t="shared" si="60"/>
        <v>0</v>
      </c>
      <c r="U98" s="53" t="str">
        <f t="shared" si="45"/>
        <v/>
      </c>
      <c r="V98" s="53" t="str">
        <f t="shared" si="46"/>
        <v/>
      </c>
      <c r="W98" s="53" t="str">
        <f t="shared" si="47"/>
        <v/>
      </c>
      <c r="X98" s="46" t="str">
        <f t="shared" si="35"/>
        <v/>
      </c>
      <c r="Y98" s="48"/>
      <c r="Z98" s="41" t="str">
        <f t="shared" si="48"/>
        <v/>
      </c>
      <c r="AA98" s="41" t="str">
        <f t="shared" si="49"/>
        <v/>
      </c>
      <c r="AB98" s="41" t="str">
        <f t="shared" si="36"/>
        <v/>
      </c>
      <c r="AC98" s="41" t="str">
        <f t="shared" si="37"/>
        <v/>
      </c>
      <c r="AD98" s="48"/>
      <c r="AE98" s="41" t="str">
        <f t="shared" si="38"/>
        <v/>
      </c>
      <c r="AF98" s="41"/>
      <c r="AG98" s="41" t="str">
        <f t="shared" si="39"/>
        <v/>
      </c>
      <c r="AH98" s="41" t="str">
        <f t="shared" si="50"/>
        <v/>
      </c>
      <c r="AI98" s="41" t="str">
        <f t="shared" si="51"/>
        <v/>
      </c>
      <c r="AJ98" s="41">
        <f t="shared" si="40"/>
        <v>0</v>
      </c>
      <c r="AK98" s="41" t="str">
        <f t="shared" si="41"/>
        <v/>
      </c>
      <c r="AL98" s="41">
        <f t="shared" si="52"/>
        <v>0</v>
      </c>
      <c r="AM98" s="41">
        <f t="shared" si="42"/>
        <v>0</v>
      </c>
      <c r="AN98" s="41" t="str">
        <f t="shared" si="43"/>
        <v/>
      </c>
      <c r="AO98" s="41">
        <f t="shared" si="59"/>
        <v>0</v>
      </c>
      <c r="AP98" s="48"/>
      <c r="AQ98" s="48"/>
      <c r="AR98" s="48"/>
      <c r="AS98" s="48"/>
      <c r="AT98" s="51">
        <f t="shared" si="53"/>
        <v>94</v>
      </c>
      <c r="AU98" s="49" t="str">
        <f t="shared" si="54"/>
        <v/>
      </c>
      <c r="AV98" s="49" t="str">
        <f t="shared" si="55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5.4496735169921297E-2</v>
      </c>
      <c r="C99">
        <f t="shared" si="61"/>
        <v>5.1226931059726019E-2</v>
      </c>
      <c r="D99" s="60"/>
      <c r="E99" s="5"/>
      <c r="F99" s="5"/>
      <c r="I99" s="40"/>
      <c r="J99" s="41"/>
      <c r="K99" s="41" t="str">
        <f t="shared" si="56"/>
        <v/>
      </c>
      <c r="L99" s="42" t="str">
        <f t="shared" si="57"/>
        <v/>
      </c>
      <c r="M99" s="41" t="str">
        <f t="shared" si="58"/>
        <v/>
      </c>
      <c r="N99" s="43">
        <f t="shared" si="31"/>
        <v>0</v>
      </c>
      <c r="O99" s="44">
        <f t="shared" si="32"/>
        <v>0</v>
      </c>
      <c r="P99" s="41" t="str">
        <f t="shared" si="33"/>
        <v/>
      </c>
      <c r="Q99" s="41" t="str">
        <f t="shared" si="34"/>
        <v/>
      </c>
      <c r="R99" s="48"/>
      <c r="S99" s="44" t="str">
        <f>IF(I99&lt;&gt;"",_xlfn.XLOOKUP($D$4+I99,$A$26:$A$145,$B$26:$B$145,0) * 1000,"")</f>
        <v/>
      </c>
      <c r="T99" s="52">
        <f t="shared" si="60"/>
        <v>0</v>
      </c>
      <c r="U99" s="53" t="str">
        <f t="shared" si="45"/>
        <v/>
      </c>
      <c r="V99" s="53" t="str">
        <f t="shared" si="46"/>
        <v/>
      </c>
      <c r="W99" s="53" t="str">
        <f t="shared" si="47"/>
        <v/>
      </c>
      <c r="X99" s="46" t="str">
        <f t="shared" si="35"/>
        <v/>
      </c>
      <c r="Y99" s="48"/>
      <c r="Z99" s="41" t="str">
        <f t="shared" si="48"/>
        <v/>
      </c>
      <c r="AA99" s="41" t="str">
        <f t="shared" si="49"/>
        <v/>
      </c>
      <c r="AB99" s="41" t="str">
        <f t="shared" si="36"/>
        <v/>
      </c>
      <c r="AC99" s="41" t="str">
        <f t="shared" si="37"/>
        <v/>
      </c>
      <c r="AD99" s="48"/>
      <c r="AE99" s="41" t="str">
        <f t="shared" si="38"/>
        <v/>
      </c>
      <c r="AF99" s="41"/>
      <c r="AG99" s="41" t="str">
        <f t="shared" si="39"/>
        <v/>
      </c>
      <c r="AH99" s="41" t="str">
        <f t="shared" si="50"/>
        <v/>
      </c>
      <c r="AI99" s="41" t="str">
        <f t="shared" si="51"/>
        <v/>
      </c>
      <c r="AJ99" s="41">
        <f t="shared" si="40"/>
        <v>0</v>
      </c>
      <c r="AK99" s="41" t="str">
        <f t="shared" si="41"/>
        <v/>
      </c>
      <c r="AL99" s="41">
        <f t="shared" si="52"/>
        <v>0</v>
      </c>
      <c r="AM99" s="41">
        <f t="shared" si="42"/>
        <v>0</v>
      </c>
      <c r="AN99" s="41" t="str">
        <f t="shared" si="43"/>
        <v/>
      </c>
      <c r="AO99" s="41">
        <f t="shared" si="59"/>
        <v>0</v>
      </c>
      <c r="AP99" s="48"/>
      <c r="AQ99" s="48"/>
      <c r="AR99" s="48"/>
      <c r="AS99" s="48"/>
      <c r="AT99" s="51">
        <f t="shared" si="53"/>
        <v>95</v>
      </c>
      <c r="AU99" s="49" t="str">
        <f t="shared" si="54"/>
        <v/>
      </c>
      <c r="AV99" s="49" t="str">
        <f t="shared" si="55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6.1107455895015497E-2</v>
      </c>
      <c r="C100">
        <f t="shared" si="61"/>
        <v>5.7441008541314564E-2</v>
      </c>
      <c r="D100" s="60"/>
      <c r="E100" s="5"/>
      <c r="F100" s="5"/>
      <c r="I100" s="40"/>
      <c r="J100" s="41"/>
      <c r="K100" s="41" t="str">
        <f t="shared" si="56"/>
        <v/>
      </c>
      <c r="L100" s="42" t="str">
        <f t="shared" si="57"/>
        <v/>
      </c>
      <c r="M100" s="41" t="str">
        <f t="shared" si="58"/>
        <v/>
      </c>
      <c r="N100" s="43">
        <f t="shared" si="31"/>
        <v>0</v>
      </c>
      <c r="O100" s="44">
        <f t="shared" si="32"/>
        <v>0</v>
      </c>
      <c r="P100" s="41" t="str">
        <f t="shared" si="33"/>
        <v/>
      </c>
      <c r="Q100" s="41" t="str">
        <f t="shared" si="34"/>
        <v/>
      </c>
      <c r="R100" s="48"/>
      <c r="S100" s="44" t="str">
        <f>IF(I100&lt;&gt;"",_xlfn.XLOOKUP($D$4+I100,$A$26:$A$145,$B$26:$B$145,0) * 1000,"")</f>
        <v/>
      </c>
      <c r="T100" s="52">
        <f t="shared" si="60"/>
        <v>0</v>
      </c>
      <c r="U100" s="53" t="str">
        <f t="shared" si="45"/>
        <v/>
      </c>
      <c r="V100" s="53" t="str">
        <f t="shared" si="46"/>
        <v/>
      </c>
      <c r="W100" s="53" t="str">
        <f t="shared" si="47"/>
        <v/>
      </c>
      <c r="X100" s="46" t="str">
        <f t="shared" si="35"/>
        <v/>
      </c>
      <c r="Y100" s="48"/>
      <c r="Z100" s="41" t="str">
        <f t="shared" si="48"/>
        <v/>
      </c>
      <c r="AA100" s="41" t="str">
        <f t="shared" si="49"/>
        <v/>
      </c>
      <c r="AB100" s="41" t="str">
        <f t="shared" si="36"/>
        <v/>
      </c>
      <c r="AC100" s="41" t="str">
        <f t="shared" si="37"/>
        <v/>
      </c>
      <c r="AD100" s="48"/>
      <c r="AE100" s="41" t="str">
        <f t="shared" si="38"/>
        <v/>
      </c>
      <c r="AF100" s="41"/>
      <c r="AG100" s="41" t="str">
        <f t="shared" si="39"/>
        <v/>
      </c>
      <c r="AH100" s="41" t="str">
        <f t="shared" si="50"/>
        <v/>
      </c>
      <c r="AI100" s="41" t="str">
        <f t="shared" si="51"/>
        <v/>
      </c>
      <c r="AJ100" s="41">
        <f t="shared" si="40"/>
        <v>0</v>
      </c>
      <c r="AK100" s="41" t="str">
        <f t="shared" si="41"/>
        <v/>
      </c>
      <c r="AL100" s="41">
        <f t="shared" si="52"/>
        <v>0</v>
      </c>
      <c r="AM100" s="41">
        <f t="shared" si="42"/>
        <v>0</v>
      </c>
      <c r="AN100" s="41" t="str">
        <f t="shared" si="43"/>
        <v/>
      </c>
      <c r="AO100" s="41">
        <f t="shared" si="59"/>
        <v>0</v>
      </c>
      <c r="AP100" s="48"/>
      <c r="AQ100" s="48"/>
      <c r="AR100" s="48"/>
      <c r="AS100" s="48"/>
      <c r="AT100" s="51">
        <f t="shared" si="53"/>
        <v>96</v>
      </c>
      <c r="AU100" s="49" t="str">
        <f t="shared" si="54"/>
        <v/>
      </c>
      <c r="AV100" s="49" t="str">
        <f t="shared" si="55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7.8497390460922495E-2</v>
      </c>
      <c r="C101">
        <f t="shared" si="61"/>
        <v>7.3787547033267134E-2</v>
      </c>
      <c r="D101" s="60"/>
      <c r="E101" s="5"/>
      <c r="F101" s="5"/>
      <c r="I101" s="40"/>
      <c r="J101" s="41"/>
      <c r="K101" s="41" t="str">
        <f t="shared" si="56"/>
        <v/>
      </c>
      <c r="L101" s="42" t="str">
        <f t="shared" si="57"/>
        <v/>
      </c>
      <c r="M101" s="41" t="str">
        <f t="shared" si="58"/>
        <v/>
      </c>
      <c r="N101" s="43">
        <f t="shared" si="31"/>
        <v>0</v>
      </c>
      <c r="O101" s="44">
        <f t="shared" si="32"/>
        <v>0</v>
      </c>
      <c r="P101" s="41" t="str">
        <f t="shared" si="33"/>
        <v/>
      </c>
      <c r="Q101" s="41" t="str">
        <f t="shared" si="34"/>
        <v/>
      </c>
      <c r="R101" s="48"/>
      <c r="S101" s="44" t="str">
        <f>IF(I101&lt;&gt;"",_xlfn.XLOOKUP($D$4+I101,$A$26:$A$145,$B$26:$B$145,0) * 1000,"")</f>
        <v/>
      </c>
      <c r="T101" s="52">
        <f t="shared" si="60"/>
        <v>0</v>
      </c>
      <c r="U101" s="53" t="str">
        <f t="shared" si="45"/>
        <v/>
      </c>
      <c r="V101" s="53" t="str">
        <f t="shared" si="46"/>
        <v/>
      </c>
      <c r="W101" s="53" t="str">
        <f t="shared" si="47"/>
        <v/>
      </c>
      <c r="X101" s="46" t="str">
        <f t="shared" si="35"/>
        <v/>
      </c>
      <c r="Y101" s="48"/>
      <c r="Z101" s="41" t="str">
        <f t="shared" si="48"/>
        <v/>
      </c>
      <c r="AA101" s="41" t="str">
        <f t="shared" si="49"/>
        <v/>
      </c>
      <c r="AB101" s="41" t="str">
        <f t="shared" si="36"/>
        <v/>
      </c>
      <c r="AC101" s="41" t="str">
        <f t="shared" si="37"/>
        <v/>
      </c>
      <c r="AD101" s="48"/>
      <c r="AE101" s="41" t="str">
        <f t="shared" si="38"/>
        <v/>
      </c>
      <c r="AF101" s="41"/>
      <c r="AG101" s="41" t="str">
        <f t="shared" si="39"/>
        <v/>
      </c>
      <c r="AH101" s="41" t="str">
        <f t="shared" si="50"/>
        <v/>
      </c>
      <c r="AI101" s="41" t="str">
        <f t="shared" si="51"/>
        <v/>
      </c>
      <c r="AJ101" s="41">
        <f t="shared" si="40"/>
        <v>0</v>
      </c>
      <c r="AK101" s="41" t="str">
        <f t="shared" si="41"/>
        <v/>
      </c>
      <c r="AL101" s="41">
        <f t="shared" si="52"/>
        <v>0</v>
      </c>
      <c r="AM101" s="41">
        <f t="shared" si="42"/>
        <v>0</v>
      </c>
      <c r="AN101" s="41" t="str">
        <f t="shared" si="43"/>
        <v/>
      </c>
      <c r="AO101" s="41">
        <f t="shared" si="59"/>
        <v>0</v>
      </c>
      <c r="AP101" s="48"/>
      <c r="AQ101" s="48"/>
      <c r="AR101" s="48"/>
      <c r="AS101" s="48"/>
      <c r="AT101" s="51">
        <f t="shared" si="53"/>
        <v>97</v>
      </c>
      <c r="AU101" s="49" t="str">
        <f t="shared" si="54"/>
        <v/>
      </c>
      <c r="AV101" s="49" t="str">
        <f t="shared" si="55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8.83834682954696E-2</v>
      </c>
      <c r="C102">
        <f t="shared" si="61"/>
        <v>8.3080460197741415E-2</v>
      </c>
      <c r="D102" s="60"/>
      <c r="E102" s="5"/>
      <c r="F102" s="5"/>
      <c r="I102" s="40"/>
      <c r="J102" s="41"/>
      <c r="K102" s="41" t="str">
        <f t="shared" si="56"/>
        <v/>
      </c>
      <c r="L102" s="42" t="str">
        <f t="shared" si="57"/>
        <v/>
      </c>
      <c r="M102" s="41" t="str">
        <f t="shared" si="58"/>
        <v/>
      </c>
      <c r="N102" s="43">
        <f t="shared" si="31"/>
        <v>0</v>
      </c>
      <c r="O102" s="44">
        <f t="shared" si="32"/>
        <v>0</v>
      </c>
      <c r="P102" s="41" t="str">
        <f t="shared" si="33"/>
        <v/>
      </c>
      <c r="Q102" s="41" t="str">
        <f t="shared" si="34"/>
        <v/>
      </c>
      <c r="R102" s="48"/>
      <c r="S102" s="44" t="str">
        <f>IF(I102&lt;&gt;"",_xlfn.XLOOKUP($D$4+I102,$A$26:$A$145,$B$26:$B$145,0) * 1000,"")</f>
        <v/>
      </c>
      <c r="T102" s="52">
        <f t="shared" si="60"/>
        <v>0</v>
      </c>
      <c r="U102" s="53" t="str">
        <f t="shared" si="45"/>
        <v/>
      </c>
      <c r="V102" s="53" t="str">
        <f t="shared" si="46"/>
        <v/>
      </c>
      <c r="W102" s="53" t="str">
        <f t="shared" si="47"/>
        <v/>
      </c>
      <c r="X102" s="46" t="str">
        <f t="shared" si="35"/>
        <v/>
      </c>
      <c r="Y102" s="48"/>
      <c r="Z102" s="41" t="str">
        <f t="shared" si="48"/>
        <v/>
      </c>
      <c r="AA102" s="41" t="str">
        <f t="shared" si="49"/>
        <v/>
      </c>
      <c r="AB102" s="41" t="str">
        <f t="shared" si="36"/>
        <v/>
      </c>
      <c r="AC102" s="41" t="str">
        <f t="shared" si="37"/>
        <v/>
      </c>
      <c r="AD102" s="48"/>
      <c r="AE102" s="41" t="str">
        <f t="shared" si="38"/>
        <v/>
      </c>
      <c r="AF102" s="41"/>
      <c r="AG102" s="41" t="str">
        <f t="shared" si="39"/>
        <v/>
      </c>
      <c r="AH102" s="41" t="str">
        <f t="shared" si="50"/>
        <v/>
      </c>
      <c r="AI102" s="41" t="str">
        <f t="shared" si="51"/>
        <v/>
      </c>
      <c r="AJ102" s="41">
        <f t="shared" si="40"/>
        <v>0</v>
      </c>
      <c r="AK102" s="41" t="str">
        <f t="shared" si="41"/>
        <v/>
      </c>
      <c r="AL102" s="41">
        <f t="shared" si="52"/>
        <v>0</v>
      </c>
      <c r="AM102" s="41">
        <f t="shared" si="42"/>
        <v>0</v>
      </c>
      <c r="AN102" s="41" t="str">
        <f t="shared" si="43"/>
        <v/>
      </c>
      <c r="AO102" s="41">
        <f t="shared" si="59"/>
        <v>0</v>
      </c>
      <c r="AP102" s="48"/>
      <c r="AQ102" s="48"/>
      <c r="AR102" s="48"/>
      <c r="AS102" s="48"/>
      <c r="AT102" s="51">
        <f t="shared" si="53"/>
        <v>98</v>
      </c>
      <c r="AU102" s="49" t="str">
        <f t="shared" si="54"/>
        <v/>
      </c>
      <c r="AV102" s="49" t="str">
        <f t="shared" si="55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9.9367943057930105E-2</v>
      </c>
      <c r="C103">
        <f t="shared" si="61"/>
        <v>9.3405866474454299E-2</v>
      </c>
      <c r="D103" s="60"/>
      <c r="E103" s="5"/>
      <c r="F103" s="5"/>
      <c r="I103" s="40"/>
      <c r="J103" s="41"/>
      <c r="K103" s="41" t="str">
        <f t="shared" si="56"/>
        <v/>
      </c>
      <c r="L103" s="42" t="str">
        <f t="shared" si="57"/>
        <v/>
      </c>
      <c r="M103" s="41" t="str">
        <f t="shared" si="58"/>
        <v/>
      </c>
      <c r="N103" s="43">
        <f t="shared" si="31"/>
        <v>0</v>
      </c>
      <c r="O103" s="44">
        <f t="shared" si="32"/>
        <v>0</v>
      </c>
      <c r="P103" s="41" t="str">
        <f t="shared" si="33"/>
        <v/>
      </c>
      <c r="Q103" s="41" t="str">
        <f t="shared" si="34"/>
        <v/>
      </c>
      <c r="R103" s="48"/>
      <c r="S103" s="44" t="str">
        <f>IF(I103&lt;&gt;"",_xlfn.XLOOKUP($D$4+I103,$A$26:$A$145,$B$26:$B$145,0) * 1000,"")</f>
        <v/>
      </c>
      <c r="T103" s="52">
        <f t="shared" si="60"/>
        <v>0</v>
      </c>
      <c r="U103" s="53" t="str">
        <f t="shared" si="45"/>
        <v/>
      </c>
      <c r="V103" s="53" t="str">
        <f t="shared" si="46"/>
        <v/>
      </c>
      <c r="W103" s="53" t="str">
        <f t="shared" si="47"/>
        <v/>
      </c>
      <c r="X103" s="46" t="str">
        <f t="shared" si="35"/>
        <v/>
      </c>
      <c r="Y103" s="48"/>
      <c r="Z103" s="41" t="str">
        <f t="shared" si="48"/>
        <v/>
      </c>
      <c r="AA103" s="41" t="str">
        <f t="shared" si="49"/>
        <v/>
      </c>
      <c r="AB103" s="41" t="str">
        <f t="shared" si="36"/>
        <v/>
      </c>
      <c r="AC103" s="41" t="str">
        <f t="shared" si="37"/>
        <v/>
      </c>
      <c r="AD103" s="48"/>
      <c r="AE103" s="41" t="str">
        <f t="shared" si="38"/>
        <v/>
      </c>
      <c r="AF103" s="41"/>
      <c r="AG103" s="41" t="str">
        <f t="shared" si="39"/>
        <v/>
      </c>
      <c r="AH103" s="41" t="str">
        <f t="shared" si="50"/>
        <v/>
      </c>
      <c r="AI103" s="41" t="str">
        <f t="shared" si="51"/>
        <v/>
      </c>
      <c r="AJ103" s="41">
        <f t="shared" si="40"/>
        <v>0</v>
      </c>
      <c r="AK103" s="41" t="str">
        <f t="shared" si="41"/>
        <v/>
      </c>
      <c r="AL103" s="41">
        <f t="shared" si="52"/>
        <v>0</v>
      </c>
      <c r="AM103" s="41">
        <f t="shared" si="42"/>
        <v>0</v>
      </c>
      <c r="AN103" s="41" t="str">
        <f t="shared" si="43"/>
        <v/>
      </c>
      <c r="AO103" s="41">
        <f t="shared" si="59"/>
        <v>0</v>
      </c>
      <c r="AP103" s="48"/>
      <c r="AQ103" s="48"/>
      <c r="AR103" s="48"/>
      <c r="AS103" s="48"/>
      <c r="AT103" s="51">
        <f t="shared" si="53"/>
        <v>99</v>
      </c>
      <c r="AU103" s="49" t="str">
        <f t="shared" si="54"/>
        <v/>
      </c>
      <c r="AV103" s="49" t="str">
        <f t="shared" si="55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0.11150506843921</v>
      </c>
      <c r="C104">
        <f t="shared" si="61"/>
        <v>0.1048147643328574</v>
      </c>
      <c r="D104" s="60"/>
      <c r="E104" s="5"/>
      <c r="F104" s="5"/>
      <c r="I104" s="40"/>
      <c r="J104" s="41"/>
      <c r="K104" s="41" t="str">
        <f t="shared" si="56"/>
        <v/>
      </c>
      <c r="L104" s="42" t="str">
        <f t="shared" si="57"/>
        <v/>
      </c>
      <c r="M104" s="41" t="str">
        <f t="shared" si="58"/>
        <v/>
      </c>
      <c r="N104" s="43">
        <f t="shared" si="31"/>
        <v>0</v>
      </c>
      <c r="O104" s="44">
        <f t="shared" si="32"/>
        <v>0</v>
      </c>
      <c r="P104" s="41" t="str">
        <f t="shared" si="33"/>
        <v/>
      </c>
      <c r="Q104" s="41" t="str">
        <f t="shared" si="34"/>
        <v/>
      </c>
      <c r="R104" s="48"/>
      <c r="S104" s="44" t="str">
        <f>IF(I104&lt;&gt;"",_xlfn.XLOOKUP($D$4+I104,$A$26:$A$145,$B$26:$B$145,0) * 1000,"")</f>
        <v/>
      </c>
      <c r="T104" s="52">
        <f t="shared" si="60"/>
        <v>0</v>
      </c>
      <c r="U104" s="53" t="str">
        <f t="shared" si="45"/>
        <v/>
      </c>
      <c r="V104" s="53" t="str">
        <f t="shared" si="46"/>
        <v/>
      </c>
      <c r="W104" s="53" t="str">
        <f t="shared" si="47"/>
        <v/>
      </c>
      <c r="X104" s="46" t="str">
        <f t="shared" si="35"/>
        <v/>
      </c>
      <c r="Y104" s="48"/>
      <c r="Z104" s="41" t="str">
        <f t="shared" si="48"/>
        <v/>
      </c>
      <c r="AA104" s="41" t="str">
        <f t="shared" si="49"/>
        <v/>
      </c>
      <c r="AB104" s="41" t="str">
        <f t="shared" si="36"/>
        <v/>
      </c>
      <c r="AC104" s="41" t="str">
        <f t="shared" si="37"/>
        <v/>
      </c>
      <c r="AD104" s="48"/>
      <c r="AE104" s="41" t="str">
        <f t="shared" si="38"/>
        <v/>
      </c>
      <c r="AF104" s="41"/>
      <c r="AG104" s="41" t="str">
        <f t="shared" si="39"/>
        <v/>
      </c>
      <c r="AH104" s="41" t="str">
        <f t="shared" si="50"/>
        <v/>
      </c>
      <c r="AI104" s="41" t="str">
        <f t="shared" si="51"/>
        <v/>
      </c>
      <c r="AJ104" s="41">
        <f t="shared" si="40"/>
        <v>0</v>
      </c>
      <c r="AK104" s="41" t="str">
        <f t="shared" si="41"/>
        <v/>
      </c>
      <c r="AL104" s="41">
        <f t="shared" si="52"/>
        <v>0</v>
      </c>
      <c r="AM104" s="41">
        <f t="shared" si="42"/>
        <v>0</v>
      </c>
      <c r="AN104" s="41" t="str">
        <f t="shared" si="43"/>
        <v/>
      </c>
      <c r="AO104" s="41">
        <f t="shared" si="59"/>
        <v>0</v>
      </c>
      <c r="AP104" s="48"/>
      <c r="AQ104" s="48"/>
      <c r="AR104" s="48"/>
      <c r="AS104" s="48"/>
      <c r="AT104" s="51">
        <f t="shared" si="53"/>
        <v>100</v>
      </c>
      <c r="AU104" s="49" t="str">
        <f t="shared" si="54"/>
        <v/>
      </c>
      <c r="AV104" s="49" t="str">
        <f t="shared" si="55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0.124648641040985</v>
      </c>
      <c r="C105">
        <f t="shared" si="61"/>
        <v>0.1171697225785259</v>
      </c>
      <c r="D105" s="60"/>
      <c r="E105" s="5"/>
      <c r="F105" s="5"/>
      <c r="I105" s="40"/>
      <c r="J105" s="41"/>
      <c r="K105" s="41" t="str">
        <f t="shared" si="56"/>
        <v/>
      </c>
      <c r="L105" s="42" t="str">
        <f t="shared" si="57"/>
        <v/>
      </c>
      <c r="M105" s="41" t="str">
        <f t="shared" si="58"/>
        <v/>
      </c>
      <c r="N105" s="43">
        <f t="shared" si="31"/>
        <v>0</v>
      </c>
      <c r="O105" s="44">
        <f t="shared" si="32"/>
        <v>0</v>
      </c>
      <c r="P105" s="41" t="str">
        <f t="shared" si="33"/>
        <v/>
      </c>
      <c r="Q105" s="41" t="str">
        <f t="shared" si="34"/>
        <v/>
      </c>
      <c r="R105" s="48"/>
      <c r="S105" s="44" t="str">
        <f>IF(I105&lt;&gt;"",_xlfn.XLOOKUP($D$4+I105,$A$26:$A$145,$B$26:$B$145,0) * 1000,"")</f>
        <v/>
      </c>
      <c r="T105" s="52">
        <f t="shared" si="60"/>
        <v>0</v>
      </c>
      <c r="U105" s="53" t="str">
        <f t="shared" si="45"/>
        <v/>
      </c>
      <c r="V105" s="53" t="str">
        <f t="shared" si="46"/>
        <v/>
      </c>
      <c r="W105" s="53" t="str">
        <f t="shared" si="47"/>
        <v/>
      </c>
      <c r="X105" s="46" t="str">
        <f t="shared" si="35"/>
        <v/>
      </c>
      <c r="Y105" s="48"/>
      <c r="Z105" s="41" t="str">
        <f t="shared" si="48"/>
        <v/>
      </c>
      <c r="AA105" s="41" t="str">
        <f t="shared" si="49"/>
        <v/>
      </c>
      <c r="AB105" s="41" t="str">
        <f t="shared" si="36"/>
        <v/>
      </c>
      <c r="AC105" s="41" t="str">
        <f t="shared" si="37"/>
        <v/>
      </c>
      <c r="AD105" s="48"/>
      <c r="AE105" s="41" t="str">
        <f t="shared" si="38"/>
        <v/>
      </c>
      <c r="AF105" s="41"/>
      <c r="AG105" s="41" t="str">
        <f t="shared" si="39"/>
        <v/>
      </c>
      <c r="AH105" s="41" t="str">
        <f t="shared" si="50"/>
        <v/>
      </c>
      <c r="AI105" s="41" t="str">
        <f t="shared" si="51"/>
        <v/>
      </c>
      <c r="AJ105" s="41">
        <f t="shared" si="40"/>
        <v>0</v>
      </c>
      <c r="AK105" s="41" t="str">
        <f t="shared" si="41"/>
        <v/>
      </c>
      <c r="AL105" s="41">
        <f t="shared" si="52"/>
        <v>0</v>
      </c>
      <c r="AM105" s="41">
        <f t="shared" si="42"/>
        <v>0</v>
      </c>
      <c r="AN105" s="41" t="str">
        <f t="shared" si="43"/>
        <v/>
      </c>
      <c r="AO105" s="41">
        <f t="shared" si="59"/>
        <v>0</v>
      </c>
      <c r="AP105" s="48"/>
      <c r="AQ105" s="48"/>
      <c r="AR105" s="48"/>
      <c r="AS105" s="48"/>
      <c r="AT105" s="51">
        <f t="shared" si="53"/>
        <v>101</v>
      </c>
      <c r="AU105" s="49" t="str">
        <f t="shared" si="54"/>
        <v/>
      </c>
      <c r="AV105" s="49" t="str">
        <f t="shared" si="55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0.138971594877288</v>
      </c>
      <c r="C106">
        <f t="shared" si="61"/>
        <v>0.13063329918465072</v>
      </c>
      <c r="D106" s="60"/>
      <c r="E106" s="5"/>
      <c r="F106" s="5"/>
      <c r="I106" s="40"/>
      <c r="J106" s="41"/>
      <c r="K106" s="41" t="str">
        <f t="shared" si="56"/>
        <v/>
      </c>
      <c r="L106" s="42" t="str">
        <f t="shared" si="57"/>
        <v/>
      </c>
      <c r="M106" s="41" t="str">
        <f t="shared" si="58"/>
        <v/>
      </c>
      <c r="N106" s="43">
        <f t="shared" si="31"/>
        <v>0</v>
      </c>
      <c r="O106" s="44">
        <f t="shared" si="32"/>
        <v>0</v>
      </c>
      <c r="P106" s="41" t="str">
        <f t="shared" si="33"/>
        <v/>
      </c>
      <c r="Q106" s="41" t="str">
        <f t="shared" si="34"/>
        <v/>
      </c>
      <c r="R106" s="48"/>
      <c r="S106" s="44" t="str">
        <f>IF(I106&lt;&gt;"",_xlfn.XLOOKUP($D$4+I106,$A$26:$A$145,$B$26:$B$145,0) * 1000,"")</f>
        <v/>
      </c>
      <c r="T106" s="52">
        <f t="shared" si="60"/>
        <v>0</v>
      </c>
      <c r="U106" s="53" t="str">
        <f t="shared" si="45"/>
        <v/>
      </c>
      <c r="V106" s="53" t="str">
        <f t="shared" si="46"/>
        <v/>
      </c>
      <c r="W106" s="53" t="str">
        <f t="shared" si="47"/>
        <v/>
      </c>
      <c r="X106" s="46" t="str">
        <f t="shared" si="35"/>
        <v/>
      </c>
      <c r="Y106" s="48"/>
      <c r="Z106" s="41" t="str">
        <f t="shared" si="48"/>
        <v/>
      </c>
      <c r="AA106" s="41" t="str">
        <f t="shared" si="49"/>
        <v/>
      </c>
      <c r="AB106" s="41" t="str">
        <f t="shared" si="36"/>
        <v/>
      </c>
      <c r="AC106" s="41" t="str">
        <f t="shared" si="37"/>
        <v/>
      </c>
      <c r="AD106" s="48"/>
      <c r="AE106" s="41" t="str">
        <f t="shared" si="38"/>
        <v/>
      </c>
      <c r="AF106" s="41"/>
      <c r="AG106" s="41" t="str">
        <f t="shared" si="39"/>
        <v/>
      </c>
      <c r="AH106" s="41" t="str">
        <f t="shared" si="50"/>
        <v/>
      </c>
      <c r="AI106" s="41" t="str">
        <f t="shared" si="51"/>
        <v/>
      </c>
      <c r="AJ106" s="41">
        <f t="shared" si="40"/>
        <v>0</v>
      </c>
      <c r="AK106" s="41" t="str">
        <f t="shared" si="41"/>
        <v/>
      </c>
      <c r="AL106" s="41">
        <f t="shared" si="52"/>
        <v>0</v>
      </c>
      <c r="AM106" s="41">
        <f t="shared" si="42"/>
        <v>0</v>
      </c>
      <c r="AN106" s="41" t="str">
        <f t="shared" si="43"/>
        <v/>
      </c>
      <c r="AO106" s="41">
        <f t="shared" si="59"/>
        <v>0</v>
      </c>
      <c r="AP106" s="48"/>
      <c r="AQ106" s="48"/>
      <c r="AR106" s="48"/>
      <c r="AS106" s="48"/>
      <c r="AT106" s="51">
        <f t="shared" si="53"/>
        <v>102</v>
      </c>
      <c r="AU106" s="49" t="str">
        <f t="shared" si="54"/>
        <v/>
      </c>
      <c r="AV106" s="49" t="str">
        <f t="shared" si="55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0.154929489977464</v>
      </c>
      <c r="C107">
        <f t="shared" si="61"/>
        <v>0.14563372057881616</v>
      </c>
      <c r="D107" s="60"/>
      <c r="E107" s="5"/>
      <c r="F107" s="5"/>
      <c r="I107" s="40"/>
      <c r="J107" s="41"/>
      <c r="K107" s="41" t="str">
        <f t="shared" si="56"/>
        <v/>
      </c>
      <c r="L107" s="42" t="str">
        <f t="shared" si="57"/>
        <v/>
      </c>
      <c r="M107" s="41" t="str">
        <f t="shared" si="58"/>
        <v/>
      </c>
      <c r="N107" s="43">
        <f t="shared" si="31"/>
        <v>0</v>
      </c>
      <c r="O107" s="44">
        <f t="shared" si="32"/>
        <v>0</v>
      </c>
      <c r="P107" s="41" t="str">
        <f t="shared" si="33"/>
        <v/>
      </c>
      <c r="Q107" s="41" t="str">
        <f t="shared" si="34"/>
        <v/>
      </c>
      <c r="R107" s="48"/>
      <c r="S107" s="44" t="str">
        <f>IF(I107&lt;&gt;"",_xlfn.XLOOKUP($D$4+I107,$A$26:$A$145,$B$26:$B$145,0) * 1000,"")</f>
        <v/>
      </c>
      <c r="T107" s="52">
        <f t="shared" si="60"/>
        <v>0</v>
      </c>
      <c r="U107" s="53" t="str">
        <f t="shared" si="45"/>
        <v/>
      </c>
      <c r="V107" s="53" t="str">
        <f t="shared" si="46"/>
        <v/>
      </c>
      <c r="W107" s="53" t="str">
        <f t="shared" si="47"/>
        <v/>
      </c>
      <c r="X107" s="46" t="str">
        <f t="shared" si="35"/>
        <v/>
      </c>
      <c r="Y107" s="48"/>
      <c r="Z107" s="41" t="str">
        <f t="shared" si="48"/>
        <v/>
      </c>
      <c r="AA107" s="41" t="str">
        <f t="shared" si="49"/>
        <v/>
      </c>
      <c r="AB107" s="41" t="str">
        <f t="shared" si="36"/>
        <v/>
      </c>
      <c r="AC107" s="41" t="str">
        <f t="shared" si="37"/>
        <v/>
      </c>
      <c r="AD107" s="48"/>
      <c r="AE107" s="41" t="str">
        <f t="shared" si="38"/>
        <v/>
      </c>
      <c r="AF107" s="41"/>
      <c r="AG107" s="41" t="str">
        <f t="shared" si="39"/>
        <v/>
      </c>
      <c r="AH107" s="41" t="str">
        <f t="shared" si="50"/>
        <v/>
      </c>
      <c r="AI107" s="41" t="str">
        <f t="shared" si="51"/>
        <v/>
      </c>
      <c r="AJ107" s="41">
        <f t="shared" si="40"/>
        <v>0</v>
      </c>
      <c r="AK107" s="41" t="str">
        <f t="shared" si="41"/>
        <v/>
      </c>
      <c r="AL107" s="41">
        <f t="shared" si="52"/>
        <v>0</v>
      </c>
      <c r="AM107" s="41">
        <f t="shared" si="42"/>
        <v>0</v>
      </c>
      <c r="AN107" s="41" t="str">
        <f t="shared" si="43"/>
        <v/>
      </c>
      <c r="AO107" s="41">
        <f t="shared" si="59"/>
        <v>0</v>
      </c>
      <c r="AP107" s="48"/>
      <c r="AQ107" s="48"/>
      <c r="AR107" s="48"/>
      <c r="AS107" s="48"/>
      <c r="AT107" s="51">
        <f t="shared" si="53"/>
        <v>103</v>
      </c>
      <c r="AU107" s="49" t="str">
        <f t="shared" si="54"/>
        <v/>
      </c>
      <c r="AV107" s="49" t="str">
        <f t="shared" si="55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0.172663864433931</v>
      </c>
      <c r="C108">
        <f t="shared" si="61"/>
        <v>0.16230403256789513</v>
      </c>
      <c r="D108" s="60"/>
      <c r="E108" s="5"/>
      <c r="F108" s="5"/>
      <c r="I108" s="40"/>
      <c r="J108" s="41"/>
      <c r="K108" s="41" t="str">
        <f t="shared" si="56"/>
        <v/>
      </c>
      <c r="L108" s="42" t="str">
        <f t="shared" si="57"/>
        <v/>
      </c>
      <c r="M108" s="41" t="str">
        <f t="shared" si="58"/>
        <v/>
      </c>
      <c r="N108" s="43">
        <f t="shared" si="31"/>
        <v>0</v>
      </c>
      <c r="O108" s="44">
        <f t="shared" si="32"/>
        <v>0</v>
      </c>
      <c r="P108" s="41" t="str">
        <f t="shared" si="33"/>
        <v/>
      </c>
      <c r="Q108" s="41" t="str">
        <f t="shared" si="34"/>
        <v/>
      </c>
      <c r="R108" s="48"/>
      <c r="S108" s="44" t="str">
        <f>IF(I108&lt;&gt;"",_xlfn.XLOOKUP($D$4+I108,$A$26:$A$145,$B$26:$B$145,0) * 1000,"")</f>
        <v/>
      </c>
      <c r="T108" s="52">
        <f t="shared" si="60"/>
        <v>0</v>
      </c>
      <c r="U108" s="53" t="str">
        <f t="shared" si="45"/>
        <v/>
      </c>
      <c r="V108" s="53" t="str">
        <f t="shared" si="46"/>
        <v/>
      </c>
      <c r="W108" s="53" t="str">
        <f t="shared" si="47"/>
        <v/>
      </c>
      <c r="X108" s="46" t="str">
        <f t="shared" si="35"/>
        <v/>
      </c>
      <c r="Y108" s="48"/>
      <c r="Z108" s="41" t="str">
        <f t="shared" si="48"/>
        <v/>
      </c>
      <c r="AA108" s="41" t="str">
        <f t="shared" si="49"/>
        <v/>
      </c>
      <c r="AB108" s="41" t="str">
        <f t="shared" si="36"/>
        <v/>
      </c>
      <c r="AC108" s="41" t="str">
        <f t="shared" si="37"/>
        <v/>
      </c>
      <c r="AD108" s="48"/>
      <c r="AE108" s="41" t="str">
        <f t="shared" si="38"/>
        <v/>
      </c>
      <c r="AF108" s="41"/>
      <c r="AG108" s="41" t="str">
        <f t="shared" si="39"/>
        <v/>
      </c>
      <c r="AH108" s="41" t="str">
        <f t="shared" si="50"/>
        <v/>
      </c>
      <c r="AI108" s="41" t="str">
        <f t="shared" si="51"/>
        <v/>
      </c>
      <c r="AJ108" s="41">
        <f t="shared" si="40"/>
        <v>0</v>
      </c>
      <c r="AK108" s="41" t="str">
        <f t="shared" si="41"/>
        <v/>
      </c>
      <c r="AL108" s="41">
        <f t="shared" si="52"/>
        <v>0</v>
      </c>
      <c r="AM108" s="41">
        <f t="shared" si="42"/>
        <v>0</v>
      </c>
      <c r="AN108" s="41" t="str">
        <f t="shared" si="43"/>
        <v/>
      </c>
      <c r="AO108" s="41">
        <f t="shared" si="59"/>
        <v>0</v>
      </c>
      <c r="AP108" s="48"/>
      <c r="AQ108" s="48"/>
      <c r="AR108" s="48"/>
      <c r="AS108" s="48"/>
      <c r="AT108" s="51">
        <f t="shared" si="53"/>
        <v>104</v>
      </c>
      <c r="AU108" s="49" t="str">
        <f t="shared" si="54"/>
        <v/>
      </c>
      <c r="AV108" s="49" t="str">
        <f t="shared" si="55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0.192415162054977</v>
      </c>
      <c r="C109">
        <f t="shared" si="61"/>
        <v>0.18087025233167836</v>
      </c>
      <c r="D109" s="60"/>
      <c r="E109" s="5"/>
      <c r="F109" s="5"/>
      <c r="I109" s="40"/>
      <c r="J109" s="41"/>
      <c r="K109" s="41" t="str">
        <f t="shared" si="56"/>
        <v/>
      </c>
      <c r="L109" s="42" t="str">
        <f t="shared" si="57"/>
        <v/>
      </c>
      <c r="M109" s="41" t="str">
        <f t="shared" si="58"/>
        <v/>
      </c>
      <c r="N109" s="43">
        <f t="shared" si="31"/>
        <v>0</v>
      </c>
      <c r="O109" s="44">
        <f t="shared" si="32"/>
        <v>0</v>
      </c>
      <c r="P109" s="41" t="str">
        <f t="shared" si="33"/>
        <v/>
      </c>
      <c r="Q109" s="41" t="str">
        <f t="shared" si="34"/>
        <v/>
      </c>
      <c r="R109" s="48"/>
      <c r="S109" s="44" t="str">
        <f>IF(I109&lt;&gt;"",_xlfn.XLOOKUP($D$4+I109,$A$26:$A$145,$B$26:$B$145,0) * 1000,"")</f>
        <v/>
      </c>
      <c r="T109" s="52">
        <f t="shared" si="60"/>
        <v>0</v>
      </c>
      <c r="U109" s="53" t="str">
        <f t="shared" si="45"/>
        <v/>
      </c>
      <c r="V109" s="53" t="str">
        <f t="shared" si="46"/>
        <v/>
      </c>
      <c r="W109" s="53" t="str">
        <f t="shared" si="47"/>
        <v/>
      </c>
      <c r="X109" s="46" t="str">
        <f t="shared" si="35"/>
        <v/>
      </c>
      <c r="Y109" s="48"/>
      <c r="Z109" s="41" t="str">
        <f t="shared" si="48"/>
        <v/>
      </c>
      <c r="AA109" s="41" t="str">
        <f t="shared" si="49"/>
        <v/>
      </c>
      <c r="AB109" s="41" t="str">
        <f t="shared" si="36"/>
        <v/>
      </c>
      <c r="AC109" s="41" t="str">
        <f t="shared" si="37"/>
        <v/>
      </c>
      <c r="AD109" s="48"/>
      <c r="AE109" s="41" t="str">
        <f t="shared" si="38"/>
        <v/>
      </c>
      <c r="AF109" s="41"/>
      <c r="AG109" s="41" t="str">
        <f t="shared" si="39"/>
        <v/>
      </c>
      <c r="AH109" s="41" t="str">
        <f t="shared" si="50"/>
        <v/>
      </c>
      <c r="AI109" s="41" t="str">
        <f t="shared" si="51"/>
        <v/>
      </c>
      <c r="AJ109" s="41">
        <f t="shared" si="40"/>
        <v>0</v>
      </c>
      <c r="AK109" s="41" t="str">
        <f t="shared" si="41"/>
        <v/>
      </c>
      <c r="AL109" s="41">
        <f t="shared" si="52"/>
        <v>0</v>
      </c>
      <c r="AM109" s="41">
        <f t="shared" si="42"/>
        <v>0</v>
      </c>
      <c r="AN109" s="41" t="str">
        <f t="shared" si="43"/>
        <v/>
      </c>
      <c r="AO109" s="41">
        <f t="shared" si="59"/>
        <v>0</v>
      </c>
      <c r="AP109" s="48"/>
      <c r="AQ109" s="48"/>
      <c r="AR109" s="48"/>
      <c r="AS109" s="48"/>
      <c r="AT109" s="51">
        <f t="shared" si="53"/>
        <v>105</v>
      </c>
      <c r="AU109" s="49" t="str">
        <f t="shared" si="54"/>
        <v/>
      </c>
      <c r="AV109" s="49" t="str">
        <f t="shared" si="55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0.21345589701011899</v>
      </c>
      <c r="C110">
        <f t="shared" si="61"/>
        <v>0.20064854318951184</v>
      </c>
      <c r="D110" s="60"/>
      <c r="E110" s="5"/>
      <c r="F110" s="5"/>
      <c r="I110" s="40"/>
      <c r="J110" s="41"/>
      <c r="K110" s="41" t="str">
        <f t="shared" si="56"/>
        <v/>
      </c>
      <c r="L110" s="42" t="str">
        <f t="shared" si="57"/>
        <v/>
      </c>
      <c r="M110" s="41" t="str">
        <f t="shared" si="58"/>
        <v/>
      </c>
      <c r="N110" s="43">
        <f t="shared" si="31"/>
        <v>0</v>
      </c>
      <c r="O110" s="44">
        <f t="shared" si="32"/>
        <v>0</v>
      </c>
      <c r="P110" s="41" t="str">
        <f t="shared" si="33"/>
        <v/>
      </c>
      <c r="Q110" s="41" t="str">
        <f t="shared" si="34"/>
        <v/>
      </c>
      <c r="R110" s="48"/>
      <c r="S110" s="44" t="str">
        <f>IF(I110&lt;&gt;"",_xlfn.XLOOKUP($D$4+I110,$A$26:$A$145,$B$26:$B$145,0) * 1000,"")</f>
        <v/>
      </c>
      <c r="T110" s="52">
        <f t="shared" si="60"/>
        <v>0</v>
      </c>
      <c r="U110" s="53" t="str">
        <f t="shared" si="45"/>
        <v/>
      </c>
      <c r="V110" s="53" t="str">
        <f t="shared" si="46"/>
        <v/>
      </c>
      <c r="W110" s="53" t="str">
        <f t="shared" si="47"/>
        <v/>
      </c>
      <c r="X110" s="46" t="str">
        <f t="shared" si="35"/>
        <v/>
      </c>
      <c r="Y110" s="48"/>
      <c r="Z110" s="41" t="str">
        <f t="shared" si="48"/>
        <v/>
      </c>
      <c r="AA110" s="41" t="str">
        <f t="shared" si="49"/>
        <v/>
      </c>
      <c r="AB110" s="41" t="str">
        <f t="shared" si="36"/>
        <v/>
      </c>
      <c r="AC110" s="41" t="str">
        <f t="shared" si="37"/>
        <v/>
      </c>
      <c r="AD110" s="48"/>
      <c r="AE110" s="41" t="str">
        <f t="shared" si="38"/>
        <v/>
      </c>
      <c r="AF110" s="41"/>
      <c r="AG110" s="41" t="str">
        <f t="shared" si="39"/>
        <v/>
      </c>
      <c r="AH110" s="41" t="str">
        <f t="shared" si="50"/>
        <v/>
      </c>
      <c r="AI110" s="41" t="str">
        <f t="shared" si="51"/>
        <v/>
      </c>
      <c r="AJ110" s="41">
        <f t="shared" si="40"/>
        <v>0</v>
      </c>
      <c r="AK110" s="41" t="str">
        <f t="shared" si="41"/>
        <v/>
      </c>
      <c r="AL110" s="41">
        <f t="shared" si="52"/>
        <v>0</v>
      </c>
      <c r="AM110" s="41">
        <f t="shared" si="42"/>
        <v>0</v>
      </c>
      <c r="AN110" s="41" t="str">
        <f t="shared" si="43"/>
        <v/>
      </c>
      <c r="AO110" s="41">
        <f t="shared" si="59"/>
        <v>0</v>
      </c>
      <c r="AP110" s="48"/>
      <c r="AQ110" s="48"/>
      <c r="AR110" s="48"/>
      <c r="AS110" s="48"/>
      <c r="AT110" s="51">
        <f t="shared" si="53"/>
        <v>106</v>
      </c>
      <c r="AU110" s="49" t="str">
        <f t="shared" si="54"/>
        <v/>
      </c>
      <c r="AV110" s="49" t="str">
        <f t="shared" si="55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0.235114227923437</v>
      </c>
      <c r="C111">
        <f t="shared" si="61"/>
        <v>0.22100737424803077</v>
      </c>
      <c r="D111" s="60"/>
      <c r="E111" s="5"/>
      <c r="F111" s="5"/>
      <c r="I111" s="40"/>
      <c r="J111" s="41"/>
      <c r="K111" s="41" t="str">
        <f t="shared" si="56"/>
        <v/>
      </c>
      <c r="L111" s="42" t="str">
        <f t="shared" si="57"/>
        <v/>
      </c>
      <c r="M111" s="41" t="str">
        <f t="shared" si="58"/>
        <v/>
      </c>
      <c r="N111" s="43">
        <f t="shared" si="31"/>
        <v>0</v>
      </c>
      <c r="O111" s="44">
        <f t="shared" si="32"/>
        <v>0</v>
      </c>
      <c r="P111" s="41" t="str">
        <f t="shared" si="33"/>
        <v/>
      </c>
      <c r="Q111" s="41" t="str">
        <f t="shared" si="34"/>
        <v/>
      </c>
      <c r="R111" s="48"/>
      <c r="S111" s="44" t="str">
        <f>IF(I111&lt;&gt;"",_xlfn.XLOOKUP($D$4+I111,$A$26:$A$145,$B$26:$B$145,0) * 1000,"")</f>
        <v/>
      </c>
      <c r="T111" s="52">
        <f t="shared" si="60"/>
        <v>0</v>
      </c>
      <c r="U111" s="53" t="str">
        <f t="shared" si="45"/>
        <v/>
      </c>
      <c r="V111" s="53" t="str">
        <f t="shared" si="46"/>
        <v/>
      </c>
      <c r="W111" s="53" t="str">
        <f t="shared" si="47"/>
        <v/>
      </c>
      <c r="X111" s="46" t="str">
        <f t="shared" si="35"/>
        <v/>
      </c>
      <c r="Y111" s="48"/>
      <c r="Z111" s="41" t="str">
        <f t="shared" si="48"/>
        <v/>
      </c>
      <c r="AA111" s="41" t="str">
        <f t="shared" si="49"/>
        <v/>
      </c>
      <c r="AB111" s="41" t="str">
        <f t="shared" si="36"/>
        <v/>
      </c>
      <c r="AC111" s="41" t="str">
        <f t="shared" si="37"/>
        <v/>
      </c>
      <c r="AD111" s="48"/>
      <c r="AE111" s="41" t="str">
        <f t="shared" si="38"/>
        <v/>
      </c>
      <c r="AF111" s="41"/>
      <c r="AG111" s="41" t="str">
        <f t="shared" si="39"/>
        <v/>
      </c>
      <c r="AH111" s="41" t="str">
        <f t="shared" si="50"/>
        <v/>
      </c>
      <c r="AI111" s="41" t="str">
        <f t="shared" si="51"/>
        <v/>
      </c>
      <c r="AJ111" s="41">
        <f t="shared" si="40"/>
        <v>0</v>
      </c>
      <c r="AK111" s="41" t="str">
        <f t="shared" si="41"/>
        <v/>
      </c>
      <c r="AL111" s="41">
        <f t="shared" si="52"/>
        <v>0</v>
      </c>
      <c r="AM111" s="41">
        <f t="shared" si="42"/>
        <v>0</v>
      </c>
      <c r="AN111" s="41" t="str">
        <f t="shared" si="43"/>
        <v/>
      </c>
      <c r="AO111" s="41">
        <f t="shared" si="59"/>
        <v>0</v>
      </c>
      <c r="AP111" s="48"/>
      <c r="AQ111" s="48"/>
      <c r="AR111" s="48"/>
      <c r="AS111" s="48"/>
      <c r="AT111" s="51">
        <f t="shared" si="53"/>
        <v>107</v>
      </c>
      <c r="AU111" s="49" t="str">
        <f t="shared" si="54"/>
        <v/>
      </c>
      <c r="AV111" s="49" t="str">
        <f t="shared" si="55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0.258373274024495</v>
      </c>
      <c r="C112">
        <f t="shared" si="61"/>
        <v>0.24287087758302528</v>
      </c>
      <c r="D112" s="60"/>
      <c r="E112" s="5"/>
      <c r="F112" s="5"/>
      <c r="I112" s="40"/>
      <c r="J112" s="41"/>
      <c r="K112" s="41" t="str">
        <f t="shared" si="56"/>
        <v/>
      </c>
      <c r="L112" s="42" t="str">
        <f t="shared" si="57"/>
        <v/>
      </c>
      <c r="M112" s="41" t="str">
        <f t="shared" si="58"/>
        <v/>
      </c>
      <c r="N112" s="43">
        <f t="shared" si="31"/>
        <v>0</v>
      </c>
      <c r="O112" s="44">
        <f t="shared" si="32"/>
        <v>0</v>
      </c>
      <c r="P112" s="41" t="str">
        <f t="shared" si="33"/>
        <v/>
      </c>
      <c r="Q112" s="41" t="str">
        <f t="shared" si="34"/>
        <v/>
      </c>
      <c r="R112" s="48"/>
      <c r="S112" s="44" t="str">
        <f>IF(I112&lt;&gt;"",_xlfn.XLOOKUP($D$4+I112,$A$26:$A$145,$B$26:$B$145,0) * 1000,"")</f>
        <v/>
      </c>
      <c r="T112" s="52">
        <f t="shared" si="60"/>
        <v>0</v>
      </c>
      <c r="U112" s="53" t="str">
        <f t="shared" si="45"/>
        <v/>
      </c>
      <c r="V112" s="53" t="str">
        <f t="shared" si="46"/>
        <v/>
      </c>
      <c r="W112" s="53" t="str">
        <f t="shared" si="47"/>
        <v/>
      </c>
      <c r="X112" s="46" t="str">
        <f t="shared" si="35"/>
        <v/>
      </c>
      <c r="Y112" s="48"/>
      <c r="Z112" s="41" t="str">
        <f t="shared" si="48"/>
        <v/>
      </c>
      <c r="AA112" s="41" t="str">
        <f t="shared" si="49"/>
        <v/>
      </c>
      <c r="AB112" s="41" t="str">
        <f t="shared" si="36"/>
        <v/>
      </c>
      <c r="AC112" s="41" t="str">
        <f t="shared" si="37"/>
        <v/>
      </c>
      <c r="AD112" s="48"/>
      <c r="AE112" s="41" t="str">
        <f t="shared" si="38"/>
        <v/>
      </c>
      <c r="AF112" s="41"/>
      <c r="AG112" s="41" t="str">
        <f t="shared" si="39"/>
        <v/>
      </c>
      <c r="AH112" s="41" t="str">
        <f t="shared" si="50"/>
        <v/>
      </c>
      <c r="AI112" s="41" t="str">
        <f t="shared" si="51"/>
        <v/>
      </c>
      <c r="AJ112" s="41">
        <f t="shared" si="40"/>
        <v>0</v>
      </c>
      <c r="AK112" s="41" t="str">
        <f t="shared" si="41"/>
        <v/>
      </c>
      <c r="AL112" s="41">
        <f t="shared" si="52"/>
        <v>0</v>
      </c>
      <c r="AM112" s="41">
        <f t="shared" si="42"/>
        <v>0</v>
      </c>
      <c r="AN112" s="41" t="str">
        <f t="shared" si="43"/>
        <v/>
      </c>
      <c r="AO112" s="41">
        <f t="shared" si="59"/>
        <v>0</v>
      </c>
      <c r="AP112" s="48"/>
      <c r="AQ112" s="48"/>
      <c r="AR112" s="48"/>
      <c r="AS112" s="48"/>
      <c r="AT112" s="51">
        <f t="shared" si="53"/>
        <v>108</v>
      </c>
      <c r="AU112" s="49" t="str">
        <f t="shared" si="54"/>
        <v/>
      </c>
      <c r="AV112" s="49" t="str">
        <f t="shared" si="55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0.28305409642479801</v>
      </c>
      <c r="C113">
        <f t="shared" si="61"/>
        <v>0.26607085063931013</v>
      </c>
      <c r="D113" s="60"/>
      <c r="E113" s="5"/>
      <c r="F113" s="5"/>
      <c r="I113" s="40"/>
      <c r="J113" s="41"/>
      <c r="K113" s="41" t="str">
        <f t="shared" si="56"/>
        <v/>
      </c>
      <c r="L113" s="42" t="str">
        <f t="shared" si="57"/>
        <v/>
      </c>
      <c r="M113" s="41" t="str">
        <f t="shared" si="58"/>
        <v/>
      </c>
      <c r="N113" s="43">
        <f t="shared" si="31"/>
        <v>0</v>
      </c>
      <c r="O113" s="44">
        <f t="shared" si="32"/>
        <v>0</v>
      </c>
      <c r="P113" s="41" t="str">
        <f t="shared" si="33"/>
        <v/>
      </c>
      <c r="Q113" s="41" t="str">
        <f t="shared" si="34"/>
        <v/>
      </c>
      <c r="R113" s="48"/>
      <c r="S113" s="44" t="str">
        <f>IF(I113&lt;&gt;"",_xlfn.XLOOKUP($D$4+I113,$A$26:$A$145,$B$26:$B$145,0) * 1000,"")</f>
        <v/>
      </c>
      <c r="T113" s="52">
        <f t="shared" si="60"/>
        <v>0</v>
      </c>
      <c r="U113" s="53" t="str">
        <f t="shared" si="45"/>
        <v/>
      </c>
      <c r="V113" s="53" t="str">
        <f t="shared" si="46"/>
        <v/>
      </c>
      <c r="W113" s="53" t="str">
        <f t="shared" si="47"/>
        <v/>
      </c>
      <c r="X113" s="46" t="str">
        <f t="shared" si="35"/>
        <v/>
      </c>
      <c r="Y113" s="48"/>
      <c r="Z113" s="41" t="str">
        <f t="shared" si="48"/>
        <v/>
      </c>
      <c r="AA113" s="41" t="str">
        <f t="shared" si="49"/>
        <v/>
      </c>
      <c r="AB113" s="41" t="str">
        <f t="shared" si="36"/>
        <v/>
      </c>
      <c r="AC113" s="41" t="str">
        <f t="shared" si="37"/>
        <v/>
      </c>
      <c r="AD113" s="48"/>
      <c r="AE113" s="41" t="str">
        <f t="shared" si="38"/>
        <v/>
      </c>
      <c r="AF113" s="41"/>
      <c r="AG113" s="41" t="str">
        <f t="shared" si="39"/>
        <v/>
      </c>
      <c r="AH113" s="41" t="str">
        <f t="shared" si="50"/>
        <v/>
      </c>
      <c r="AI113" s="41" t="str">
        <f t="shared" si="51"/>
        <v/>
      </c>
      <c r="AJ113" s="41">
        <f t="shared" si="40"/>
        <v>0</v>
      </c>
      <c r="AK113" s="41" t="str">
        <f t="shared" si="41"/>
        <v/>
      </c>
      <c r="AL113" s="41">
        <f t="shared" si="52"/>
        <v>0</v>
      </c>
      <c r="AM113" s="41">
        <f t="shared" si="42"/>
        <v>0</v>
      </c>
      <c r="AN113" s="41" t="str">
        <f t="shared" si="43"/>
        <v/>
      </c>
      <c r="AO113" s="41">
        <f t="shared" si="59"/>
        <v>0</v>
      </c>
      <c r="AP113" s="48"/>
      <c r="AQ113" s="48"/>
      <c r="AR113" s="48"/>
      <c r="AS113" s="48"/>
      <c r="AT113" s="51">
        <f t="shared" si="53"/>
        <v>109</v>
      </c>
      <c r="AU113" s="49" t="str">
        <f t="shared" si="54"/>
        <v/>
      </c>
      <c r="AV113" s="49" t="str">
        <f t="shared" si="55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0.30971449474048401</v>
      </c>
      <c r="C114">
        <f t="shared" si="61"/>
        <v>0.29113162505605494</v>
      </c>
      <c r="D114" s="60"/>
      <c r="E114" s="5"/>
      <c r="F114" s="5"/>
      <c r="I114" s="40"/>
      <c r="J114" s="41"/>
      <c r="K114" s="41" t="str">
        <f t="shared" si="56"/>
        <v/>
      </c>
      <c r="L114" s="42" t="str">
        <f t="shared" si="57"/>
        <v/>
      </c>
      <c r="M114" s="41" t="str">
        <f t="shared" si="58"/>
        <v/>
      </c>
      <c r="N114" s="43">
        <f t="shared" si="31"/>
        <v>0</v>
      </c>
      <c r="O114" s="44">
        <f t="shared" si="32"/>
        <v>0</v>
      </c>
      <c r="P114" s="41" t="str">
        <f t="shared" si="33"/>
        <v/>
      </c>
      <c r="Q114" s="41" t="str">
        <f t="shared" si="34"/>
        <v/>
      </c>
      <c r="R114" s="48"/>
      <c r="S114" s="44" t="str">
        <f>IF(I114&lt;&gt;"",_xlfn.XLOOKUP($D$4+I114,$A$26:$A$145,$B$26:$B$145,0) * 1000,"")</f>
        <v/>
      </c>
      <c r="T114" s="52">
        <f t="shared" si="60"/>
        <v>0</v>
      </c>
      <c r="U114" s="53" t="str">
        <f t="shared" si="45"/>
        <v/>
      </c>
      <c r="V114" s="53" t="str">
        <f t="shared" si="46"/>
        <v/>
      </c>
      <c r="W114" s="53" t="str">
        <f t="shared" si="47"/>
        <v/>
      </c>
      <c r="X114" s="46" t="str">
        <f t="shared" si="35"/>
        <v/>
      </c>
      <c r="Y114" s="48"/>
      <c r="Z114" s="41" t="str">
        <f t="shared" si="48"/>
        <v/>
      </c>
      <c r="AA114" s="41" t="str">
        <f t="shared" si="49"/>
        <v/>
      </c>
      <c r="AB114" s="41" t="str">
        <f t="shared" si="36"/>
        <v/>
      </c>
      <c r="AC114" s="41" t="str">
        <f t="shared" si="37"/>
        <v/>
      </c>
      <c r="AD114" s="48"/>
      <c r="AE114" s="41" t="str">
        <f t="shared" si="38"/>
        <v/>
      </c>
      <c r="AF114" s="41"/>
      <c r="AG114" s="41" t="str">
        <f t="shared" si="39"/>
        <v/>
      </c>
      <c r="AH114" s="41" t="str">
        <f t="shared" si="50"/>
        <v/>
      </c>
      <c r="AI114" s="41" t="str">
        <f t="shared" si="51"/>
        <v/>
      </c>
      <c r="AJ114" s="41">
        <f t="shared" si="40"/>
        <v>0</v>
      </c>
      <c r="AK114" s="41" t="str">
        <f t="shared" si="41"/>
        <v/>
      </c>
      <c r="AL114" s="41">
        <f t="shared" si="52"/>
        <v>0</v>
      </c>
      <c r="AM114" s="41">
        <f t="shared" si="42"/>
        <v>0</v>
      </c>
      <c r="AN114" s="41" t="str">
        <f t="shared" si="43"/>
        <v/>
      </c>
      <c r="AO114" s="41">
        <f t="shared" si="59"/>
        <v>0</v>
      </c>
      <c r="AP114" s="48"/>
      <c r="AQ114" s="48"/>
      <c r="AR114" s="48"/>
      <c r="AS114" s="48"/>
      <c r="AT114" s="51">
        <f t="shared" si="53"/>
        <v>110</v>
      </c>
      <c r="AU114" s="49" t="str">
        <f t="shared" si="54"/>
        <v/>
      </c>
      <c r="AV114" s="49" t="str">
        <f t="shared" si="55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0.338546454290924</v>
      </c>
      <c r="C115">
        <f t="shared" si="61"/>
        <v>0.31823366703346856</v>
      </c>
      <c r="D115" s="60"/>
      <c r="E115" s="5"/>
      <c r="F115" s="5"/>
      <c r="I115" s="40"/>
      <c r="J115" s="41"/>
      <c r="K115" s="41" t="str">
        <f t="shared" si="56"/>
        <v/>
      </c>
      <c r="L115" s="42" t="str">
        <f t="shared" si="57"/>
        <v/>
      </c>
      <c r="M115" s="41" t="str">
        <f t="shared" si="58"/>
        <v/>
      </c>
      <c r="N115" s="43">
        <f t="shared" si="31"/>
        <v>0</v>
      </c>
      <c r="O115" s="44">
        <f t="shared" si="32"/>
        <v>0</v>
      </c>
      <c r="P115" s="41" t="str">
        <f t="shared" si="33"/>
        <v/>
      </c>
      <c r="Q115" s="41" t="str">
        <f t="shared" si="34"/>
        <v/>
      </c>
      <c r="R115" s="48"/>
      <c r="S115" s="44" t="str">
        <f>IF(I115&lt;&gt;"",_xlfn.XLOOKUP($D$4+I115,$A$26:$A$145,$B$26:$B$145,0) * 1000,"")</f>
        <v/>
      </c>
      <c r="T115" s="52">
        <f t="shared" si="60"/>
        <v>0</v>
      </c>
      <c r="U115" s="53" t="str">
        <f t="shared" si="45"/>
        <v/>
      </c>
      <c r="V115" s="53" t="str">
        <f t="shared" si="46"/>
        <v/>
      </c>
      <c r="W115" s="53" t="str">
        <f t="shared" si="47"/>
        <v/>
      </c>
      <c r="X115" s="46" t="str">
        <f t="shared" si="35"/>
        <v/>
      </c>
      <c r="Y115" s="48"/>
      <c r="Z115" s="41" t="str">
        <f t="shared" si="48"/>
        <v/>
      </c>
      <c r="AA115" s="41" t="str">
        <f t="shared" si="49"/>
        <v/>
      </c>
      <c r="AB115" s="41" t="str">
        <f t="shared" si="36"/>
        <v/>
      </c>
      <c r="AC115" s="41" t="str">
        <f t="shared" si="37"/>
        <v/>
      </c>
      <c r="AD115" s="48"/>
      <c r="AE115" s="41" t="str">
        <f t="shared" si="38"/>
        <v/>
      </c>
      <c r="AF115" s="41"/>
      <c r="AG115" s="41" t="str">
        <f t="shared" si="39"/>
        <v/>
      </c>
      <c r="AH115" s="41" t="str">
        <f t="shared" si="50"/>
        <v/>
      </c>
      <c r="AI115" s="41" t="str">
        <f t="shared" si="51"/>
        <v/>
      </c>
      <c r="AJ115" s="41">
        <f t="shared" si="40"/>
        <v>0</v>
      </c>
      <c r="AK115" s="41" t="str">
        <f t="shared" si="41"/>
        <v/>
      </c>
      <c r="AL115" s="41">
        <f t="shared" si="52"/>
        <v>0</v>
      </c>
      <c r="AM115" s="41">
        <f t="shared" si="42"/>
        <v>0</v>
      </c>
      <c r="AN115" s="41" t="str">
        <f t="shared" si="43"/>
        <v/>
      </c>
      <c r="AO115" s="41">
        <f t="shared" si="59"/>
        <v>0</v>
      </c>
      <c r="AP115" s="48"/>
      <c r="AQ115" s="48"/>
      <c r="AR115" s="48"/>
      <c r="AS115" s="48"/>
      <c r="AT115" s="51">
        <f t="shared" si="53"/>
        <v>111</v>
      </c>
      <c r="AU115" s="49" t="str">
        <f t="shared" si="54"/>
        <v/>
      </c>
      <c r="AV115" s="49" t="str">
        <f t="shared" si="55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0.36651070304789002</v>
      </c>
      <c r="C116">
        <f t="shared" si="61"/>
        <v>0.34452006086501658</v>
      </c>
      <c r="D116" s="60"/>
      <c r="E116" s="5"/>
      <c r="F116" s="5"/>
      <c r="I116" s="40"/>
      <c r="J116" s="41"/>
      <c r="K116" s="41" t="str">
        <f t="shared" si="56"/>
        <v/>
      </c>
      <c r="L116" s="42" t="str">
        <f t="shared" si="57"/>
        <v/>
      </c>
      <c r="M116" s="41" t="str">
        <f t="shared" si="58"/>
        <v/>
      </c>
      <c r="N116" s="43">
        <f t="shared" si="31"/>
        <v>0</v>
      </c>
      <c r="O116" s="44">
        <f t="shared" si="32"/>
        <v>0</v>
      </c>
      <c r="P116" s="41" t="str">
        <f t="shared" si="33"/>
        <v/>
      </c>
      <c r="Q116" s="41" t="str">
        <f t="shared" si="34"/>
        <v/>
      </c>
      <c r="R116" s="48"/>
      <c r="S116" s="44" t="str">
        <f>IF(I116&lt;&gt;"",_xlfn.XLOOKUP($D$4+I116,$A$26:$A$145,$B$26:$B$145,0) * 1000,"")</f>
        <v/>
      </c>
      <c r="T116" s="52">
        <f t="shared" si="60"/>
        <v>0</v>
      </c>
      <c r="U116" s="53" t="str">
        <f t="shared" si="45"/>
        <v/>
      </c>
      <c r="V116" s="53" t="str">
        <f t="shared" si="46"/>
        <v/>
      </c>
      <c r="W116" s="53" t="str">
        <f t="shared" si="47"/>
        <v/>
      </c>
      <c r="X116" s="46" t="str">
        <f t="shared" si="35"/>
        <v/>
      </c>
      <c r="Y116" s="48"/>
      <c r="Z116" s="41" t="str">
        <f t="shared" si="48"/>
        <v/>
      </c>
      <c r="AA116" s="41" t="str">
        <f t="shared" si="49"/>
        <v/>
      </c>
      <c r="AB116" s="41" t="str">
        <f t="shared" si="36"/>
        <v/>
      </c>
      <c r="AC116" s="41" t="str">
        <f t="shared" si="37"/>
        <v/>
      </c>
      <c r="AD116" s="48"/>
      <c r="AE116" s="41" t="str">
        <f t="shared" si="38"/>
        <v/>
      </c>
      <c r="AF116" s="41"/>
      <c r="AG116" s="41" t="str">
        <f t="shared" si="39"/>
        <v/>
      </c>
      <c r="AH116" s="41" t="str">
        <f t="shared" si="50"/>
        <v/>
      </c>
      <c r="AI116" s="41" t="str">
        <f t="shared" si="51"/>
        <v/>
      </c>
      <c r="AJ116" s="41">
        <f t="shared" si="40"/>
        <v>0</v>
      </c>
      <c r="AK116" s="41" t="str">
        <f t="shared" si="41"/>
        <v/>
      </c>
      <c r="AL116" s="41">
        <f t="shared" si="52"/>
        <v>0</v>
      </c>
      <c r="AM116" s="41">
        <f t="shared" si="42"/>
        <v>0</v>
      </c>
      <c r="AN116" s="41" t="str">
        <f t="shared" si="43"/>
        <v/>
      </c>
      <c r="AO116" s="41">
        <f t="shared" si="59"/>
        <v>0</v>
      </c>
      <c r="AP116" s="48"/>
      <c r="AQ116" s="48"/>
      <c r="AR116" s="48"/>
      <c r="AS116" s="48"/>
      <c r="AT116" s="51">
        <f t="shared" si="53"/>
        <v>112</v>
      </c>
      <c r="AU116" s="49" t="str">
        <f t="shared" si="54"/>
        <v/>
      </c>
      <c r="AV116" s="49" t="str">
        <f t="shared" si="55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0.39596185015808499</v>
      </c>
      <c r="C117">
        <f t="shared" si="61"/>
        <v>0.3722041391485999</v>
      </c>
      <c r="D117" s="60"/>
      <c r="E117" s="5"/>
      <c r="F117" s="5"/>
      <c r="I117" s="40"/>
      <c r="J117" s="41"/>
      <c r="K117" s="41" t="str">
        <f t="shared" si="56"/>
        <v/>
      </c>
      <c r="L117" s="42" t="str">
        <f t="shared" si="57"/>
        <v/>
      </c>
      <c r="M117" s="41" t="str">
        <f t="shared" si="58"/>
        <v/>
      </c>
      <c r="N117" s="43">
        <f t="shared" si="31"/>
        <v>0</v>
      </c>
      <c r="O117" s="44">
        <f t="shared" si="32"/>
        <v>0</v>
      </c>
      <c r="P117" s="41" t="str">
        <f t="shared" si="33"/>
        <v/>
      </c>
      <c r="Q117" s="41" t="str">
        <f t="shared" si="34"/>
        <v/>
      </c>
      <c r="R117" s="48"/>
      <c r="S117" s="44" t="str">
        <f>IF(I117&lt;&gt;"",_xlfn.XLOOKUP($D$4+I117,$A$26:$A$145,$B$26:$B$145,0) * 1000,"")</f>
        <v/>
      </c>
      <c r="T117" s="52">
        <f t="shared" si="60"/>
        <v>0</v>
      </c>
      <c r="U117" s="53" t="str">
        <f t="shared" si="45"/>
        <v/>
      </c>
      <c r="V117" s="53" t="str">
        <f t="shared" si="46"/>
        <v/>
      </c>
      <c r="W117" s="53" t="str">
        <f t="shared" si="47"/>
        <v/>
      </c>
      <c r="X117" s="46" t="str">
        <f t="shared" si="35"/>
        <v/>
      </c>
      <c r="Y117" s="48"/>
      <c r="Z117" s="41" t="str">
        <f t="shared" si="48"/>
        <v/>
      </c>
      <c r="AA117" s="41" t="str">
        <f t="shared" si="49"/>
        <v/>
      </c>
      <c r="AB117" s="41" t="str">
        <f t="shared" si="36"/>
        <v/>
      </c>
      <c r="AC117" s="41" t="str">
        <f t="shared" si="37"/>
        <v/>
      </c>
      <c r="AD117" s="48"/>
      <c r="AE117" s="41" t="str">
        <f t="shared" si="38"/>
        <v/>
      </c>
      <c r="AF117" s="41"/>
      <c r="AG117" s="41" t="str">
        <f t="shared" si="39"/>
        <v/>
      </c>
      <c r="AH117" s="41" t="str">
        <f t="shared" si="50"/>
        <v/>
      </c>
      <c r="AI117" s="41" t="str">
        <f t="shared" si="51"/>
        <v/>
      </c>
      <c r="AJ117" s="41">
        <f t="shared" si="40"/>
        <v>0</v>
      </c>
      <c r="AK117" s="41" t="str">
        <f t="shared" si="41"/>
        <v/>
      </c>
      <c r="AL117" s="41">
        <f t="shared" si="52"/>
        <v>0</v>
      </c>
      <c r="AM117" s="41">
        <f t="shared" si="42"/>
        <v>0</v>
      </c>
      <c r="AN117" s="41" t="str">
        <f t="shared" si="43"/>
        <v/>
      </c>
      <c r="AO117" s="41">
        <f t="shared" si="59"/>
        <v>0</v>
      </c>
      <c r="AP117" s="48"/>
      <c r="AQ117" s="48"/>
      <c r="AR117" s="48"/>
      <c r="AS117" s="48"/>
      <c r="AT117" s="51">
        <f t="shared" si="53"/>
        <v>113</v>
      </c>
      <c r="AU117" s="49" t="str">
        <f t="shared" si="54"/>
        <v/>
      </c>
      <c r="AV117" s="49" t="str">
        <f t="shared" si="55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0.42599171766504201</v>
      </c>
      <c r="C118">
        <f t="shared" si="61"/>
        <v>0.40043221460513945</v>
      </c>
      <c r="D118" s="60"/>
      <c r="E118" s="5"/>
      <c r="F118" s="5"/>
      <c r="I118" s="40"/>
      <c r="J118" s="41"/>
      <c r="K118" s="41" t="str">
        <f t="shared" si="56"/>
        <v/>
      </c>
      <c r="L118" s="42" t="str">
        <f t="shared" si="57"/>
        <v/>
      </c>
      <c r="M118" s="41" t="str">
        <f t="shared" si="58"/>
        <v/>
      </c>
      <c r="N118" s="43">
        <f t="shared" si="31"/>
        <v>0</v>
      </c>
      <c r="O118" s="44">
        <f t="shared" si="32"/>
        <v>0</v>
      </c>
      <c r="P118" s="41" t="str">
        <f t="shared" si="33"/>
        <v/>
      </c>
      <c r="Q118" s="41" t="str">
        <f t="shared" si="34"/>
        <v/>
      </c>
      <c r="R118" s="48"/>
      <c r="S118" s="44" t="str">
        <f>IF(I118&lt;&gt;"",_xlfn.XLOOKUP($D$4+I118,$A$26:$A$145,$B$26:$B$145,0) * 1000,"")</f>
        <v/>
      </c>
      <c r="T118" s="52">
        <f t="shared" si="60"/>
        <v>0</v>
      </c>
      <c r="U118" s="53" t="str">
        <f t="shared" si="45"/>
        <v/>
      </c>
      <c r="V118" s="53" t="str">
        <f t="shared" si="46"/>
        <v/>
      </c>
      <c r="W118" s="53" t="str">
        <f t="shared" si="47"/>
        <v/>
      </c>
      <c r="X118" s="46" t="str">
        <f t="shared" si="35"/>
        <v/>
      </c>
      <c r="Y118" s="48"/>
      <c r="Z118" s="41" t="str">
        <f t="shared" si="48"/>
        <v/>
      </c>
      <c r="AA118" s="41" t="str">
        <f t="shared" si="49"/>
        <v/>
      </c>
      <c r="AB118" s="41" t="str">
        <f t="shared" si="36"/>
        <v/>
      </c>
      <c r="AC118" s="41" t="str">
        <f t="shared" si="37"/>
        <v/>
      </c>
      <c r="AD118" s="48"/>
      <c r="AE118" s="41" t="str">
        <f t="shared" si="38"/>
        <v/>
      </c>
      <c r="AF118" s="41"/>
      <c r="AG118" s="41" t="str">
        <f t="shared" si="39"/>
        <v/>
      </c>
      <c r="AH118" s="41" t="str">
        <f t="shared" si="50"/>
        <v/>
      </c>
      <c r="AI118" s="41" t="str">
        <f t="shared" si="51"/>
        <v/>
      </c>
      <c r="AJ118" s="41">
        <f t="shared" si="40"/>
        <v>0</v>
      </c>
      <c r="AK118" s="41" t="str">
        <f t="shared" si="41"/>
        <v/>
      </c>
      <c r="AL118" s="41">
        <f t="shared" si="52"/>
        <v>0</v>
      </c>
      <c r="AM118" s="41">
        <f t="shared" si="42"/>
        <v>0</v>
      </c>
      <c r="AN118" s="41" t="str">
        <f t="shared" si="43"/>
        <v/>
      </c>
      <c r="AO118" s="41">
        <f t="shared" si="59"/>
        <v>0</v>
      </c>
      <c r="AP118" s="48"/>
      <c r="AQ118" s="48"/>
      <c r="AR118" s="48"/>
      <c r="AS118" s="48"/>
      <c r="AT118" s="51">
        <f t="shared" si="53"/>
        <v>114</v>
      </c>
      <c r="AU118" s="49" t="str">
        <f t="shared" si="54"/>
        <v/>
      </c>
      <c r="AV118" s="49" t="str">
        <f t="shared" si="55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0.45613076116729001</v>
      </c>
      <c r="C119">
        <f t="shared" si="61"/>
        <v>0.42876291549725259</v>
      </c>
      <c r="D119" s="60"/>
      <c r="E119" s="5"/>
      <c r="F119" s="5"/>
      <c r="I119" s="40"/>
      <c r="J119" s="41"/>
      <c r="K119" s="41" t="str">
        <f t="shared" si="56"/>
        <v/>
      </c>
      <c r="L119" s="42" t="str">
        <f t="shared" si="57"/>
        <v/>
      </c>
      <c r="M119" s="41" t="str">
        <f t="shared" si="58"/>
        <v/>
      </c>
      <c r="N119" s="43">
        <f t="shared" si="31"/>
        <v>0</v>
      </c>
      <c r="O119" s="44">
        <f t="shared" si="32"/>
        <v>0</v>
      </c>
      <c r="P119" s="41" t="str">
        <f t="shared" si="33"/>
        <v/>
      </c>
      <c r="Q119" s="41" t="str">
        <f t="shared" si="34"/>
        <v/>
      </c>
      <c r="R119" s="48"/>
      <c r="S119" s="44" t="str">
        <f>IF(I119&lt;&gt;"",_xlfn.XLOOKUP($D$4+I119,$A$26:$A$145,$B$26:$B$145,0) * 1000,"")</f>
        <v/>
      </c>
      <c r="T119" s="52">
        <f t="shared" si="60"/>
        <v>0</v>
      </c>
      <c r="U119" s="53" t="str">
        <f t="shared" si="45"/>
        <v/>
      </c>
      <c r="V119" s="53" t="str">
        <f t="shared" si="46"/>
        <v/>
      </c>
      <c r="W119" s="53" t="str">
        <f t="shared" si="47"/>
        <v/>
      </c>
      <c r="X119" s="46" t="str">
        <f t="shared" si="35"/>
        <v/>
      </c>
      <c r="Y119" s="48"/>
      <c r="Z119" s="41" t="str">
        <f t="shared" si="48"/>
        <v/>
      </c>
      <c r="AA119" s="41" t="str">
        <f t="shared" si="49"/>
        <v/>
      </c>
      <c r="AB119" s="41" t="str">
        <f t="shared" si="36"/>
        <v/>
      </c>
      <c r="AC119" s="41" t="str">
        <f t="shared" si="37"/>
        <v/>
      </c>
      <c r="AD119" s="48"/>
      <c r="AE119" s="41" t="str">
        <f t="shared" si="38"/>
        <v/>
      </c>
      <c r="AF119" s="41"/>
      <c r="AG119" s="41" t="str">
        <f t="shared" si="39"/>
        <v/>
      </c>
      <c r="AH119" s="41" t="str">
        <f t="shared" si="50"/>
        <v/>
      </c>
      <c r="AI119" s="41" t="str">
        <f t="shared" si="51"/>
        <v/>
      </c>
      <c r="AJ119" s="41">
        <f t="shared" si="40"/>
        <v>0</v>
      </c>
      <c r="AK119" s="41" t="str">
        <f t="shared" si="41"/>
        <v/>
      </c>
      <c r="AL119" s="41">
        <f t="shared" si="52"/>
        <v>0</v>
      </c>
      <c r="AM119" s="41">
        <f t="shared" si="42"/>
        <v>0</v>
      </c>
      <c r="AN119" s="41" t="str">
        <f t="shared" si="43"/>
        <v/>
      </c>
      <c r="AO119" s="41">
        <f t="shared" si="59"/>
        <v>0</v>
      </c>
      <c r="AP119" s="48"/>
      <c r="AQ119" s="48"/>
      <c r="AR119" s="48"/>
      <c r="AS119" s="48"/>
      <c r="AT119" s="51">
        <f t="shared" si="53"/>
        <v>115</v>
      </c>
      <c r="AU119" s="49" t="str">
        <f t="shared" si="54"/>
        <v/>
      </c>
      <c r="AV119" s="49" t="str">
        <f t="shared" si="55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0.48746995085940698</v>
      </c>
      <c r="C120">
        <f t="shared" si="61"/>
        <v>0.45822175380784252</v>
      </c>
      <c r="D120" s="60"/>
      <c r="E120" s="5"/>
      <c r="F120" s="5"/>
      <c r="I120" s="40"/>
      <c r="J120" s="41"/>
      <c r="K120" s="41" t="str">
        <f t="shared" si="56"/>
        <v/>
      </c>
      <c r="L120" s="42" t="str">
        <f t="shared" si="57"/>
        <v/>
      </c>
      <c r="M120" s="41" t="str">
        <f t="shared" si="58"/>
        <v/>
      </c>
      <c r="N120" s="43">
        <f t="shared" si="31"/>
        <v>0</v>
      </c>
      <c r="O120" s="44">
        <f t="shared" si="32"/>
        <v>0</v>
      </c>
      <c r="P120" s="41" t="str">
        <f t="shared" si="33"/>
        <v/>
      </c>
      <c r="Q120" s="41" t="str">
        <f t="shared" si="34"/>
        <v/>
      </c>
      <c r="R120" s="48"/>
      <c r="S120" s="44" t="str">
        <f>IF(I120&lt;&gt;"",_xlfn.XLOOKUP($D$4+I120,$A$26:$A$145,$B$26:$B$145,0) * 1000,"")</f>
        <v/>
      </c>
      <c r="T120" s="52">
        <f t="shared" si="60"/>
        <v>0</v>
      </c>
      <c r="U120" s="53" t="str">
        <f t="shared" si="45"/>
        <v/>
      </c>
      <c r="V120" s="53" t="str">
        <f t="shared" si="46"/>
        <v/>
      </c>
      <c r="W120" s="53" t="str">
        <f t="shared" si="47"/>
        <v/>
      </c>
      <c r="X120" s="46" t="str">
        <f t="shared" si="35"/>
        <v/>
      </c>
      <c r="Y120" s="48"/>
      <c r="Z120" s="41" t="str">
        <f t="shared" si="48"/>
        <v/>
      </c>
      <c r="AA120" s="41" t="str">
        <f t="shared" si="49"/>
        <v/>
      </c>
      <c r="AB120" s="41" t="str">
        <f t="shared" si="36"/>
        <v/>
      </c>
      <c r="AC120" s="41" t="str">
        <f t="shared" si="37"/>
        <v/>
      </c>
      <c r="AD120" s="48"/>
      <c r="AE120" s="41" t="str">
        <f t="shared" si="38"/>
        <v/>
      </c>
      <c r="AF120" s="41"/>
      <c r="AG120" s="41" t="str">
        <f t="shared" si="39"/>
        <v/>
      </c>
      <c r="AH120" s="41" t="str">
        <f t="shared" si="50"/>
        <v/>
      </c>
      <c r="AI120" s="41" t="str">
        <f t="shared" si="51"/>
        <v/>
      </c>
      <c r="AJ120" s="41">
        <f t="shared" si="40"/>
        <v>0</v>
      </c>
      <c r="AK120" s="41" t="str">
        <f t="shared" si="41"/>
        <v/>
      </c>
      <c r="AL120" s="41">
        <f t="shared" si="52"/>
        <v>0</v>
      </c>
      <c r="AM120" s="41">
        <f t="shared" si="42"/>
        <v>0</v>
      </c>
      <c r="AN120" s="41" t="str">
        <f t="shared" si="43"/>
        <v/>
      </c>
      <c r="AO120" s="41">
        <f t="shared" si="59"/>
        <v>0</v>
      </c>
      <c r="AP120" s="48"/>
      <c r="AQ120" s="48"/>
      <c r="AR120" s="48"/>
      <c r="AS120" s="48"/>
      <c r="AT120" s="51">
        <f t="shared" si="53"/>
        <v>116</v>
      </c>
      <c r="AU120" s="49" t="str">
        <f t="shared" si="54"/>
        <v/>
      </c>
      <c r="AV120" s="49" t="str">
        <f t="shared" si="55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0.518631734433733</v>
      </c>
      <c r="C121">
        <f t="shared" si="61"/>
        <v>0.48751383036770901</v>
      </c>
      <c r="D121" s="60"/>
      <c r="E121" s="5"/>
      <c r="F121" s="5"/>
      <c r="I121" s="40"/>
      <c r="J121" s="41"/>
      <c r="K121" s="41" t="str">
        <f t="shared" si="56"/>
        <v/>
      </c>
      <c r="L121" s="42" t="str">
        <f t="shared" si="57"/>
        <v/>
      </c>
      <c r="M121" s="41" t="str">
        <f t="shared" si="58"/>
        <v/>
      </c>
      <c r="N121" s="43">
        <f t="shared" si="31"/>
        <v>0</v>
      </c>
      <c r="O121" s="44">
        <f t="shared" si="32"/>
        <v>0</v>
      </c>
      <c r="P121" s="41" t="str">
        <f t="shared" si="33"/>
        <v/>
      </c>
      <c r="Q121" s="41" t="str">
        <f t="shared" si="34"/>
        <v/>
      </c>
      <c r="R121" s="48"/>
      <c r="S121" s="44" t="str">
        <f>IF(I121&lt;&gt;"",_xlfn.XLOOKUP($D$4+I121,$A$26:$A$145,$B$26:$B$145,0) * 1000,"")</f>
        <v/>
      </c>
      <c r="T121" s="52">
        <f t="shared" si="60"/>
        <v>0</v>
      </c>
      <c r="U121" s="53" t="str">
        <f t="shared" si="45"/>
        <v/>
      </c>
      <c r="V121" s="53" t="str">
        <f t="shared" si="46"/>
        <v/>
      </c>
      <c r="W121" s="53" t="str">
        <f t="shared" si="47"/>
        <v/>
      </c>
      <c r="X121" s="46" t="str">
        <f t="shared" si="35"/>
        <v/>
      </c>
      <c r="Y121" s="48"/>
      <c r="Z121" s="41" t="str">
        <f t="shared" si="48"/>
        <v/>
      </c>
      <c r="AA121" s="41" t="str">
        <f t="shared" si="49"/>
        <v/>
      </c>
      <c r="AB121" s="41" t="str">
        <f t="shared" si="36"/>
        <v/>
      </c>
      <c r="AC121" s="41" t="str">
        <f t="shared" si="37"/>
        <v/>
      </c>
      <c r="AD121" s="48"/>
      <c r="AE121" s="41" t="str">
        <f t="shared" si="38"/>
        <v/>
      </c>
      <c r="AF121" s="41"/>
      <c r="AG121" s="41" t="str">
        <f t="shared" si="39"/>
        <v/>
      </c>
      <c r="AH121" s="41" t="str">
        <f t="shared" si="50"/>
        <v/>
      </c>
      <c r="AI121" s="41" t="str">
        <f t="shared" si="51"/>
        <v/>
      </c>
      <c r="AJ121" s="41">
        <f t="shared" si="40"/>
        <v>0</v>
      </c>
      <c r="AK121" s="41" t="str">
        <f t="shared" si="41"/>
        <v/>
      </c>
      <c r="AL121" s="41">
        <f t="shared" si="52"/>
        <v>0</v>
      </c>
      <c r="AM121" s="41">
        <f t="shared" si="42"/>
        <v>0</v>
      </c>
      <c r="AN121" s="41" t="str">
        <f t="shared" si="43"/>
        <v/>
      </c>
      <c r="AO121" s="41">
        <f t="shared" si="59"/>
        <v>0</v>
      </c>
      <c r="AP121" s="48"/>
      <c r="AQ121" s="48"/>
      <c r="AR121" s="48"/>
      <c r="AS121" s="48"/>
      <c r="AT121" s="51">
        <f t="shared" si="53"/>
        <v>117</v>
      </c>
      <c r="AU121" s="49" t="str">
        <f t="shared" si="54"/>
        <v/>
      </c>
      <c r="AV121" s="49" t="str">
        <f t="shared" si="55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0.55045933018953697</v>
      </c>
      <c r="C122">
        <f t="shared" si="61"/>
        <v>0.51743177037816468</v>
      </c>
      <c r="D122" s="60"/>
      <c r="E122" s="5"/>
      <c r="F122" s="5"/>
      <c r="I122" s="40"/>
      <c r="J122" s="41"/>
      <c r="K122" s="41" t="str">
        <f t="shared" si="56"/>
        <v/>
      </c>
      <c r="L122" s="42" t="str">
        <f t="shared" si="57"/>
        <v/>
      </c>
      <c r="M122" s="41" t="str">
        <f t="shared" si="58"/>
        <v/>
      </c>
      <c r="N122" s="43">
        <f t="shared" si="31"/>
        <v>0</v>
      </c>
      <c r="O122" s="44">
        <f t="shared" si="32"/>
        <v>0</v>
      </c>
      <c r="P122" s="41" t="str">
        <f t="shared" si="33"/>
        <v/>
      </c>
      <c r="Q122" s="41" t="str">
        <f t="shared" si="34"/>
        <v/>
      </c>
      <c r="R122" s="48"/>
      <c r="S122" s="44" t="str">
        <f>IF(I122&lt;&gt;"",_xlfn.XLOOKUP($D$4+I122,$A$26:$A$145,$B$26:$B$145,0) * 1000,"")</f>
        <v/>
      </c>
      <c r="T122" s="52">
        <f t="shared" si="60"/>
        <v>0</v>
      </c>
      <c r="U122" s="53" t="str">
        <f t="shared" si="45"/>
        <v/>
      </c>
      <c r="V122" s="53" t="str">
        <f t="shared" si="46"/>
        <v/>
      </c>
      <c r="W122" s="53" t="str">
        <f t="shared" si="47"/>
        <v/>
      </c>
      <c r="X122" s="46" t="str">
        <f t="shared" si="35"/>
        <v/>
      </c>
      <c r="Y122" s="48"/>
      <c r="Z122" s="41" t="str">
        <f t="shared" si="48"/>
        <v/>
      </c>
      <c r="AA122" s="41" t="str">
        <f t="shared" si="49"/>
        <v/>
      </c>
      <c r="AB122" s="41" t="str">
        <f t="shared" si="36"/>
        <v/>
      </c>
      <c r="AC122" s="41" t="str">
        <f t="shared" si="37"/>
        <v/>
      </c>
      <c r="AD122" s="48"/>
      <c r="AE122" s="41" t="str">
        <f t="shared" si="38"/>
        <v/>
      </c>
      <c r="AF122" s="41"/>
      <c r="AG122" s="41" t="str">
        <f t="shared" si="39"/>
        <v/>
      </c>
      <c r="AH122" s="41" t="str">
        <f t="shared" si="50"/>
        <v/>
      </c>
      <c r="AI122" s="41" t="str">
        <f t="shared" si="51"/>
        <v/>
      </c>
      <c r="AJ122" s="41">
        <f t="shared" si="40"/>
        <v>0</v>
      </c>
      <c r="AK122" s="41" t="str">
        <f t="shared" si="41"/>
        <v/>
      </c>
      <c r="AL122" s="41">
        <f t="shared" si="52"/>
        <v>0</v>
      </c>
      <c r="AM122" s="41">
        <f t="shared" si="42"/>
        <v>0</v>
      </c>
      <c r="AN122" s="41" t="str">
        <f t="shared" si="43"/>
        <v/>
      </c>
      <c r="AO122" s="41">
        <f t="shared" si="59"/>
        <v>0</v>
      </c>
      <c r="AP122" s="48"/>
      <c r="AQ122" s="48"/>
      <c r="AR122" s="48"/>
      <c r="AS122" s="48"/>
      <c r="AT122" s="51">
        <f t="shared" si="53"/>
        <v>118</v>
      </c>
      <c r="AU122" s="49" t="str">
        <f t="shared" si="54"/>
        <v/>
      </c>
      <c r="AV122" s="49" t="str">
        <f t="shared" si="55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0.582844363484469</v>
      </c>
      <c r="C123">
        <f t="shared" si="61"/>
        <v>0.54787370167540084</v>
      </c>
      <c r="D123" s="60"/>
      <c r="E123" s="5"/>
      <c r="F123" s="5"/>
      <c r="I123" s="40"/>
      <c r="J123" s="41"/>
      <c r="K123" s="41" t="str">
        <f t="shared" si="56"/>
        <v/>
      </c>
      <c r="L123" s="42" t="str">
        <f t="shared" si="57"/>
        <v/>
      </c>
      <c r="M123" s="41" t="str">
        <f t="shared" si="58"/>
        <v/>
      </c>
      <c r="N123" s="43">
        <f t="shared" si="31"/>
        <v>0</v>
      </c>
      <c r="O123" s="44">
        <f t="shared" si="32"/>
        <v>0</v>
      </c>
      <c r="P123" s="41" t="str">
        <f t="shared" si="33"/>
        <v/>
      </c>
      <c r="Q123" s="41" t="str">
        <f t="shared" si="34"/>
        <v/>
      </c>
      <c r="R123" s="48"/>
      <c r="S123" s="44" t="str">
        <f>IF(I123&lt;&gt;"",_xlfn.XLOOKUP($D$4+I123,$A$26:$A$145,$B$26:$B$145,0) * 1000,"")</f>
        <v/>
      </c>
      <c r="T123" s="52">
        <f t="shared" si="60"/>
        <v>0</v>
      </c>
      <c r="U123" s="53" t="str">
        <f t="shared" si="45"/>
        <v/>
      </c>
      <c r="V123" s="53" t="str">
        <f t="shared" si="46"/>
        <v/>
      </c>
      <c r="W123" s="53" t="str">
        <f t="shared" si="47"/>
        <v/>
      </c>
      <c r="X123" s="46" t="str">
        <f t="shared" si="35"/>
        <v/>
      </c>
      <c r="Y123" s="48"/>
      <c r="Z123" s="41" t="str">
        <f t="shared" si="48"/>
        <v/>
      </c>
      <c r="AA123" s="41" t="str">
        <f t="shared" si="49"/>
        <v/>
      </c>
      <c r="AB123" s="41" t="str">
        <f t="shared" si="36"/>
        <v/>
      </c>
      <c r="AC123" s="41" t="str">
        <f t="shared" si="37"/>
        <v/>
      </c>
      <c r="AD123" s="48"/>
      <c r="AE123" s="41" t="str">
        <f t="shared" si="38"/>
        <v/>
      </c>
      <c r="AF123" s="41"/>
      <c r="AG123" s="41" t="str">
        <f t="shared" si="39"/>
        <v/>
      </c>
      <c r="AH123" s="41" t="str">
        <f t="shared" si="50"/>
        <v/>
      </c>
      <c r="AI123" s="41" t="str">
        <f t="shared" si="51"/>
        <v/>
      </c>
      <c r="AJ123" s="41">
        <f t="shared" si="40"/>
        <v>0</v>
      </c>
      <c r="AK123" s="41" t="str">
        <f t="shared" si="41"/>
        <v/>
      </c>
      <c r="AL123" s="41">
        <f t="shared" si="52"/>
        <v>0</v>
      </c>
      <c r="AM123" s="41">
        <f t="shared" si="42"/>
        <v>0</v>
      </c>
      <c r="AN123" s="41" t="str">
        <f t="shared" si="43"/>
        <v/>
      </c>
      <c r="AO123" s="41">
        <f t="shared" si="59"/>
        <v>0</v>
      </c>
      <c r="AP123" s="48"/>
      <c r="AQ123" s="48"/>
      <c r="AR123" s="48"/>
      <c r="AS123" s="48"/>
      <c r="AT123" s="51">
        <f t="shared" si="53"/>
        <v>119</v>
      </c>
      <c r="AU123" s="49" t="str">
        <f t="shared" si="54"/>
        <v/>
      </c>
      <c r="AV123" s="49" t="str">
        <f t="shared" si="55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0.61445576440144301</v>
      </c>
      <c r="C124">
        <f t="shared" si="61"/>
        <v>0.57758841853735643</v>
      </c>
      <c r="D124" s="60"/>
      <c r="E124" s="5"/>
      <c r="F124" s="5"/>
      <c r="I124" s="40"/>
      <c r="J124" s="41"/>
      <c r="K124" s="41" t="str">
        <f t="shared" si="56"/>
        <v/>
      </c>
      <c r="L124" s="42" t="str">
        <f t="shared" si="57"/>
        <v/>
      </c>
      <c r="M124" s="41" t="str">
        <f t="shared" si="58"/>
        <v/>
      </c>
      <c r="N124" s="43">
        <f>AX124</f>
        <v>0</v>
      </c>
      <c r="O124" s="44">
        <f>AW124</f>
        <v>0</v>
      </c>
      <c r="P124" s="41" t="str">
        <f t="shared" si="33"/>
        <v/>
      </c>
      <c r="Q124" s="41" t="str">
        <f t="shared" si="34"/>
        <v/>
      </c>
      <c r="R124" s="48"/>
      <c r="S124" s="44" t="str">
        <f>IF(I124&lt;&gt;"",_xlfn.XLOOKUP($D$4+I124,$A$26:$A$145,$B$26:$B$145,0) * 1000,"")</f>
        <v/>
      </c>
      <c r="T124" s="52">
        <f t="shared" si="60"/>
        <v>0</v>
      </c>
      <c r="U124" s="53" t="str">
        <f t="shared" si="45"/>
        <v/>
      </c>
      <c r="V124" s="53" t="str">
        <f t="shared" si="46"/>
        <v/>
      </c>
      <c r="W124" s="53" t="str">
        <f t="shared" si="47"/>
        <v/>
      </c>
      <c r="X124" s="46" t="str">
        <f t="shared" si="35"/>
        <v/>
      </c>
      <c r="Y124" s="48"/>
      <c r="Z124" s="41" t="str">
        <f t="shared" si="48"/>
        <v/>
      </c>
      <c r="AA124" s="41" t="str">
        <f t="shared" si="49"/>
        <v/>
      </c>
      <c r="AB124" s="41" t="str">
        <f t="shared" si="36"/>
        <v/>
      </c>
      <c r="AC124" s="41" t="str">
        <f t="shared" si="37"/>
        <v/>
      </c>
      <c r="AD124" s="48"/>
      <c r="AE124" s="41" t="str">
        <f t="shared" si="38"/>
        <v/>
      </c>
      <c r="AF124" s="41"/>
      <c r="AG124" s="41" t="str">
        <f t="shared" si="39"/>
        <v/>
      </c>
      <c r="AH124" s="41" t="str">
        <f t="shared" si="50"/>
        <v/>
      </c>
      <c r="AI124" s="41" t="str">
        <f t="shared" si="51"/>
        <v/>
      </c>
      <c r="AJ124" s="41">
        <f t="shared" si="40"/>
        <v>0</v>
      </c>
      <c r="AK124" s="41" t="str">
        <f t="shared" si="41"/>
        <v/>
      </c>
      <c r="AL124" s="41">
        <f t="shared" si="52"/>
        <v>0</v>
      </c>
      <c r="AM124" s="41">
        <f t="shared" si="42"/>
        <v>0</v>
      </c>
      <c r="AN124" s="41" t="str">
        <f t="shared" si="43"/>
        <v/>
      </c>
      <c r="AO124" s="41">
        <f t="shared" si="59"/>
        <v>0</v>
      </c>
      <c r="AP124" s="48"/>
      <c r="AQ124" s="48"/>
      <c r="AR124" s="48"/>
      <c r="AS124" s="48"/>
      <c r="AT124" s="51">
        <f t="shared" si="53"/>
        <v>120</v>
      </c>
      <c r="AU124" s="49" t="str">
        <f t="shared" si="54"/>
        <v/>
      </c>
      <c r="AV124" s="49" t="str">
        <f t="shared" si="55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0.64602465586262803</v>
      </c>
      <c r="C125">
        <f t="shared" si="61"/>
        <v>0.60726317651087036</v>
      </c>
      <c r="D125" s="60"/>
      <c r="E125" s="5"/>
      <c r="F125" s="5"/>
    </row>
    <row r="126" spans="1:50" x14ac:dyDescent="0.2">
      <c r="A126">
        <v>101</v>
      </c>
      <c r="B126">
        <v>0.67630452445949596</v>
      </c>
      <c r="C126">
        <f t="shared" si="61"/>
        <v>0.6357262529919262</v>
      </c>
      <c r="D126" s="60"/>
      <c r="E126" s="5"/>
      <c r="F126" s="5"/>
      <c r="K126" s="11"/>
    </row>
    <row r="127" spans="1:50" x14ac:dyDescent="0.2">
      <c r="A127">
        <v>102</v>
      </c>
      <c r="B127">
        <v>0.704634486956774</v>
      </c>
      <c r="C127">
        <f t="shared" si="61"/>
        <v>0.66235641773936749</v>
      </c>
      <c r="D127" s="60"/>
      <c r="E127" s="5"/>
      <c r="F127" s="5"/>
      <c r="S127" s="58"/>
    </row>
    <row r="128" spans="1:50" x14ac:dyDescent="0.2">
      <c r="A128">
        <v>103</v>
      </c>
      <c r="B128">
        <v>0.73216041193155901</v>
      </c>
      <c r="C128">
        <f t="shared" si="61"/>
        <v>0.68823078721566544</v>
      </c>
      <c r="D128" s="60"/>
      <c r="E128" s="5"/>
      <c r="F128" s="5"/>
    </row>
    <row r="129" spans="1:41" ht="15" x14ac:dyDescent="0.25">
      <c r="A129">
        <v>104</v>
      </c>
      <c r="B129">
        <v>0.75864649692312203</v>
      </c>
      <c r="C129">
        <f t="shared" si="61"/>
        <v>0.71312770710773465</v>
      </c>
      <c r="D129" s="60"/>
      <c r="E129" s="5"/>
      <c r="F129" s="5"/>
      <c r="AD129" s="56" t="s">
        <v>56</v>
      </c>
      <c r="AE129" s="57">
        <f t="shared" ref="AE129:AO129" si="62">SUM(AE4:AE124)</f>
        <v>2087538.11483767</v>
      </c>
      <c r="AF129" s="57">
        <f t="shared" si="62"/>
        <v>-626261.434451301</v>
      </c>
      <c r="AG129" s="57">
        <f t="shared" si="62"/>
        <v>-104862.56207193634</v>
      </c>
      <c r="AH129" s="57">
        <f t="shared" si="62"/>
        <v>-1999999.9999999995</v>
      </c>
      <c r="AI129" s="57">
        <f t="shared" si="62"/>
        <v>0</v>
      </c>
      <c r="AJ129" s="57">
        <f t="shared" si="62"/>
        <v>-643585.88168556686</v>
      </c>
      <c r="AK129" s="57">
        <f t="shared" si="62"/>
        <v>1.3852261072772531E-14</v>
      </c>
      <c r="AL129" s="57">
        <f t="shared" si="62"/>
        <v>396477.70883494348</v>
      </c>
      <c r="AM129" s="57">
        <f t="shared" si="62"/>
        <v>-247108.17285062323</v>
      </c>
      <c r="AN129" s="57">
        <f t="shared" si="62"/>
        <v>-5.2822085537561038E-16</v>
      </c>
      <c r="AO129" s="57">
        <f t="shared" si="62"/>
        <v>-247108.17285062326</v>
      </c>
    </row>
    <row r="130" spans="1:41" ht="15" x14ac:dyDescent="0.25">
      <c r="A130">
        <v>105</v>
      </c>
      <c r="B130">
        <v>0.78387555384004903</v>
      </c>
      <c r="C130">
        <f t="shared" si="61"/>
        <v>0.73684302060964602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0.80767078957601302</v>
      </c>
      <c r="C131">
        <f t="shared" si="61"/>
        <v>0.75921054220145223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O131" si="63">AE4+NPV($D$6,AE5:AE124)</f>
        <v>2087538.11483767</v>
      </c>
      <c r="AF131" s="57">
        <f t="shared" si="63"/>
        <v>-626261.434451301</v>
      </c>
      <c r="AG131" s="57">
        <f t="shared" si="63"/>
        <v>-104781.36136222452</v>
      </c>
      <c r="AH131" s="57">
        <f t="shared" si="63"/>
        <v>-1221874.4746117971</v>
      </c>
      <c r="AI131" s="57">
        <f t="shared" si="63"/>
        <v>0</v>
      </c>
      <c r="AJ131" s="57">
        <f t="shared" si="63"/>
        <v>134620.84441234823</v>
      </c>
      <c r="AK131" s="57">
        <f t="shared" si="63"/>
        <v>-249009.28457883716</v>
      </c>
      <c r="AL131" s="57">
        <f t="shared" si="63"/>
        <v>256790.5398327189</v>
      </c>
      <c r="AM131" s="57">
        <f t="shared" si="63"/>
        <v>142402.09966622991</v>
      </c>
      <c r="AN131" s="57">
        <f t="shared" si="63"/>
        <v>-7781.2552538820291</v>
      </c>
      <c r="AO131" s="57">
        <f t="shared" si="63"/>
        <v>134620.84441234695</v>
      </c>
    </row>
    <row r="132" spans="1:41" ht="15" x14ac:dyDescent="0.25">
      <c r="A132">
        <v>107</v>
      </c>
      <c r="B132">
        <v>0.83005337832274195</v>
      </c>
      <c r="C132">
        <f t="shared" si="61"/>
        <v>0.7802501756233774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0.851057297217783</v>
      </c>
      <c r="C133">
        <f t="shared" si="61"/>
        <v>0.79999385938471601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 t="shared" ref="AE133:AO133" si="64">AE4+NPV($D$7,AE5:AE124)</f>
        <v>2087538.11483767</v>
      </c>
      <c r="AF133" s="57">
        <f t="shared" si="64"/>
        <v>-626261.434451301</v>
      </c>
      <c r="AG133" s="57">
        <f t="shared" si="64"/>
        <v>-104798.08150861693</v>
      </c>
      <c r="AH133" s="57">
        <f t="shared" si="64"/>
        <v>-1371250.1713745291</v>
      </c>
      <c r="AI133" s="57">
        <f t="shared" si="64"/>
        <v>0</v>
      </c>
      <c r="AJ133" s="57">
        <f t="shared" si="64"/>
        <v>-14771.572496776236</v>
      </c>
      <c r="AK133" s="57">
        <f t="shared" si="64"/>
        <v>-207043.16728266465</v>
      </c>
      <c r="AL133" s="57">
        <f t="shared" si="64"/>
        <v>284440.88742522558</v>
      </c>
      <c r="AM133" s="57">
        <f t="shared" si="64"/>
        <v>62626.147645784309</v>
      </c>
      <c r="AN133" s="57">
        <f t="shared" si="64"/>
        <v>-6287.4982862547095</v>
      </c>
      <c r="AO133" s="57">
        <f t="shared" si="64"/>
        <v>56338.649359530071</v>
      </c>
    </row>
    <row r="134" spans="1:41" x14ac:dyDescent="0.2">
      <c r="A134">
        <v>109</v>
      </c>
      <c r="B134">
        <v>0.87056397599500501</v>
      </c>
      <c r="C134">
        <f t="shared" si="61"/>
        <v>0.81833013743530469</v>
      </c>
      <c r="D134" s="60"/>
      <c r="E134" s="5"/>
      <c r="F134" s="5"/>
    </row>
    <row r="135" spans="1:41" x14ac:dyDescent="0.2">
      <c r="A135">
        <v>110</v>
      </c>
      <c r="B135">
        <v>0.88849113165173998</v>
      </c>
      <c r="C135">
        <f t="shared" si="61"/>
        <v>0.83518166375263558</v>
      </c>
      <c r="D135" s="60"/>
      <c r="E135" s="5"/>
      <c r="F135" s="5"/>
    </row>
    <row r="136" spans="1:41" x14ac:dyDescent="0.2">
      <c r="A136">
        <v>111</v>
      </c>
      <c r="B136">
        <v>0.90746559038107899</v>
      </c>
      <c r="C136">
        <f t="shared" si="61"/>
        <v>0.85301765495821424</v>
      </c>
      <c r="D136" s="60"/>
      <c r="E136" s="5"/>
      <c r="F136" s="5"/>
    </row>
    <row r="137" spans="1:41" x14ac:dyDescent="0.2">
      <c r="A137">
        <v>112</v>
      </c>
      <c r="B137">
        <v>0.92441462513263395</v>
      </c>
      <c r="C137">
        <f t="shared" si="61"/>
        <v>0.86894974762467592</v>
      </c>
      <c r="D137" s="60"/>
      <c r="E137" s="5"/>
      <c r="F137" s="5"/>
    </row>
    <row r="138" spans="1:41" x14ac:dyDescent="0.2">
      <c r="A138">
        <v>113</v>
      </c>
      <c r="B138">
        <v>0.93939301623983495</v>
      </c>
      <c r="C138">
        <f t="shared" si="61"/>
        <v>0.88302943526544486</v>
      </c>
      <c r="D138" s="60"/>
      <c r="E138" s="5"/>
      <c r="F138" s="5"/>
    </row>
    <row r="139" spans="1:41" x14ac:dyDescent="0.2">
      <c r="A139">
        <v>114</v>
      </c>
      <c r="B139">
        <v>0.95246607427313501</v>
      </c>
      <c r="C139">
        <f t="shared" si="61"/>
        <v>0.89531810981674687</v>
      </c>
      <c r="D139" s="60"/>
      <c r="E139" s="5"/>
      <c r="F139" s="5"/>
    </row>
    <row r="140" spans="1:41" x14ac:dyDescent="0.2">
      <c r="A140">
        <v>115</v>
      </c>
      <c r="B140">
        <v>0.96370889370772805</v>
      </c>
      <c r="C140">
        <f t="shared" si="61"/>
        <v>0.90588636008526435</v>
      </c>
      <c r="D140" s="60"/>
      <c r="E140" s="5"/>
      <c r="F140" s="5"/>
    </row>
    <row r="141" spans="1:41" x14ac:dyDescent="0.2">
      <c r="A141">
        <v>116</v>
      </c>
      <c r="B141">
        <v>0.97325472301267901</v>
      </c>
      <c r="C141">
        <f t="shared" si="61"/>
        <v>0.91485943963191818</v>
      </c>
      <c r="D141" s="60"/>
      <c r="E141" s="5"/>
      <c r="F141" s="5"/>
    </row>
    <row r="142" spans="1:41" x14ac:dyDescent="0.2">
      <c r="A142">
        <v>117</v>
      </c>
      <c r="B142">
        <v>0.98121796639544001</v>
      </c>
      <c r="C142">
        <f t="shared" si="61"/>
        <v>0.92234488841171358</v>
      </c>
      <c r="D142" s="60"/>
      <c r="E142" s="5"/>
      <c r="F142" s="5"/>
    </row>
    <row r="143" spans="1:41" x14ac:dyDescent="0.2">
      <c r="A143">
        <v>118</v>
      </c>
      <c r="B143">
        <v>0.98765766969855795</v>
      </c>
      <c r="C143">
        <f t="shared" si="61"/>
        <v>0.92839820951664442</v>
      </c>
      <c r="D143" s="60"/>
      <c r="E143" s="5"/>
      <c r="F143" s="5"/>
    </row>
    <row r="144" spans="1:41" x14ac:dyDescent="0.2">
      <c r="A144">
        <v>119</v>
      </c>
      <c r="B144">
        <v>0.99264120459572502</v>
      </c>
      <c r="C144">
        <f t="shared" si="61"/>
        <v>0.93308273231998151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7AE8-852B-4AF7-813B-5CE7E46A7F6C}">
  <sheetPr codeName="Sheet18"/>
  <dimension ref="A1:AZ145"/>
  <sheetViews>
    <sheetView tabSelected="1" workbookViewId="0">
      <pane ySplit="3" topLeftCell="A46" activePane="bottomLeft" state="frozen"/>
      <selection pane="bottomLeft" activeCell="F25" sqref="F25:F55"/>
    </sheetView>
  </sheetViews>
  <sheetFormatPr defaultColWidth="10.7109375" defaultRowHeight="12.75" x14ac:dyDescent="0.2"/>
  <cols>
    <col min="5" max="5" width="36" bestFit="1" customWidth="1"/>
    <col min="6" max="6" width="12.5703125" bestFit="1" customWidth="1"/>
    <col min="7" max="7" width="12.7109375" customWidth="1"/>
    <col min="8" max="8" width="11.28515625" bestFit="1" customWidth="1"/>
    <col min="9" max="9" width="10.7109375" style="1"/>
    <col min="11" max="11" width="12.85546875" customWidth="1"/>
    <col min="14" max="14" width="22.7109375" bestFit="1" customWidth="1"/>
    <col min="15" max="15" width="18.85546875" bestFit="1" customWidth="1"/>
    <col min="16" max="17" width="21.7109375" bestFit="1" customWidth="1"/>
    <col min="18" max="18" width="5.7109375" customWidth="1"/>
    <col min="19" max="19" width="8.5703125" bestFit="1" customWidth="1"/>
    <col min="25" max="25" width="5.7109375" customWidth="1"/>
    <col min="30" max="30" width="5.7109375" customWidth="1"/>
    <col min="32" max="32" width="11.28515625" bestFit="1" customWidth="1"/>
    <col min="35" max="35" width="11.7109375" customWidth="1"/>
    <col min="39" max="39" width="11.140625" bestFit="1" customWidth="1"/>
    <col min="40" max="40" width="12.140625" bestFit="1" customWidth="1"/>
    <col min="49" max="50" width="22.7109375" bestFit="1" customWidth="1"/>
  </cols>
  <sheetData>
    <row r="1" spans="1:52" ht="15.75" x14ac:dyDescent="0.25">
      <c r="A1" s="38" t="s">
        <v>62</v>
      </c>
      <c r="AE1" s="66" t="s">
        <v>30</v>
      </c>
      <c r="AF1" s="67"/>
      <c r="AG1" s="67"/>
      <c r="AH1" s="67"/>
      <c r="AI1" s="67"/>
      <c r="AJ1" s="67"/>
      <c r="AK1" s="68"/>
      <c r="AL1" s="68"/>
      <c r="AM1" s="68"/>
      <c r="AN1" s="68"/>
      <c r="AT1" s="30">
        <v>0.04</v>
      </c>
      <c r="AU1" s="33">
        <f>AU$5+NPV($AT1,AU$6:AU$79)</f>
        <v>10.334483602844109</v>
      </c>
      <c r="AV1" s="35">
        <f>NPV($AT1,AV$5:AV$79)</f>
        <v>0.60251986142907266</v>
      </c>
      <c r="AW1" s="34">
        <f>0.85*AV1*1000/AU1</f>
        <v>49.556601171031652</v>
      </c>
    </row>
    <row r="2" spans="1:52" ht="15.75" x14ac:dyDescent="0.3">
      <c r="J2" s="27" t="s">
        <v>29</v>
      </c>
      <c r="K2" s="27"/>
      <c r="L2" s="27"/>
      <c r="M2" s="27"/>
      <c r="N2" s="27"/>
      <c r="O2" s="27"/>
      <c r="P2" s="27"/>
      <c r="Q2" s="27"/>
      <c r="S2" s="69" t="s">
        <v>32</v>
      </c>
      <c r="T2" s="70"/>
      <c r="U2" s="71"/>
      <c r="V2" s="71"/>
      <c r="W2" s="71"/>
      <c r="X2" s="72"/>
      <c r="Z2" s="73" t="s">
        <v>46</v>
      </c>
      <c r="AA2" s="74"/>
      <c r="AB2" s="74"/>
      <c r="AC2" s="74"/>
      <c r="AE2" s="1" t="s">
        <v>17</v>
      </c>
      <c r="AF2" s="1" t="s">
        <v>18</v>
      </c>
      <c r="AG2" s="1" t="s">
        <v>19</v>
      </c>
      <c r="AH2" s="1" t="s">
        <v>26</v>
      </c>
      <c r="AI2" s="1" t="s">
        <v>27</v>
      </c>
      <c r="AJ2" s="1"/>
      <c r="AK2" s="1" t="s">
        <v>20</v>
      </c>
      <c r="AL2" s="1" t="s">
        <v>21</v>
      </c>
      <c r="AM2" s="1" t="s">
        <v>22</v>
      </c>
      <c r="AN2" s="1" t="s">
        <v>28</v>
      </c>
      <c r="AO2" s="1" t="s">
        <v>23</v>
      </c>
      <c r="AT2" s="30">
        <v>0.06</v>
      </c>
      <c r="AU2" s="33">
        <f>AU$5+NPV($AT2,AU$6:AU$79)</f>
        <v>9.1401903647840701</v>
      </c>
      <c r="AV2" s="35">
        <f>NPV($AT2,AV$5:AV$79)</f>
        <v>0.48263073406882595</v>
      </c>
      <c r="AW2" s="34">
        <f>1.05*AV2*1000/(AU2-1)</f>
        <v>62.254351318933793</v>
      </c>
    </row>
    <row r="3" spans="1:52" ht="38.25" x14ac:dyDescent="0.2">
      <c r="G3" t="s">
        <v>16</v>
      </c>
      <c r="H3" s="31">
        <v>2087538.11483767</v>
      </c>
      <c r="I3" s="29" t="s">
        <v>57</v>
      </c>
      <c r="J3" s="1" t="s">
        <v>12</v>
      </c>
      <c r="K3" s="1" t="s">
        <v>13</v>
      </c>
      <c r="L3" s="1" t="s">
        <v>0</v>
      </c>
      <c r="M3" s="23" t="s">
        <v>31</v>
      </c>
      <c r="N3" s="25" t="s">
        <v>61</v>
      </c>
      <c r="O3" s="23" t="s">
        <v>34</v>
      </c>
      <c r="P3" s="28" t="s">
        <v>58</v>
      </c>
      <c r="Q3" s="28" t="s">
        <v>37</v>
      </c>
      <c r="R3" s="23"/>
      <c r="S3" s="23" t="s">
        <v>35</v>
      </c>
      <c r="T3" s="23" t="s">
        <v>33</v>
      </c>
      <c r="U3" s="25" t="s">
        <v>40</v>
      </c>
      <c r="V3" s="25" t="s">
        <v>38</v>
      </c>
      <c r="W3" s="25" t="s">
        <v>39</v>
      </c>
      <c r="X3" s="25" t="s">
        <v>41</v>
      </c>
      <c r="Y3" s="25"/>
      <c r="Z3" s="25" t="s">
        <v>42</v>
      </c>
      <c r="AA3" s="25" t="s">
        <v>43</v>
      </c>
      <c r="AB3" s="25" t="s">
        <v>44</v>
      </c>
      <c r="AC3" s="25" t="s">
        <v>45</v>
      </c>
      <c r="AD3" s="25"/>
      <c r="AE3" s="26" t="s">
        <v>47</v>
      </c>
      <c r="AF3" s="26" t="s">
        <v>48</v>
      </c>
      <c r="AG3" s="26" t="s">
        <v>49</v>
      </c>
      <c r="AH3" s="26" t="s">
        <v>50</v>
      </c>
      <c r="AI3" s="26" t="s">
        <v>51</v>
      </c>
      <c r="AJ3" s="26" t="s">
        <v>52</v>
      </c>
      <c r="AK3" s="26" t="s">
        <v>53</v>
      </c>
      <c r="AL3" s="26" t="s">
        <v>15</v>
      </c>
      <c r="AM3" s="26" t="s">
        <v>1</v>
      </c>
      <c r="AN3" s="26" t="s">
        <v>54</v>
      </c>
      <c r="AO3" s="26" t="s">
        <v>55</v>
      </c>
      <c r="AP3" s="1"/>
      <c r="AT3" s="29" t="s">
        <v>57</v>
      </c>
      <c r="AU3" s="32" t="s">
        <v>59</v>
      </c>
      <c r="AV3" s="32" t="s">
        <v>38</v>
      </c>
      <c r="AW3" s="32" t="s">
        <v>37</v>
      </c>
      <c r="AX3" s="32" t="s">
        <v>60</v>
      </c>
    </row>
    <row r="4" spans="1:52" ht="15" x14ac:dyDescent="0.25">
      <c r="A4" s="39" t="s">
        <v>63</v>
      </c>
      <c r="B4" s="15"/>
      <c r="C4" s="15"/>
      <c r="D4" s="15">
        <v>65</v>
      </c>
      <c r="H4" s="1"/>
      <c r="I4" s="40" cm="1">
        <f t="array" ref="I4:I59">_xlfn.SEQUENCE(MAX(A26:A145)-D4+1,1,0,1)</f>
        <v>0</v>
      </c>
      <c r="J4" s="41">
        <f>$H$3</f>
        <v>2087538.11483767</v>
      </c>
      <c r="K4" s="41">
        <f>J4*C16</f>
        <v>626261.434451301</v>
      </c>
      <c r="L4" s="42">
        <f>C20 + F18*J4</f>
        <v>104576.9057418835</v>
      </c>
      <c r="M4" s="41">
        <f t="shared" ref="M4:M5" si="0">$E$11</f>
        <v>2000000</v>
      </c>
      <c r="N4" s="43">
        <f>AX4</f>
        <v>0</v>
      </c>
      <c r="O4" s="44">
        <f>AW4</f>
        <v>90.378</v>
      </c>
      <c r="P4" s="41">
        <f>IF(I4&lt;&gt;"", M4*N4/1000, "")</f>
        <v>0</v>
      </c>
      <c r="Q4" s="41">
        <f>IF(I4&lt;&gt;"", M4*O4/1000, "")</f>
        <v>180756</v>
      </c>
      <c r="R4" s="45"/>
      <c r="S4" s="45"/>
      <c r="T4" s="45"/>
      <c r="U4" s="46">
        <v>1</v>
      </c>
      <c r="V4" s="46"/>
      <c r="W4" s="46"/>
      <c r="X4" s="46">
        <f>IF(I4&lt;&gt;"", U4-SUM(V4:W4), "")</f>
        <v>1</v>
      </c>
      <c r="Y4" s="47"/>
      <c r="Z4" s="41"/>
      <c r="AA4" s="41"/>
      <c r="AB4" s="41">
        <f>IF(I4&lt;&gt;"", Q4*X4, "" )</f>
        <v>180756</v>
      </c>
      <c r="AC4" s="41">
        <f>IF(I4&lt;&gt;"", $H$14*M4*X4, "")</f>
        <v>20000</v>
      </c>
      <c r="AD4" s="47"/>
      <c r="AE4" s="41">
        <f>IF(I4&lt;&gt;"", $X4*J4, "")</f>
        <v>2087538.11483767</v>
      </c>
      <c r="AF4" s="41">
        <f>IF(I4&lt;&gt;"", -$X4*K4, "")</f>
        <v>-626261.434451301</v>
      </c>
      <c r="AG4" s="41">
        <f>IF(I4&lt;&gt;"", -$X4*L4, "")</f>
        <v>-104576.9057418835</v>
      </c>
      <c r="AH4" s="41"/>
      <c r="AI4" s="41"/>
      <c r="AJ4" s="41">
        <f>SUM(AE4:AI4)</f>
        <v>1356699.7746444857</v>
      </c>
      <c r="AK4" s="41">
        <f>IF(I4&lt;&gt;"", Z4-AB4, "")</f>
        <v>-180756</v>
      </c>
      <c r="AL4" s="41"/>
      <c r="AM4" s="41">
        <f>SUM(AJ4:AL4)</f>
        <v>1175943.7746444857</v>
      </c>
      <c r="AN4" s="41">
        <f>IF(I4&lt;&gt;"", AA4-AC4, "")</f>
        <v>-20000</v>
      </c>
      <c r="AO4" s="41">
        <f>SUM(AM4:AN4)</f>
        <v>1155943.7746444857</v>
      </c>
      <c r="AP4" s="45"/>
      <c r="AQ4" s="41">
        <f>AM133</f>
        <v>79071.190166260349</v>
      </c>
      <c r="AR4" s="48"/>
      <c r="AS4" s="48"/>
      <c r="AT4" s="40">
        <v>0</v>
      </c>
      <c r="AU4" s="49">
        <v>1</v>
      </c>
      <c r="AV4" s="49">
        <v>0</v>
      </c>
      <c r="AW4" s="50">
        <f xml:space="preserve"> IF(ISERROR(ROUND((1000*NPV($AT$1,$AV5:$AV$124)-$AW$1*($AU5+NPV($AT$1,$AU6:$AU$124)))/AU5,3)), 0, ROUND((1000*NPV($AT$1,$AV5:$AV$124)-$AW$1*($AU5+NPV($AT$1,$AU6:$AU$124)))/AU5,3))</f>
        <v>90.378</v>
      </c>
      <c r="AX4" s="50">
        <f>IF(ISERROR(ROUND(MAX(0,1000*NPV($AT$2,$AV5:$AV$124)-$AW$2*($AU5+NPV($AT$2,$AU6:$AU$124)))/AU5,3)), 0, ROUND(MAX(0,1000*NPV($AT$2,$AV5:$AV$124)-$AW$2*($AU5+NPV($AT$2,$AU6:$AU$124)))/AU5,3))</f>
        <v>0</v>
      </c>
    </row>
    <row r="5" spans="1:52" ht="15" x14ac:dyDescent="0.25">
      <c r="H5" s="37"/>
      <c r="I5" s="51">
        <v>1</v>
      </c>
      <c r="J5" s="41"/>
      <c r="K5" s="41"/>
      <c r="L5" s="42"/>
      <c r="M5" s="41">
        <f t="shared" si="0"/>
        <v>2000000</v>
      </c>
      <c r="N5" s="43">
        <f t="shared" ref="N5:N68" si="1">AX5</f>
        <v>0</v>
      </c>
      <c r="O5" s="44">
        <f t="shared" ref="O5:O68" si="2">AW5</f>
        <v>124.887</v>
      </c>
      <c r="P5" s="41">
        <f t="shared" ref="P5:P68" si="3">IF(I5&lt;&gt;"", M5*N5/1000, "")</f>
        <v>0</v>
      </c>
      <c r="Q5" s="41">
        <f t="shared" ref="Q5:Q68" si="4">IF(I5&lt;&gt;"", M5*O5/1000, "")</f>
        <v>249774</v>
      </c>
      <c r="R5" s="44"/>
      <c r="S5" s="44">
        <f>IF(I5&lt;&gt;"",_xlfn.XLOOKUP(D$4+I5,A$26:A$145,$C$26:$C$145,0) * 1000,"")</f>
        <v>23.590900761715957</v>
      </c>
      <c r="T5" s="52">
        <f>C10</f>
        <v>0</v>
      </c>
      <c r="U5" s="53">
        <f>IF(I5&lt;&gt;"", X4, "")</f>
        <v>1</v>
      </c>
      <c r="V5" s="53">
        <f>IF(I5&lt;&gt;"", S5*U5/1000, "")</f>
        <v>2.3590900761715959E-2</v>
      </c>
      <c r="W5" s="53">
        <f>IF(I5&lt;&gt;"", MIN(T5*U5,U5-V5), "")</f>
        <v>0</v>
      </c>
      <c r="X5" s="46">
        <f t="shared" ref="X5:X68" si="5">IF(I5&lt;&gt;"", U5-SUM(V5:W5), "")</f>
        <v>0.97640909923828401</v>
      </c>
      <c r="Y5" s="54"/>
      <c r="Z5" s="41">
        <f>IF(I5&lt;&gt;"",AB4,"")</f>
        <v>180756</v>
      </c>
      <c r="AA5" s="41">
        <f>IF(I5&lt;&gt;"", AC4, "")</f>
        <v>20000</v>
      </c>
      <c r="AB5" s="41">
        <f t="shared" ref="AB5:AB68" si="6">IF(I5&lt;&gt;"", Q5*X5, "" )</f>
        <v>243881.60635314314</v>
      </c>
      <c r="AC5" s="41">
        <f t="shared" ref="AC5:AC68" si="7">IF(I5&lt;&gt;"", $H$14*M5*X5, "")</f>
        <v>19528.181984765681</v>
      </c>
      <c r="AD5" s="54"/>
      <c r="AE5" s="41">
        <f t="shared" ref="AE5:AE68" si="8">IF(I5&lt;&gt;"", $X5*J5, "")</f>
        <v>0</v>
      </c>
      <c r="AF5" s="41"/>
      <c r="AG5" s="41">
        <f t="shared" ref="AG5:AG68" si="9">IF(I5&lt;&gt;"", -$X5*L5, "")</f>
        <v>0</v>
      </c>
      <c r="AH5" s="41">
        <f>IF(I5&lt;&gt;"",-M5*V5,"")</f>
        <v>-47181.801523431917</v>
      </c>
      <c r="AI5" s="41">
        <f>IF(I5 &lt;&gt; "", -P5*W5, "")</f>
        <v>0</v>
      </c>
      <c r="AJ5" s="41">
        <f t="shared" ref="AJ5:AJ68" si="10">SUM(AE5:AI5)</f>
        <v>-47181.801523431917</v>
      </c>
      <c r="AK5" s="41">
        <f t="shared" ref="AK5:AK68" si="11">IF(I5&lt;&gt;"", Z5-AB5, "")</f>
        <v>-63125.606353143143</v>
      </c>
      <c r="AL5" s="41">
        <f>$D$6*SUM(Z5:AA5,AE5:AF5)</f>
        <v>8030.24</v>
      </c>
      <c r="AM5" s="41">
        <f t="shared" ref="AM5:AM68" si="12">SUM(AJ5:AL5)</f>
        <v>-102277.16787657505</v>
      </c>
      <c r="AN5" s="41">
        <f t="shared" ref="AN5:AN68" si="13">IF(I5&lt;&gt;"", AA5-AC5, "")</f>
        <v>471.81801523431932</v>
      </c>
      <c r="AO5" s="41">
        <f t="shared" ref="AO5:AO68" si="14">SUM(AM5:AN5)</f>
        <v>-101805.34986134074</v>
      </c>
      <c r="AP5" s="45" t="s">
        <v>24</v>
      </c>
      <c r="AQ5" s="41"/>
      <c r="AR5" s="48"/>
      <c r="AS5" s="48"/>
      <c r="AT5" s="51">
        <f>AT4+1</f>
        <v>1</v>
      </c>
      <c r="AU5" s="49">
        <f>IF(I5&lt;&gt;"", AU4-AV4, "")</f>
        <v>1</v>
      </c>
      <c r="AV5" s="49">
        <f>IF(I5&lt;&gt;"", S5*AU5/1000, "")</f>
        <v>2.3590900761715959E-2</v>
      </c>
      <c r="AW5" s="50">
        <f xml:space="preserve"> IF(ISERROR(ROUND((1000*NPV($AT$1,$AV6:$AV$124)-$AW$1*($AU6+NPV($AT$1,$AU7:$AU$124)))/AU6,3)), 0, ROUND((1000*NPV($AT$1,$AV6:$AV$124)-$AW$1*($AU6+NPV($AT$1,$AU7:$AU$124)))/AU6,3))</f>
        <v>124.887</v>
      </c>
      <c r="AX5" s="50">
        <f>IF(ISERROR(ROUND(MAX(0,1000*NPV($AT$2,$AV6:$AV$124)-$AW$2*($AU6+NPV($AT$2,$AU7:$AU$124)))/AU6,3)), 0, ROUND(MAX(0,1000*NPV($AT$2,$AV6:$AV$124)-$AW$2*($AU6+NPV($AT$2,$AU7:$AU$124)))/AU6,3))</f>
        <v>0</v>
      </c>
    </row>
    <row r="6" spans="1:52" ht="15" x14ac:dyDescent="0.25">
      <c r="A6" s="12" t="s">
        <v>14</v>
      </c>
      <c r="B6" s="12"/>
      <c r="C6" s="12"/>
      <c r="D6" s="16">
        <v>0.04</v>
      </c>
      <c r="E6" s="6"/>
      <c r="F6" s="6"/>
      <c r="G6" s="6"/>
      <c r="H6" s="37"/>
      <c r="I6" s="51">
        <v>2</v>
      </c>
      <c r="J6" s="41"/>
      <c r="K6" s="41" t="str">
        <f>IF(J6&lt;&gt;"",J6*$C$17,"")</f>
        <v/>
      </c>
      <c r="L6" s="42">
        <f>IF(I6&lt;&gt;"",$C$21,"")</f>
        <v>25</v>
      </c>
      <c r="M6" s="41">
        <f>IF(I6&lt;&gt;"",$E$11,"")</f>
        <v>2000000</v>
      </c>
      <c r="N6" s="43">
        <f t="shared" si="1"/>
        <v>0</v>
      </c>
      <c r="O6" s="44">
        <f t="shared" si="2"/>
        <v>159.72</v>
      </c>
      <c r="P6" s="41">
        <f t="shared" si="3"/>
        <v>0</v>
      </c>
      <c r="Q6" s="41">
        <f t="shared" si="4"/>
        <v>319440</v>
      </c>
      <c r="R6" s="44"/>
      <c r="S6" s="44">
        <f>IF(I6&lt;&gt;"",_xlfn.XLOOKUP(D$4+I6,A$26:A$145,$C$26:$C$145,0) * 1000,"")</f>
        <v>25.827108724185834</v>
      </c>
      <c r="T6" s="52">
        <f>$C$11</f>
        <v>0</v>
      </c>
      <c r="U6" s="53">
        <f t="shared" ref="U6:U69" si="15">IF(I6&lt;&gt;"", X5, "")</f>
        <v>0.97640909923828401</v>
      </c>
      <c r="V6" s="53">
        <f t="shared" ref="V6:V69" si="16">IF(I6&lt;&gt;"", S6*U6/1000, "")</f>
        <v>2.5217823965311519E-2</v>
      </c>
      <c r="W6" s="53">
        <f t="shared" ref="W6:W69" si="17">IF(I6&lt;&gt;"", MIN(T6*U6,U6-V6), "")</f>
        <v>0</v>
      </c>
      <c r="X6" s="46">
        <f t="shared" si="5"/>
        <v>0.95119127527297254</v>
      </c>
      <c r="Y6" s="54"/>
      <c r="Z6" s="41">
        <f t="shared" ref="Z6:Z69" si="18">IF(I6&lt;&gt;"",AB5,"")</f>
        <v>243881.60635314314</v>
      </c>
      <c r="AA6" s="41">
        <f t="shared" ref="AA6:AA69" si="19">IF(I6&lt;&gt;"", AC5, "")</f>
        <v>19528.181984765681</v>
      </c>
      <c r="AB6" s="41">
        <f t="shared" si="6"/>
        <v>303848.54097319837</v>
      </c>
      <c r="AC6" s="41">
        <f t="shared" si="7"/>
        <v>19023.825505459452</v>
      </c>
      <c r="AD6" s="54"/>
      <c r="AE6" s="41">
        <f t="shared" si="8"/>
        <v>0</v>
      </c>
      <c r="AF6" s="41"/>
      <c r="AG6" s="41">
        <f>IF(I6&lt;&gt;"", -$X6*L6, "")</f>
        <v>-23.779781881824313</v>
      </c>
      <c r="AH6" s="41">
        <f t="shared" ref="AH6:AH69" si="20">IF(I6&lt;&gt;"",-M6*V6,"")</f>
        <v>-50435.647930623039</v>
      </c>
      <c r="AI6" s="41">
        <f t="shared" ref="AI6:AI69" si="21">IF(I6 &lt;&gt; "", -P6*W6, "")</f>
        <v>0</v>
      </c>
      <c r="AJ6" s="41">
        <f t="shared" si="10"/>
        <v>-50459.427712504861</v>
      </c>
      <c r="AK6" s="41">
        <f t="shared" si="11"/>
        <v>-59966.934620055225</v>
      </c>
      <c r="AL6" s="41">
        <f t="shared" ref="AL6:AL69" si="22">$D$6*SUM(Z6:AA6,AE6:AF6)</f>
        <v>10536.391533516353</v>
      </c>
      <c r="AM6" s="41">
        <f t="shared" si="12"/>
        <v>-99889.970799043746</v>
      </c>
      <c r="AN6" s="41">
        <f t="shared" si="13"/>
        <v>504.35647930622872</v>
      </c>
      <c r="AO6" s="41">
        <f t="shared" si="14"/>
        <v>-99385.61431973752</v>
      </c>
      <c r="AP6" s="45"/>
      <c r="AQ6" s="41">
        <f>AO133</f>
        <v>72637.852846156806</v>
      </c>
      <c r="AR6" s="48"/>
      <c r="AS6" s="48"/>
      <c r="AT6" s="51">
        <f t="shared" ref="AT6:AT69" si="23">AT5+1</f>
        <v>2</v>
      </c>
      <c r="AU6" s="49">
        <f t="shared" ref="AU6:AU69" si="24">IF(I6&lt;&gt;"", AU5-AV5, "")</f>
        <v>0.97640909923828401</v>
      </c>
      <c r="AV6" s="49">
        <f t="shared" ref="AV6:AV69" si="25">IF(I6&lt;&gt;"", S6*AU6/1000, "")</f>
        <v>2.5217823965311519E-2</v>
      </c>
      <c r="AW6" s="50">
        <f xml:space="preserve"> IF(ISERROR(ROUND((1000*NPV($AT$1,$AV7:$AV$124)-$AW$1*($AU7+NPV($AT$1,$AU8:$AU$124)))/AU7,3)), 0, ROUND((1000*NPV($AT$1,$AV7:$AV$124)-$AW$1*($AU7+NPV($AT$1,$AU8:$AU$124)))/AU7,3))</f>
        <v>159.72</v>
      </c>
      <c r="AX6" s="50">
        <f>IF(ISERROR(ROUND(MAX(0,1000*NPV($AT$2,$AV7:$AV$124)-$AW$2*($AU7+NPV($AT$2,$AU8:$AU$124)))/AU7,3)), 0, ROUND(MAX(0,1000*NPV($AT$2,$AV7:$AV$124)-$AW$2*($AU7+NPV($AT$2,$AU8:$AU$124)))/AU7,3))</f>
        <v>0</v>
      </c>
    </row>
    <row r="7" spans="1:52" ht="15" x14ac:dyDescent="0.25">
      <c r="A7" s="15" t="s">
        <v>2</v>
      </c>
      <c r="B7" s="15"/>
      <c r="C7" s="18"/>
      <c r="D7" s="9">
        <v>0.03</v>
      </c>
      <c r="E7" s="6"/>
      <c r="F7" s="6"/>
      <c r="G7" s="6"/>
      <c r="H7" s="37"/>
      <c r="I7" s="51">
        <v>3</v>
      </c>
      <c r="J7" s="41"/>
      <c r="K7" s="41" t="str">
        <f t="shared" ref="K7:K70" si="26">IF(J7&lt;&gt;"",J7*$C$17,"")</f>
        <v/>
      </c>
      <c r="L7" s="42">
        <f t="shared" ref="L7:L70" si="27">IF(I7&lt;&gt;"",$C$21,"")</f>
        <v>25</v>
      </c>
      <c r="M7" s="41">
        <f t="shared" ref="M7:M70" si="28">IF(I7&lt;&gt;"",$E$11,"")</f>
        <v>2000000</v>
      </c>
      <c r="N7" s="43">
        <f t="shared" si="1"/>
        <v>24.084</v>
      </c>
      <c r="O7" s="44">
        <f t="shared" si="2"/>
        <v>194.94200000000001</v>
      </c>
      <c r="P7" s="41">
        <f t="shared" si="3"/>
        <v>48168</v>
      </c>
      <c r="Q7" s="41">
        <f t="shared" si="4"/>
        <v>389884</v>
      </c>
      <c r="R7" s="44"/>
      <c r="S7" s="44">
        <f>IF(I7&lt;&gt;"",_xlfn.XLOOKUP(D$4+I7,A$26:A$145,$C$26:$C$145,0) * 1000,"")</f>
        <v>28.202786351712902</v>
      </c>
      <c r="T7" s="52">
        <f>$C$11</f>
        <v>0</v>
      </c>
      <c r="U7" s="53">
        <f t="shared" si="15"/>
        <v>0.95119127527297254</v>
      </c>
      <c r="V7" s="53">
        <f t="shared" si="16"/>
        <v>2.682624431613698E-2</v>
      </c>
      <c r="W7" s="53">
        <f t="shared" si="17"/>
        <v>0</v>
      </c>
      <c r="X7" s="46">
        <f t="shared" si="5"/>
        <v>0.92436503095683553</v>
      </c>
      <c r="Y7" s="54"/>
      <c r="Z7" s="41">
        <f t="shared" si="18"/>
        <v>303848.54097319837</v>
      </c>
      <c r="AA7" s="41">
        <f t="shared" si="19"/>
        <v>19023.825505459452</v>
      </c>
      <c r="AB7" s="41">
        <f t="shared" si="6"/>
        <v>360395.13572957489</v>
      </c>
      <c r="AC7" s="41">
        <f t="shared" si="7"/>
        <v>18487.300619136709</v>
      </c>
      <c r="AD7" s="54"/>
      <c r="AE7" s="41">
        <f t="shared" si="8"/>
        <v>0</v>
      </c>
      <c r="AF7" s="41"/>
      <c r="AG7" s="41">
        <f t="shared" si="9"/>
        <v>-23.109125773920887</v>
      </c>
      <c r="AH7" s="41">
        <f t="shared" si="20"/>
        <v>-53652.488632273962</v>
      </c>
      <c r="AI7" s="41">
        <f t="shared" si="21"/>
        <v>0</v>
      </c>
      <c r="AJ7" s="41">
        <f t="shared" si="10"/>
        <v>-53675.597758047887</v>
      </c>
      <c r="AK7" s="41">
        <f t="shared" si="11"/>
        <v>-56546.594756376522</v>
      </c>
      <c r="AL7" s="41">
        <f t="shared" si="22"/>
        <v>12914.894659146314</v>
      </c>
      <c r="AM7" s="41">
        <f t="shared" si="12"/>
        <v>-97307.297855278099</v>
      </c>
      <c r="AN7" s="41">
        <f t="shared" si="13"/>
        <v>536.52488632274253</v>
      </c>
      <c r="AO7" s="41">
        <f>SUM(AM7:AN7)</f>
        <v>-96770.772968955353</v>
      </c>
      <c r="AP7" s="45"/>
      <c r="AQ7" s="45"/>
      <c r="AR7" s="48"/>
      <c r="AS7" s="48"/>
      <c r="AT7" s="51">
        <f t="shared" si="23"/>
        <v>3</v>
      </c>
      <c r="AU7" s="49">
        <f t="shared" si="24"/>
        <v>0.95119127527297254</v>
      </c>
      <c r="AV7" s="49">
        <f t="shared" si="25"/>
        <v>2.682624431613698E-2</v>
      </c>
      <c r="AW7" s="50">
        <f xml:space="preserve"> IF(ISERROR(ROUND((1000*NPV($AT$1,$AV8:$AV$124)-$AW$1*($AU8+NPV($AT$1,$AU9:$AU$124)))/AU8,3)), 0, ROUND((1000*NPV($AT$1,$AV8:$AV$124)-$AW$1*($AU8+NPV($AT$1,$AU9:$AU$124)))/AU8,3))</f>
        <v>194.94200000000001</v>
      </c>
      <c r="AX7" s="50">
        <f>IF(ISERROR(ROUND(MAX(0,1000*NPV($AT$2,$AV8:$AV$124)-$AW$2*($AU8+NPV($AT$2,$AU9:$AU$124)))/AU8,3)), 0, ROUND(MAX(0,1000*NPV($AT$2,$AV8:$AV$124)-$AW$2*($AU8+NPV($AT$2,$AU9:$AU$124)))/AU8,3))</f>
        <v>24.084</v>
      </c>
      <c r="AZ7">
        <v>0</v>
      </c>
    </row>
    <row r="8" spans="1:52" ht="15" x14ac:dyDescent="0.25">
      <c r="A8" s="12" t="s">
        <v>3</v>
      </c>
      <c r="B8" s="12"/>
      <c r="C8" s="13"/>
      <c r="D8" s="1"/>
      <c r="E8" s="1"/>
      <c r="F8" s="1"/>
      <c r="G8" s="1"/>
      <c r="H8" s="1"/>
      <c r="I8" s="51">
        <v>4</v>
      </c>
      <c r="J8" s="41"/>
      <c r="K8" s="41" t="str">
        <f t="shared" si="26"/>
        <v/>
      </c>
      <c r="L8" s="42">
        <f t="shared" si="27"/>
        <v>25</v>
      </c>
      <c r="M8" s="41">
        <f t="shared" si="28"/>
        <v>2000000</v>
      </c>
      <c r="N8" s="43">
        <f t="shared" si="1"/>
        <v>62.578000000000003</v>
      </c>
      <c r="O8" s="44">
        <f t="shared" si="2"/>
        <v>230.523</v>
      </c>
      <c r="P8" s="41">
        <f t="shared" si="3"/>
        <v>125156</v>
      </c>
      <c r="Q8" s="41">
        <f t="shared" si="4"/>
        <v>461046</v>
      </c>
      <c r="R8" s="44"/>
      <c r="S8" s="44">
        <f>IF(I8&lt;&gt;"",_xlfn.XLOOKUP(D$4+I8,A$26:A$145,$C$26:$C$145,0) * 1000,"")</f>
        <v>30.873072936984688</v>
      </c>
      <c r="T8" s="52">
        <f>$C$11</f>
        <v>0</v>
      </c>
      <c r="U8" s="53">
        <f t="shared" si="15"/>
        <v>0.92436503095683553</v>
      </c>
      <c r="V8" s="53">
        <f t="shared" si="16"/>
        <v>2.8537989021128491E-2</v>
      </c>
      <c r="W8" s="53">
        <f t="shared" si="17"/>
        <v>0</v>
      </c>
      <c r="X8" s="46">
        <f t="shared" si="5"/>
        <v>0.89582704193570706</v>
      </c>
      <c r="Y8" s="54"/>
      <c r="Z8" s="41">
        <f t="shared" si="18"/>
        <v>360395.13572957489</v>
      </c>
      <c r="AA8" s="41">
        <f t="shared" si="19"/>
        <v>18487.300619136709</v>
      </c>
      <c r="AB8" s="41">
        <f t="shared" si="6"/>
        <v>413017.47437628999</v>
      </c>
      <c r="AC8" s="41">
        <f t="shared" si="7"/>
        <v>17916.54083871414</v>
      </c>
      <c r="AD8" s="54"/>
      <c r="AE8" s="41">
        <f t="shared" si="8"/>
        <v>0</v>
      </c>
      <c r="AF8" s="41"/>
      <c r="AG8" s="41">
        <f t="shared" si="9"/>
        <v>-22.395676048392676</v>
      </c>
      <c r="AH8" s="41">
        <f t="shared" si="20"/>
        <v>-57075.978042256982</v>
      </c>
      <c r="AI8" s="41">
        <f t="shared" si="21"/>
        <v>0</v>
      </c>
      <c r="AJ8" s="41">
        <f t="shared" si="10"/>
        <v>-57098.373718305374</v>
      </c>
      <c r="AK8" s="41">
        <f t="shared" si="11"/>
        <v>-52622.338646715099</v>
      </c>
      <c r="AL8" s="41">
        <f t="shared" si="22"/>
        <v>15155.297453948464</v>
      </c>
      <c r="AM8" s="41">
        <f t="shared" si="12"/>
        <v>-94565.414911072003</v>
      </c>
      <c r="AN8" s="41">
        <f t="shared" si="13"/>
        <v>570.75978042256975</v>
      </c>
      <c r="AO8" s="41">
        <f t="shared" si="14"/>
        <v>-93994.655130649437</v>
      </c>
      <c r="AP8" s="45"/>
      <c r="AQ8" s="45"/>
      <c r="AR8" s="48"/>
      <c r="AS8" s="48"/>
      <c r="AT8" s="51">
        <f t="shared" si="23"/>
        <v>4</v>
      </c>
      <c r="AU8" s="49">
        <f t="shared" si="24"/>
        <v>0.92436503095683553</v>
      </c>
      <c r="AV8" s="49">
        <f t="shared" si="25"/>
        <v>2.8537989021128491E-2</v>
      </c>
      <c r="AW8" s="50">
        <f xml:space="preserve"> IF(ISERROR(ROUND((1000*NPV($AT$1,$AV9:$AV$124)-$AW$1*($AU9+NPV($AT$1,$AU10:$AU$124)))/AU9,3)), 0, ROUND((1000*NPV($AT$1,$AV9:$AV$124)-$AW$1*($AU9+NPV($AT$1,$AU10:$AU$124)))/AU9,3))</f>
        <v>230.523</v>
      </c>
      <c r="AX8" s="50">
        <f>IF(ISERROR(ROUND(MAX(0,1000*NPV($AT$2,$AV9:$AV$124)-$AW$2*($AU9+NPV($AT$2,$AU10:$AU$124)))/AU9,3)), 0, ROUND(MAX(0,1000*NPV($AT$2,$AV9:$AV$124)-$AW$2*($AU9+NPV($AT$2,$AU10:$AU$124)))/AU9,3))</f>
        <v>62.578000000000003</v>
      </c>
      <c r="AY8" s="59"/>
    </row>
    <row r="9" spans="1:52" ht="15" x14ac:dyDescent="0.25">
      <c r="A9" s="12"/>
      <c r="B9" s="13" t="s">
        <v>4</v>
      </c>
      <c r="C9" s="13" t="s">
        <v>5</v>
      </c>
      <c r="D9" s="1"/>
      <c r="E9" s="1"/>
      <c r="F9" s="1"/>
      <c r="G9" s="1"/>
      <c r="H9" s="1"/>
      <c r="I9" s="51">
        <v>5</v>
      </c>
      <c r="J9" s="41"/>
      <c r="K9" s="41" t="str">
        <f t="shared" si="26"/>
        <v/>
      </c>
      <c r="L9" s="42">
        <f t="shared" si="27"/>
        <v>25</v>
      </c>
      <c r="M9" s="41">
        <f t="shared" si="28"/>
        <v>2000000</v>
      </c>
      <c r="N9" s="43">
        <f t="shared" si="1"/>
        <v>101.895</v>
      </c>
      <c r="O9" s="44">
        <f t="shared" si="2"/>
        <v>266.43</v>
      </c>
      <c r="P9" s="41">
        <f t="shared" si="3"/>
        <v>203790</v>
      </c>
      <c r="Q9" s="41">
        <f t="shared" si="4"/>
        <v>532860</v>
      </c>
      <c r="R9" s="44"/>
      <c r="S9" s="44">
        <f>IF(I9&lt;&gt;"",_xlfn.XLOOKUP(D$4+I9,A$26:A$145,$C$26:$C$145,0) * 1000,"")</f>
        <v>33.878755300491257</v>
      </c>
      <c r="T9" s="52">
        <f>$C$11</f>
        <v>0</v>
      </c>
      <c r="U9" s="53">
        <f t="shared" si="15"/>
        <v>0.89582704193570706</v>
      </c>
      <c r="V9" s="53">
        <f t="shared" si="16"/>
        <v>3.0349505145302741E-2</v>
      </c>
      <c r="W9" s="53">
        <f t="shared" si="17"/>
        <v>0</v>
      </c>
      <c r="X9" s="46">
        <f t="shared" si="5"/>
        <v>0.86547753679040429</v>
      </c>
      <c r="Y9" s="54"/>
      <c r="Z9" s="41">
        <f t="shared" si="18"/>
        <v>413017.47437628999</v>
      </c>
      <c r="AA9" s="41">
        <f t="shared" si="19"/>
        <v>17916.54083871414</v>
      </c>
      <c r="AB9" s="41">
        <f t="shared" si="6"/>
        <v>461178.36025413481</v>
      </c>
      <c r="AC9" s="41">
        <f t="shared" si="7"/>
        <v>17309.550735808087</v>
      </c>
      <c r="AD9" s="54"/>
      <c r="AE9" s="41">
        <f t="shared" si="8"/>
        <v>0</v>
      </c>
      <c r="AF9" s="41"/>
      <c r="AG9" s="41">
        <f t="shared" si="9"/>
        <v>-21.636938419760106</v>
      </c>
      <c r="AH9" s="41">
        <f t="shared" si="20"/>
        <v>-60699.010290605482</v>
      </c>
      <c r="AI9" s="41">
        <f t="shared" si="21"/>
        <v>0</v>
      </c>
      <c r="AJ9" s="41">
        <f t="shared" si="10"/>
        <v>-60720.647229025242</v>
      </c>
      <c r="AK9" s="41">
        <f t="shared" si="11"/>
        <v>-48160.885877844819</v>
      </c>
      <c r="AL9" s="41">
        <f t="shared" si="22"/>
        <v>17237.360608600167</v>
      </c>
      <c r="AM9" s="41">
        <f t="shared" si="12"/>
        <v>-91644.172498269894</v>
      </c>
      <c r="AN9" s="41">
        <f t="shared" si="13"/>
        <v>606.99010290605293</v>
      </c>
      <c r="AO9" s="41">
        <f t="shared" si="14"/>
        <v>-91037.182395363838</v>
      </c>
      <c r="AP9" s="45"/>
      <c r="AQ9" s="45"/>
      <c r="AR9" s="48"/>
      <c r="AS9" s="48"/>
      <c r="AT9" s="51">
        <f t="shared" si="23"/>
        <v>5</v>
      </c>
      <c r="AU9" s="49">
        <f t="shared" si="24"/>
        <v>0.89582704193570706</v>
      </c>
      <c r="AV9" s="49">
        <f t="shared" si="25"/>
        <v>3.0349505145302741E-2</v>
      </c>
      <c r="AW9" s="50">
        <f xml:space="preserve"> IF(ISERROR(ROUND((1000*NPV($AT$1,$AV10:$AV$124)-$AW$1*($AU10+NPV($AT$1,$AU11:$AU$124)))/AU10,3)), 0, ROUND((1000*NPV($AT$1,$AV10:$AV$124)-$AW$1*($AU10+NPV($AT$1,$AU11:$AU$124)))/AU10,3))</f>
        <v>266.43</v>
      </c>
      <c r="AX9" s="50">
        <f>IF(ISERROR(ROUND(MAX(0,1000*NPV($AT$2,$AV10:$AV$124)-$AW$2*($AU10+NPV($AT$2,$AU11:$AU$124)))/AU10,3)), 0, ROUND(MAX(0,1000*NPV($AT$2,$AV10:$AV$124)-$AW$2*($AU10+NPV($AT$2,$AU11:$AU$124)))/AU10,3))</f>
        <v>101.895</v>
      </c>
    </row>
    <row r="10" spans="1:52" ht="15" x14ac:dyDescent="0.25">
      <c r="A10" s="12"/>
      <c r="B10" s="13">
        <v>1</v>
      </c>
      <c r="C10" s="17">
        <v>0</v>
      </c>
      <c r="D10" s="1"/>
      <c r="E10" s="21" t="s">
        <v>25</v>
      </c>
      <c r="F10" s="19"/>
      <c r="G10" s="1"/>
      <c r="H10" s="1"/>
      <c r="I10" s="51">
        <v>6</v>
      </c>
      <c r="J10" s="41"/>
      <c r="K10" s="41" t="str">
        <f t="shared" si="26"/>
        <v/>
      </c>
      <c r="L10" s="42">
        <f t="shared" si="27"/>
        <v>25</v>
      </c>
      <c r="M10" s="41">
        <f t="shared" si="28"/>
        <v>2000000</v>
      </c>
      <c r="N10" s="43">
        <f>AX10</f>
        <v>141.982</v>
      </c>
      <c r="O10" s="44">
        <f t="shared" si="2"/>
        <v>302.60300000000001</v>
      </c>
      <c r="P10" s="41">
        <f t="shared" si="3"/>
        <v>283964</v>
      </c>
      <c r="Q10" s="41">
        <f t="shared" si="4"/>
        <v>605206</v>
      </c>
      <c r="R10" s="44"/>
      <c r="S10" s="44">
        <f>IF(I10&lt;&gt;"",_xlfn.XLOOKUP(D$4+I10,A$26:A$145,$C$26:$C$145,0) * 1000,"")</f>
        <v>37.315149733254053</v>
      </c>
      <c r="T10" s="52">
        <f>$C$12</f>
        <v>0</v>
      </c>
      <c r="U10" s="53">
        <f t="shared" si="15"/>
        <v>0.86547753679040429</v>
      </c>
      <c r="V10" s="53">
        <f t="shared" si="16"/>
        <v>3.2295423876101827E-2</v>
      </c>
      <c r="W10" s="53">
        <f t="shared" si="17"/>
        <v>0</v>
      </c>
      <c r="X10" s="46">
        <f t="shared" si="5"/>
        <v>0.83318211291430244</v>
      </c>
      <c r="Y10" s="54"/>
      <c r="Z10" s="41">
        <f t="shared" si="18"/>
        <v>461178.36025413481</v>
      </c>
      <c r="AA10" s="41">
        <f t="shared" si="19"/>
        <v>17309.550735808087</v>
      </c>
      <c r="AB10" s="41">
        <f t="shared" si="6"/>
        <v>504246.81382841332</v>
      </c>
      <c r="AC10" s="41">
        <f t="shared" si="7"/>
        <v>16663.64225828605</v>
      </c>
      <c r="AD10" s="54"/>
      <c r="AE10" s="41">
        <f t="shared" si="8"/>
        <v>0</v>
      </c>
      <c r="AF10" s="41"/>
      <c r="AG10" s="41">
        <f t="shared" si="9"/>
        <v>-20.829552822857561</v>
      </c>
      <c r="AH10" s="41">
        <f t="shared" si="20"/>
        <v>-64590.847752203656</v>
      </c>
      <c r="AI10" s="41">
        <f t="shared" si="21"/>
        <v>0</v>
      </c>
      <c r="AJ10" s="41">
        <f t="shared" si="10"/>
        <v>-64611.677305026511</v>
      </c>
      <c r="AK10" s="41">
        <f t="shared" si="11"/>
        <v>-43068.453574278508</v>
      </c>
      <c r="AL10" s="41">
        <f t="shared" si="22"/>
        <v>19139.516439597715</v>
      </c>
      <c r="AM10" s="41">
        <f t="shared" si="12"/>
        <v>-88540.614439707293</v>
      </c>
      <c r="AN10" s="41">
        <f t="shared" si="13"/>
        <v>645.90847752203626</v>
      </c>
      <c r="AO10" s="41">
        <f t="shared" si="14"/>
        <v>-87894.705962185253</v>
      </c>
      <c r="AP10" s="45"/>
      <c r="AQ10" s="45"/>
      <c r="AR10" s="48"/>
      <c r="AS10" s="48"/>
      <c r="AT10" s="51">
        <f t="shared" si="23"/>
        <v>6</v>
      </c>
      <c r="AU10" s="49">
        <f t="shared" si="24"/>
        <v>0.86547753679040429</v>
      </c>
      <c r="AV10" s="49">
        <f t="shared" si="25"/>
        <v>3.2295423876101827E-2</v>
      </c>
      <c r="AW10" s="50">
        <f xml:space="preserve"> IF(ISERROR(ROUND((1000*NPV($AT$1,$AV11:$AV$124)-$AW$1*($AU11+NPV($AT$1,$AU12:$AU$124)))/AU11,3)), 0, ROUND((1000*NPV($AT$1,$AV11:$AV$124)-$AW$1*($AU11+NPV($AT$1,$AU12:$AU$124)))/AU11,3))</f>
        <v>302.60300000000001</v>
      </c>
      <c r="AX10" s="50">
        <f>IF(ISERROR(ROUND(MAX(0,1000*NPV($AT$2,$AV11:$AV$124)-$AW$2*($AU11+NPV($AT$2,$AU12:$AU$124)))/AU11,3)), 0, ROUND(MAX(0,1000*NPV($AT$2,$AV11:$AV$124)-$AW$2*($AU11+NPV($AT$2,$AU12:$AU$124)))/AU11,3))</f>
        <v>141.982</v>
      </c>
    </row>
    <row r="11" spans="1:52" ht="15" x14ac:dyDescent="0.25">
      <c r="A11" s="12"/>
      <c r="B11" s="14" t="s">
        <v>6</v>
      </c>
      <c r="C11" s="17">
        <v>0</v>
      </c>
      <c r="D11" s="1"/>
      <c r="E11" s="22">
        <v>2000000</v>
      </c>
      <c r="F11" s="19"/>
      <c r="G11" s="1"/>
      <c r="H11" s="1"/>
      <c r="I11" s="51">
        <v>7</v>
      </c>
      <c r="J11" s="41"/>
      <c r="K11" s="41" t="str">
        <f t="shared" si="26"/>
        <v/>
      </c>
      <c r="L11" s="42">
        <f t="shared" si="27"/>
        <v>25</v>
      </c>
      <c r="M11" s="41">
        <f t="shared" si="28"/>
        <v>2000000</v>
      </c>
      <c r="N11" s="43">
        <f t="shared" si="1"/>
        <v>182.76300000000001</v>
      </c>
      <c r="O11" s="44">
        <f>AW11</f>
        <v>338.96499999999997</v>
      </c>
      <c r="P11" s="41">
        <f t="shared" si="3"/>
        <v>365526</v>
      </c>
      <c r="Q11" s="41">
        <f t="shared" si="4"/>
        <v>677930</v>
      </c>
      <c r="R11" s="44"/>
      <c r="S11" s="44">
        <f>IF(I11&lt;&gt;"",_xlfn.XLOOKUP(D$4+I11,A$26:A$145,$C$26:$C$145,0) * 1000,"")</f>
        <v>41.269793878426448</v>
      </c>
      <c r="T11" s="52">
        <f>$C$12</f>
        <v>0</v>
      </c>
      <c r="U11" s="53">
        <f t="shared" si="15"/>
        <v>0.83318211291430244</v>
      </c>
      <c r="V11" s="53">
        <f t="shared" si="16"/>
        <v>3.4385254063165095E-2</v>
      </c>
      <c r="W11" s="53">
        <f t="shared" si="17"/>
        <v>0</v>
      </c>
      <c r="X11" s="46">
        <f t="shared" si="5"/>
        <v>0.79879685885113738</v>
      </c>
      <c r="Y11" s="54"/>
      <c r="Z11" s="41">
        <f t="shared" si="18"/>
        <v>504246.81382841332</v>
      </c>
      <c r="AA11" s="41">
        <f t="shared" si="19"/>
        <v>16663.64225828605</v>
      </c>
      <c r="AB11" s="41">
        <f t="shared" si="6"/>
        <v>541528.35452095151</v>
      </c>
      <c r="AC11" s="41">
        <f t="shared" si="7"/>
        <v>15975.937177022748</v>
      </c>
      <c r="AD11" s="54"/>
      <c r="AE11" s="41">
        <f t="shared" si="8"/>
        <v>0</v>
      </c>
      <c r="AF11" s="41"/>
      <c r="AG11" s="41">
        <f t="shared" si="9"/>
        <v>-19.969921471278436</v>
      </c>
      <c r="AH11" s="41">
        <f t="shared" si="20"/>
        <v>-68770.508126330184</v>
      </c>
      <c r="AI11" s="41">
        <f t="shared" si="21"/>
        <v>0</v>
      </c>
      <c r="AJ11" s="41">
        <f t="shared" si="10"/>
        <v>-68790.478047801458</v>
      </c>
      <c r="AK11" s="41">
        <f t="shared" si="11"/>
        <v>-37281.540692538198</v>
      </c>
      <c r="AL11" s="41">
        <f t="shared" si="22"/>
        <v>20836.418243467975</v>
      </c>
      <c r="AM11" s="41">
        <f t="shared" si="12"/>
        <v>-85235.600496871688</v>
      </c>
      <c r="AN11" s="41">
        <f t="shared" si="13"/>
        <v>687.70508126330242</v>
      </c>
      <c r="AO11" s="41">
        <f t="shared" si="14"/>
        <v>-84547.895415608393</v>
      </c>
      <c r="AP11" s="45"/>
      <c r="AQ11" s="45"/>
      <c r="AR11" s="48"/>
      <c r="AS11" s="48"/>
      <c r="AT11" s="51">
        <f t="shared" si="23"/>
        <v>7</v>
      </c>
      <c r="AU11" s="49">
        <f t="shared" si="24"/>
        <v>0.83318211291430244</v>
      </c>
      <c r="AV11" s="49">
        <f t="shared" si="25"/>
        <v>3.4385254063165095E-2</v>
      </c>
      <c r="AW11" s="50">
        <f xml:space="preserve"> IF(ISERROR(ROUND((1000*NPV($AT$1,$AV12:$AV$124)-$AW$1*($AU12+NPV($AT$1,$AU13:$AU$124)))/AU12,3)), 0, ROUND((1000*NPV($AT$1,$AV12:$AV$124)-$AW$1*($AU12+NPV($AT$1,$AU13:$AU$124)))/AU12,3))</f>
        <v>338.96499999999997</v>
      </c>
      <c r="AX11" s="50">
        <f>IF(ISERROR(ROUND(MAX(0,1000*NPV($AT$2,$AV12:$AV$124)-$AW$2*($AU12+NPV($AT$2,$AU13:$AU$124)))/AU12,3)), 0, ROUND(MAX(0,1000*NPV($AT$2,$AV12:$AV$124)-$AW$2*($AU12+NPV($AT$2,$AU13:$AU$124)))/AU12,3))</f>
        <v>182.76300000000001</v>
      </c>
    </row>
    <row r="12" spans="1:52" ht="15" x14ac:dyDescent="0.25">
      <c r="A12" s="12"/>
      <c r="B12" s="14" t="s">
        <v>7</v>
      </c>
      <c r="C12" s="17">
        <v>0</v>
      </c>
      <c r="D12" s="1"/>
      <c r="E12" s="1"/>
      <c r="F12" s="1"/>
      <c r="G12" s="1"/>
      <c r="H12" s="1"/>
      <c r="I12" s="51">
        <v>8</v>
      </c>
      <c r="J12" s="41"/>
      <c r="K12" s="41" t="str">
        <f t="shared" si="26"/>
        <v/>
      </c>
      <c r="L12" s="42">
        <f t="shared" si="27"/>
        <v>25</v>
      </c>
      <c r="M12" s="41">
        <f t="shared" si="28"/>
        <v>2000000</v>
      </c>
      <c r="N12" s="43">
        <f>AX12</f>
        <v>224.16900000000001</v>
      </c>
      <c r="O12" s="44">
        <f t="shared" si="2"/>
        <v>375.44499999999999</v>
      </c>
      <c r="P12" s="41">
        <f t="shared" si="3"/>
        <v>448338</v>
      </c>
      <c r="Q12" s="41">
        <f t="shared" si="4"/>
        <v>750890</v>
      </c>
      <c r="R12" s="44"/>
      <c r="S12" s="44">
        <f>IF(I12&lt;&gt;"",_xlfn.XLOOKUP(D$4+I12,A$26:A$145,$C$26:$C$145,0) * 1000,"")</f>
        <v>45.82116314592119</v>
      </c>
      <c r="T12" s="52">
        <f>$C$12</f>
        <v>0</v>
      </c>
      <c r="U12" s="53">
        <f t="shared" si="15"/>
        <v>0.79879685885113738</v>
      </c>
      <c r="V12" s="53">
        <f t="shared" si="16"/>
        <v>3.6601801189867347E-2</v>
      </c>
      <c r="W12" s="53">
        <f t="shared" si="17"/>
        <v>0</v>
      </c>
      <c r="X12" s="46">
        <f t="shared" si="5"/>
        <v>0.76219505766127005</v>
      </c>
      <c r="Y12" s="54"/>
      <c r="Z12" s="41">
        <f t="shared" si="18"/>
        <v>541528.35452095151</v>
      </c>
      <c r="AA12" s="41">
        <f t="shared" si="19"/>
        <v>15975.937177022748</v>
      </c>
      <c r="AB12" s="41">
        <f t="shared" si="6"/>
        <v>572324.64684727101</v>
      </c>
      <c r="AC12" s="41">
        <f t="shared" si="7"/>
        <v>15243.901153225401</v>
      </c>
      <c r="AD12" s="54"/>
      <c r="AE12" s="41">
        <f t="shared" si="8"/>
        <v>0</v>
      </c>
      <c r="AF12" s="41"/>
      <c r="AG12" s="41">
        <f t="shared" si="9"/>
        <v>-19.05487644153175</v>
      </c>
      <c r="AH12" s="41">
        <f t="shared" si="20"/>
        <v>-73203.602379734701</v>
      </c>
      <c r="AI12" s="41">
        <f t="shared" si="21"/>
        <v>0</v>
      </c>
      <c r="AJ12" s="41">
        <f t="shared" si="10"/>
        <v>-73222.65725617623</v>
      </c>
      <c r="AK12" s="41">
        <f t="shared" si="11"/>
        <v>-30796.292326319497</v>
      </c>
      <c r="AL12" s="41">
        <f t="shared" si="22"/>
        <v>22300.171667918974</v>
      </c>
      <c r="AM12" s="41">
        <f t="shared" si="12"/>
        <v>-81718.777914576756</v>
      </c>
      <c r="AN12" s="41">
        <f t="shared" si="13"/>
        <v>732.0360237973473</v>
      </c>
      <c r="AO12" s="41">
        <f t="shared" si="14"/>
        <v>-80986.741890779405</v>
      </c>
      <c r="AP12" s="45"/>
      <c r="AQ12" s="45"/>
      <c r="AR12" s="48"/>
      <c r="AS12" s="48"/>
      <c r="AT12" s="51">
        <f t="shared" si="23"/>
        <v>8</v>
      </c>
      <c r="AU12" s="49">
        <f t="shared" si="24"/>
        <v>0.79879685885113738</v>
      </c>
      <c r="AV12" s="49">
        <f t="shared" si="25"/>
        <v>3.6601801189867347E-2</v>
      </c>
      <c r="AW12" s="50">
        <f xml:space="preserve"> IF(ISERROR(ROUND((1000*NPV($AT$1,$AV13:$AV$124)-$AW$1*($AU13+NPV($AT$1,$AU14:$AU$124)))/AU13,3)), 0, ROUND((1000*NPV($AT$1,$AV13:$AV$124)-$AW$1*($AU13+NPV($AT$1,$AU14:$AU$124)))/AU13,3))</f>
        <v>375.44499999999999</v>
      </c>
      <c r="AX12" s="50">
        <f>IF(ISERROR(ROUND(MAX(0,1000*NPV($AT$2,$AV13:$AV$124)-$AW$2*($AU13+NPV($AT$2,$AU14:$AU$124)))/AU13,3)), 0, ROUND(MAX(0,1000*NPV($AT$2,$AV13:$AV$124)-$AW$2*($AU13+NPV($AT$2,$AU14:$AU$124)))/AU13,3))</f>
        <v>224.16900000000001</v>
      </c>
    </row>
    <row r="13" spans="1:52" ht="15" x14ac:dyDescent="0.25">
      <c r="A13" s="12"/>
      <c r="B13" s="13" t="s">
        <v>8</v>
      </c>
      <c r="C13" s="17">
        <v>0</v>
      </c>
      <c r="D13" s="1"/>
      <c r="E13" s="1"/>
      <c r="F13" s="1"/>
      <c r="G13" s="1"/>
      <c r="H13" s="1"/>
      <c r="I13" s="51">
        <v>9</v>
      </c>
      <c r="J13" s="41"/>
      <c r="K13" s="41" t="str">
        <f t="shared" si="26"/>
        <v/>
      </c>
      <c r="L13" s="42">
        <f t="shared" si="27"/>
        <v>25</v>
      </c>
      <c r="M13" s="41">
        <f t="shared" si="28"/>
        <v>2000000</v>
      </c>
      <c r="N13" s="43">
        <f t="shared" si="1"/>
        <v>266.00900000000001</v>
      </c>
      <c r="O13" s="44">
        <f t="shared" si="2"/>
        <v>411.87299999999999</v>
      </c>
      <c r="P13" s="41">
        <f t="shared" si="3"/>
        <v>532018</v>
      </c>
      <c r="Q13" s="41">
        <f t="shared" si="4"/>
        <v>823746</v>
      </c>
      <c r="R13" s="44"/>
      <c r="S13" s="44">
        <f>IF(I13&lt;&gt;"",_xlfn.XLOOKUP(D$4+I13,A$26:A$145,$C$26:$C$145,0) * 1000,"")</f>
        <v>51.22693105972602</v>
      </c>
      <c r="T13" s="52">
        <f>$C$12</f>
        <v>0</v>
      </c>
      <c r="U13" s="53">
        <f t="shared" si="15"/>
        <v>0.76219505766127005</v>
      </c>
      <c r="V13" s="53">
        <f t="shared" si="16"/>
        <v>3.9044913672877775E-2</v>
      </c>
      <c r="W13" s="53">
        <f t="shared" si="17"/>
        <v>0</v>
      </c>
      <c r="X13" s="46">
        <f t="shared" si="5"/>
        <v>0.72315014398839228</v>
      </c>
      <c r="Y13" s="54"/>
      <c r="Z13" s="41">
        <f t="shared" si="18"/>
        <v>572324.64684727101</v>
      </c>
      <c r="AA13" s="41">
        <f t="shared" si="19"/>
        <v>15243.901153225401</v>
      </c>
      <c r="AB13" s="41">
        <f t="shared" si="6"/>
        <v>595692.03850986215</v>
      </c>
      <c r="AC13" s="41">
        <f t="shared" si="7"/>
        <v>14463.002879767846</v>
      </c>
      <c r="AD13" s="54"/>
      <c r="AE13" s="41">
        <f t="shared" si="8"/>
        <v>0</v>
      </c>
      <c r="AF13" s="41"/>
      <c r="AG13" s="41">
        <f t="shared" si="9"/>
        <v>-18.078753599709806</v>
      </c>
      <c r="AH13" s="41">
        <f t="shared" si="20"/>
        <v>-78089.827345755548</v>
      </c>
      <c r="AI13" s="41">
        <f t="shared" si="21"/>
        <v>0</v>
      </c>
      <c r="AJ13" s="41">
        <f t="shared" si="10"/>
        <v>-78107.906099355256</v>
      </c>
      <c r="AK13" s="41">
        <f t="shared" si="11"/>
        <v>-23367.391662591137</v>
      </c>
      <c r="AL13" s="41">
        <f t="shared" si="22"/>
        <v>23502.74192001986</v>
      </c>
      <c r="AM13" s="41">
        <f t="shared" si="12"/>
        <v>-77972.555841926529</v>
      </c>
      <c r="AN13" s="41">
        <f t="shared" si="13"/>
        <v>780.89827345755475</v>
      </c>
      <c r="AO13" s="41">
        <f t="shared" si="14"/>
        <v>-77191.657568468974</v>
      </c>
      <c r="AP13" s="45"/>
      <c r="AQ13" s="45"/>
      <c r="AR13" s="48"/>
      <c r="AS13" s="48"/>
      <c r="AT13" s="51">
        <f t="shared" si="23"/>
        <v>9</v>
      </c>
      <c r="AU13" s="49">
        <f t="shared" si="24"/>
        <v>0.76219505766127005</v>
      </c>
      <c r="AV13" s="49">
        <f t="shared" si="25"/>
        <v>3.9044913672877775E-2</v>
      </c>
      <c r="AW13" s="50">
        <f xml:space="preserve"> IF(ISERROR(ROUND((1000*NPV($AT$1,$AV14:$AV$124)-$AW$1*($AU14+NPV($AT$1,$AU15:$AU$124)))/AU14,3)), 0, ROUND((1000*NPV($AT$1,$AV14:$AV$124)-$AW$1*($AU14+NPV($AT$1,$AU15:$AU$124)))/AU14,3))</f>
        <v>411.87299999999999</v>
      </c>
      <c r="AX13" s="50">
        <f>IF(ISERROR(ROUND(MAX(0,1000*NPV($AT$2,$AV14:$AV$124)-$AW$2*($AU14+NPV($AT$2,$AU15:$AU$124)))/AU14,3)), 0, ROUND(MAX(0,1000*NPV($AT$2,$AV14:$AV$124)-$AW$2*($AU14+NPV($AT$2,$AU15:$AU$124)))/AU14,3))</f>
        <v>266.00900000000001</v>
      </c>
    </row>
    <row r="14" spans="1:52" ht="15" x14ac:dyDescent="0.25">
      <c r="A14" s="15" t="s">
        <v>11</v>
      </c>
      <c r="B14" s="19"/>
      <c r="C14" s="18"/>
      <c r="D14" s="1"/>
      <c r="E14" s="24" t="s">
        <v>36</v>
      </c>
      <c r="F14" s="13"/>
      <c r="G14" s="13"/>
      <c r="H14" s="36">
        <v>0.01</v>
      </c>
      <c r="I14" s="51">
        <v>10</v>
      </c>
      <c r="J14" s="41"/>
      <c r="K14" s="41" t="str">
        <f t="shared" si="26"/>
        <v/>
      </c>
      <c r="L14" s="42">
        <f t="shared" si="27"/>
        <v>25</v>
      </c>
      <c r="M14" s="41">
        <f t="shared" si="28"/>
        <v>2000000</v>
      </c>
      <c r="N14" s="43">
        <f t="shared" si="1"/>
        <v>308.22199999999998</v>
      </c>
      <c r="O14" s="44">
        <f t="shared" si="2"/>
        <v>448.19099999999997</v>
      </c>
      <c r="P14" s="41">
        <f t="shared" si="3"/>
        <v>616444</v>
      </c>
      <c r="Q14" s="41">
        <f t="shared" si="4"/>
        <v>896382</v>
      </c>
      <c r="R14" s="44"/>
      <c r="S14" s="44">
        <f>IF(I14&lt;&gt;"",_xlfn.XLOOKUP(D$4+I14,A$26:A$145,$C$26:$C$145,0) * 1000,"")</f>
        <v>57.441008541314567</v>
      </c>
      <c r="T14" s="52">
        <f>$C$12</f>
        <v>0</v>
      </c>
      <c r="U14" s="53">
        <f t="shared" si="15"/>
        <v>0.72315014398839228</v>
      </c>
      <c r="V14" s="53">
        <f t="shared" si="16"/>
        <v>4.1538473597490098E-2</v>
      </c>
      <c r="W14" s="53">
        <f t="shared" si="17"/>
        <v>0</v>
      </c>
      <c r="X14" s="46">
        <f t="shared" si="5"/>
        <v>0.6816116703909022</v>
      </c>
      <c r="Y14" s="54"/>
      <c r="Z14" s="41">
        <f t="shared" si="18"/>
        <v>595692.03850986215</v>
      </c>
      <c r="AA14" s="41">
        <f t="shared" si="19"/>
        <v>14463.002879767846</v>
      </c>
      <c r="AB14" s="41">
        <f t="shared" si="6"/>
        <v>610984.43232833769</v>
      </c>
      <c r="AC14" s="41">
        <f t="shared" si="7"/>
        <v>13632.233407818045</v>
      </c>
      <c r="AD14" s="54"/>
      <c r="AE14" s="41">
        <f t="shared" si="8"/>
        <v>0</v>
      </c>
      <c r="AF14" s="41"/>
      <c r="AG14" s="41">
        <f t="shared" si="9"/>
        <v>-17.040291759772554</v>
      </c>
      <c r="AH14" s="41">
        <f t="shared" si="20"/>
        <v>-83076.947194980195</v>
      </c>
      <c r="AI14" s="41">
        <f t="shared" si="21"/>
        <v>0</v>
      </c>
      <c r="AJ14" s="41">
        <f t="shared" si="10"/>
        <v>-83093.987486739963</v>
      </c>
      <c r="AK14" s="41">
        <f t="shared" si="11"/>
        <v>-15292.393818475539</v>
      </c>
      <c r="AL14" s="41">
        <f t="shared" si="22"/>
        <v>24406.201655585199</v>
      </c>
      <c r="AM14" s="41">
        <f t="shared" si="12"/>
        <v>-73980.1796496303</v>
      </c>
      <c r="AN14" s="41">
        <f t="shared" si="13"/>
        <v>830.7694719498013</v>
      </c>
      <c r="AO14" s="41">
        <f t="shared" si="14"/>
        <v>-73149.410177680504</v>
      </c>
      <c r="AP14" s="45"/>
      <c r="AQ14" s="45"/>
      <c r="AR14" s="48"/>
      <c r="AS14" s="48"/>
      <c r="AT14" s="51">
        <f t="shared" si="23"/>
        <v>10</v>
      </c>
      <c r="AU14" s="49">
        <f t="shared" si="24"/>
        <v>0.72315014398839228</v>
      </c>
      <c r="AV14" s="49">
        <f t="shared" si="25"/>
        <v>4.1538473597490098E-2</v>
      </c>
      <c r="AW14" s="50">
        <f xml:space="preserve"> IF(ISERROR(ROUND((1000*NPV($AT$1,$AV15:$AV$124)-$AW$1*($AU15+NPV($AT$1,$AU16:$AU$124)))/AU15,3)), 0, ROUND((1000*NPV($AT$1,$AV15:$AV$124)-$AW$1*($AU15+NPV($AT$1,$AU16:$AU$124)))/AU15,3))</f>
        <v>448.19099999999997</v>
      </c>
      <c r="AX14" s="50">
        <f>IF(ISERROR(ROUND(MAX(0,1000*NPV($AT$2,$AV15:$AV$124)-$AW$2*($AU15+NPV($AT$2,$AU16:$AU$124)))/AU15,3)), 0, ROUND(MAX(0,1000*NPV($AT$2,$AV15:$AV$124)-$AW$2*($AU15+NPV($AT$2,$AU16:$AU$124)))/AU15,3))</f>
        <v>308.22199999999998</v>
      </c>
    </row>
    <row r="15" spans="1:52" ht="15" x14ac:dyDescent="0.25">
      <c r="A15" s="15"/>
      <c r="B15" s="19" t="s">
        <v>4</v>
      </c>
      <c r="C15" s="19" t="s">
        <v>5</v>
      </c>
      <c r="D15" s="1"/>
      <c r="E15" s="1"/>
      <c r="F15" s="1"/>
      <c r="G15" s="1"/>
      <c r="H15" s="1"/>
      <c r="I15" s="51">
        <v>11</v>
      </c>
      <c r="J15" s="41"/>
      <c r="K15" s="41" t="str">
        <f t="shared" si="26"/>
        <v/>
      </c>
      <c r="L15" s="42">
        <f t="shared" si="27"/>
        <v>25</v>
      </c>
      <c r="M15" s="41">
        <f t="shared" si="28"/>
        <v>2000000</v>
      </c>
      <c r="N15" s="43">
        <f t="shared" si="1"/>
        <v>344.32499999999999</v>
      </c>
      <c r="O15" s="44">
        <f t="shared" si="2"/>
        <v>479.23099999999999</v>
      </c>
      <c r="P15" s="41">
        <f t="shared" si="3"/>
        <v>688650</v>
      </c>
      <c r="Q15" s="41">
        <f t="shared" si="4"/>
        <v>958462</v>
      </c>
      <c r="R15" s="44"/>
      <c r="S15" s="44">
        <f>IF(I15&lt;&gt;"",_xlfn.XLOOKUP(D$4+I15,A$26:A$145,$C$26:$C$145,0) * 1000,"")</f>
        <v>73.787547033267131</v>
      </c>
      <c r="T15" s="52">
        <f>$C$13</f>
        <v>0</v>
      </c>
      <c r="U15" s="53">
        <f t="shared" si="15"/>
        <v>0.6816116703909022</v>
      </c>
      <c r="V15" s="53">
        <f t="shared" si="16"/>
        <v>5.0294453187392472E-2</v>
      </c>
      <c r="W15" s="53">
        <f t="shared" si="17"/>
        <v>0</v>
      </c>
      <c r="X15" s="46">
        <f t="shared" si="5"/>
        <v>0.63131721720350975</v>
      </c>
      <c r="Y15" s="54"/>
      <c r="Z15" s="41">
        <f t="shared" si="18"/>
        <v>610984.43232833769</v>
      </c>
      <c r="AA15" s="41">
        <f t="shared" si="19"/>
        <v>13632.233407818045</v>
      </c>
      <c r="AB15" s="41">
        <f t="shared" si="6"/>
        <v>605093.56263531034</v>
      </c>
      <c r="AC15" s="41">
        <f t="shared" si="7"/>
        <v>12626.344344070196</v>
      </c>
      <c r="AD15" s="54"/>
      <c r="AE15" s="41">
        <f t="shared" si="8"/>
        <v>0</v>
      </c>
      <c r="AF15" s="41"/>
      <c r="AG15" s="41">
        <f t="shared" si="9"/>
        <v>-15.782930430087744</v>
      </c>
      <c r="AH15" s="41">
        <f t="shared" si="20"/>
        <v>-100588.90637478494</v>
      </c>
      <c r="AI15" s="41">
        <f t="shared" si="21"/>
        <v>0</v>
      </c>
      <c r="AJ15" s="41">
        <f t="shared" si="10"/>
        <v>-100604.68930521503</v>
      </c>
      <c r="AK15" s="41">
        <f t="shared" si="11"/>
        <v>5890.8696930273436</v>
      </c>
      <c r="AL15" s="41">
        <f t="shared" si="22"/>
        <v>24984.66662944623</v>
      </c>
      <c r="AM15" s="41">
        <f t="shared" si="12"/>
        <v>-69729.152982741449</v>
      </c>
      <c r="AN15" s="41">
        <f t="shared" si="13"/>
        <v>1005.8890637478489</v>
      </c>
      <c r="AO15" s="41">
        <f t="shared" si="14"/>
        <v>-68723.263918993602</v>
      </c>
      <c r="AP15" s="45"/>
      <c r="AQ15" s="45"/>
      <c r="AR15" s="48"/>
      <c r="AS15" s="48"/>
      <c r="AT15" s="51">
        <f t="shared" si="23"/>
        <v>11</v>
      </c>
      <c r="AU15" s="49">
        <f t="shared" si="24"/>
        <v>0.6816116703909022</v>
      </c>
      <c r="AV15" s="49">
        <f t="shared" si="25"/>
        <v>5.0294453187392472E-2</v>
      </c>
      <c r="AW15" s="50">
        <f xml:space="preserve"> IF(ISERROR(ROUND((1000*NPV($AT$1,$AV16:$AV$124)-$AW$1*($AU16+NPV($AT$1,$AU17:$AU$124)))/AU16,3)), 0, ROUND((1000*NPV($AT$1,$AV16:$AV$124)-$AW$1*($AU16+NPV($AT$1,$AU17:$AU$124)))/AU16,3))</f>
        <v>479.23099999999999</v>
      </c>
      <c r="AX15" s="50">
        <f>IF(ISERROR(ROUND(MAX(0,1000*NPV($AT$2,$AV16:$AV$124)-$AW$2*($AU16+NPV($AT$2,$AU17:$AU$124)))/AU16,3)), 0, ROUND(MAX(0,1000*NPV($AT$2,$AV16:$AV$124)-$AW$2*($AU16+NPV($AT$2,$AU17:$AU$124)))/AU16,3))</f>
        <v>344.32499999999999</v>
      </c>
    </row>
    <row r="16" spans="1:52" ht="15" x14ac:dyDescent="0.25">
      <c r="A16" s="15"/>
      <c r="B16" s="19">
        <v>1</v>
      </c>
      <c r="C16" s="18">
        <v>0.3</v>
      </c>
      <c r="D16" s="1"/>
      <c r="E16" s="19" t="s">
        <v>69</v>
      </c>
      <c r="F16" s="7">
        <v>0.06</v>
      </c>
      <c r="G16" s="5"/>
      <c r="H16" s="1"/>
      <c r="I16" s="51">
        <v>12</v>
      </c>
      <c r="J16" s="41"/>
      <c r="K16" s="41" t="str">
        <f t="shared" si="26"/>
        <v/>
      </c>
      <c r="L16" s="42">
        <f t="shared" si="27"/>
        <v>25</v>
      </c>
      <c r="M16" s="41">
        <f t="shared" si="28"/>
        <v>2000000</v>
      </c>
      <c r="N16" s="43">
        <f t="shared" si="1"/>
        <v>379.41500000000002</v>
      </c>
      <c r="O16" s="44">
        <f t="shared" si="2"/>
        <v>509.16</v>
      </c>
      <c r="P16" s="41">
        <f t="shared" si="3"/>
        <v>758830</v>
      </c>
      <c r="Q16" s="41">
        <f t="shared" si="4"/>
        <v>1018320</v>
      </c>
      <c r="R16" s="44"/>
      <c r="S16" s="44">
        <f>IF(I16&lt;&gt;"",_xlfn.XLOOKUP(D$4+I16,A$26:A$145,$C$26:$C$145,0) * 1000,"")</f>
        <v>83.080460197741417</v>
      </c>
      <c r="T16" s="52">
        <f t="shared" ref="T16:T80" si="29">$C$13</f>
        <v>0</v>
      </c>
      <c r="U16" s="53">
        <f t="shared" si="15"/>
        <v>0.63131721720350975</v>
      </c>
      <c r="V16" s="53">
        <f t="shared" si="16"/>
        <v>5.2450124936025064E-2</v>
      </c>
      <c r="W16" s="53">
        <f t="shared" si="17"/>
        <v>0</v>
      </c>
      <c r="X16" s="46">
        <f t="shared" si="5"/>
        <v>0.57886709226748467</v>
      </c>
      <c r="Y16" s="54"/>
      <c r="Z16" s="41">
        <f t="shared" si="18"/>
        <v>605093.56263531034</v>
      </c>
      <c r="AA16" s="41">
        <f t="shared" si="19"/>
        <v>12626.344344070196</v>
      </c>
      <c r="AB16" s="41">
        <f t="shared" si="6"/>
        <v>589471.93739782495</v>
      </c>
      <c r="AC16" s="41">
        <f t="shared" si="7"/>
        <v>11577.341845349694</v>
      </c>
      <c r="AD16" s="54"/>
      <c r="AE16" s="41">
        <f t="shared" si="8"/>
        <v>0</v>
      </c>
      <c r="AF16" s="41"/>
      <c r="AG16" s="41">
        <f t="shared" si="9"/>
        <v>-14.471677306687116</v>
      </c>
      <c r="AH16" s="41">
        <f t="shared" si="20"/>
        <v>-104900.24987205013</v>
      </c>
      <c r="AI16" s="41">
        <f t="shared" si="21"/>
        <v>0</v>
      </c>
      <c r="AJ16" s="41">
        <f t="shared" si="10"/>
        <v>-104914.72154935682</v>
      </c>
      <c r="AK16" s="41">
        <f t="shared" si="11"/>
        <v>15621.625237485394</v>
      </c>
      <c r="AL16" s="41">
        <f t="shared" si="22"/>
        <v>24708.796279175222</v>
      </c>
      <c r="AM16" s="41">
        <f t="shared" si="12"/>
        <v>-64584.300032696206</v>
      </c>
      <c r="AN16" s="41">
        <f t="shared" si="13"/>
        <v>1049.0024987205015</v>
      </c>
      <c r="AO16" s="41">
        <f t="shared" si="14"/>
        <v>-63535.297533975703</v>
      </c>
      <c r="AP16" s="45"/>
      <c r="AQ16" s="45"/>
      <c r="AR16" s="48"/>
      <c r="AS16" s="48"/>
      <c r="AT16" s="51">
        <f t="shared" si="23"/>
        <v>12</v>
      </c>
      <c r="AU16" s="49">
        <f t="shared" si="24"/>
        <v>0.63131721720350975</v>
      </c>
      <c r="AV16" s="49">
        <f t="shared" si="25"/>
        <v>5.2450124936025064E-2</v>
      </c>
      <c r="AW16" s="50">
        <f xml:space="preserve"> IF(ISERROR(ROUND((1000*NPV($AT$1,$AV17:$AV$124)-$AW$1*($AU17+NPV($AT$1,$AU18:$AU$124)))/AU17,3)), 0, ROUND((1000*NPV($AT$1,$AV17:$AV$124)-$AW$1*($AU17+NPV($AT$1,$AU18:$AU$124)))/AU17,3))</f>
        <v>509.16</v>
      </c>
      <c r="AX16" s="50">
        <f>IF(ISERROR(ROUND(MAX(0,1000*NPV($AT$2,$AV17:$AV$124)-$AW$2*($AU17+NPV($AT$2,$AU18:$AU$124)))/AU17,3)), 0, ROUND(MAX(0,1000*NPV($AT$2,$AV17:$AV$124)-$AW$2*($AU17+NPV($AT$2,$AU18:$AU$124)))/AU17,3))</f>
        <v>379.41500000000002</v>
      </c>
    </row>
    <row r="17" spans="1:50" ht="15" x14ac:dyDescent="0.25">
      <c r="A17" s="15"/>
      <c r="B17" s="20" t="s">
        <v>9</v>
      </c>
      <c r="C17" s="18">
        <v>0.3</v>
      </c>
      <c r="D17" s="1"/>
      <c r="E17" s="1"/>
      <c r="F17" s="1"/>
      <c r="G17" s="5"/>
      <c r="H17" s="1"/>
      <c r="I17" s="51">
        <v>13</v>
      </c>
      <c r="J17" s="41"/>
      <c r="K17" s="41" t="str">
        <f t="shared" si="26"/>
        <v/>
      </c>
      <c r="L17" s="42">
        <f t="shared" si="27"/>
        <v>25</v>
      </c>
      <c r="M17" s="41">
        <f t="shared" si="28"/>
        <v>2000000</v>
      </c>
      <c r="N17" s="43">
        <f t="shared" si="1"/>
        <v>413.375</v>
      </c>
      <c r="O17" s="44">
        <f t="shared" si="2"/>
        <v>537.90200000000004</v>
      </c>
      <c r="P17" s="41">
        <f t="shared" si="3"/>
        <v>826750</v>
      </c>
      <c r="Q17" s="41">
        <f t="shared" si="4"/>
        <v>1075804</v>
      </c>
      <c r="R17" s="44"/>
      <c r="S17" s="44">
        <f>IF(I17&lt;&gt;"",_xlfn.XLOOKUP(D$4+I17,A$26:A$145,$C$26:$C$145,0) * 1000,"")</f>
        <v>93.405866474454299</v>
      </c>
      <c r="T17" s="52">
        <f t="shared" si="29"/>
        <v>0</v>
      </c>
      <c r="U17" s="53">
        <f t="shared" si="15"/>
        <v>0.57886709226748467</v>
      </c>
      <c r="V17" s="53">
        <f t="shared" si="16"/>
        <v>5.4069582326792293E-2</v>
      </c>
      <c r="W17" s="53">
        <f t="shared" si="17"/>
        <v>0</v>
      </c>
      <c r="X17" s="46">
        <f t="shared" si="5"/>
        <v>0.52479750994069241</v>
      </c>
      <c r="Y17" s="54"/>
      <c r="Z17" s="41">
        <f t="shared" si="18"/>
        <v>589471.93739782495</v>
      </c>
      <c r="AA17" s="41">
        <f t="shared" si="19"/>
        <v>11577.341845349694</v>
      </c>
      <c r="AB17" s="41">
        <f t="shared" si="6"/>
        <v>564579.2603842367</v>
      </c>
      <c r="AC17" s="41">
        <f t="shared" si="7"/>
        <v>10495.950198813849</v>
      </c>
      <c r="AD17" s="54"/>
      <c r="AE17" s="41">
        <f t="shared" si="8"/>
        <v>0</v>
      </c>
      <c r="AF17" s="41"/>
      <c r="AG17" s="41">
        <f t="shared" si="9"/>
        <v>-13.119937748517311</v>
      </c>
      <c r="AH17" s="41">
        <f t="shared" si="20"/>
        <v>-108139.16465358458</v>
      </c>
      <c r="AI17" s="41">
        <f t="shared" si="21"/>
        <v>0</v>
      </c>
      <c r="AJ17" s="41">
        <f t="shared" si="10"/>
        <v>-108152.2845913331</v>
      </c>
      <c r="AK17" s="41">
        <f t="shared" si="11"/>
        <v>24892.677013588254</v>
      </c>
      <c r="AL17" s="41">
        <f t="shared" si="22"/>
        <v>24041.971169726985</v>
      </c>
      <c r="AM17" s="41">
        <f t="shared" si="12"/>
        <v>-59217.636408017861</v>
      </c>
      <c r="AN17" s="41">
        <f t="shared" si="13"/>
        <v>1081.3916465358452</v>
      </c>
      <c r="AO17" s="41">
        <f t="shared" si="14"/>
        <v>-58136.244761482012</v>
      </c>
      <c r="AP17" s="45"/>
      <c r="AQ17" s="45"/>
      <c r="AR17" s="48"/>
      <c r="AS17" s="48"/>
      <c r="AT17" s="51">
        <f t="shared" si="23"/>
        <v>13</v>
      </c>
      <c r="AU17" s="49">
        <f t="shared" si="24"/>
        <v>0.57886709226748467</v>
      </c>
      <c r="AV17" s="49">
        <f t="shared" si="25"/>
        <v>5.4069582326792293E-2</v>
      </c>
      <c r="AW17" s="50">
        <f xml:space="preserve"> IF(ISERROR(ROUND((1000*NPV($AT$1,$AV18:$AV$124)-$AW$1*($AU18+NPV($AT$1,$AU19:$AU$124)))/AU18,3)), 0, ROUND((1000*NPV($AT$1,$AV18:$AV$124)-$AW$1*($AU18+NPV($AT$1,$AU19:$AU$124)))/AU18,3))</f>
        <v>537.90200000000004</v>
      </c>
      <c r="AX17" s="50">
        <f>IF(ISERROR(ROUND(MAX(0,1000*NPV($AT$2,$AV18:$AV$124)-$AW$2*($AU18+NPV($AT$2,$AU19:$AU$124)))/AU18,3)), 0, ROUND(MAX(0,1000*NPV($AT$2,$AV18:$AV$124)-$AW$2*($AU18+NPV($AT$2,$AU19:$AU$124)))/AU18,3))</f>
        <v>413.375</v>
      </c>
    </row>
    <row r="18" spans="1:50" ht="15" x14ac:dyDescent="0.25">
      <c r="A18" s="12" t="s">
        <v>10</v>
      </c>
      <c r="B18" s="14"/>
      <c r="C18" s="3"/>
      <c r="D18" s="1"/>
      <c r="E18" s="1" t="s">
        <v>74</v>
      </c>
      <c r="F18" s="61">
        <v>0.05</v>
      </c>
      <c r="G18" s="1"/>
      <c r="H18" s="1"/>
      <c r="I18" s="51">
        <v>14</v>
      </c>
      <c r="J18" s="41"/>
      <c r="K18" s="41" t="str">
        <f t="shared" si="26"/>
        <v/>
      </c>
      <c r="L18" s="42">
        <f t="shared" si="27"/>
        <v>25</v>
      </c>
      <c r="M18" s="41">
        <f t="shared" si="28"/>
        <v>2000000</v>
      </c>
      <c r="N18" s="43">
        <f t="shared" si="1"/>
        <v>446.11200000000002</v>
      </c>
      <c r="O18" s="44">
        <f t="shared" si="2"/>
        <v>565.40499999999997</v>
      </c>
      <c r="P18" s="41">
        <f t="shared" si="3"/>
        <v>892224</v>
      </c>
      <c r="Q18" s="41">
        <f t="shared" si="4"/>
        <v>1130810</v>
      </c>
      <c r="R18" s="44"/>
      <c r="S18" s="44">
        <f>IF(I18&lt;&gt;"",_xlfn.XLOOKUP(D$4+I18,A$26:A$145,$C$26:$C$145,0) * 1000,"")</f>
        <v>104.81476433285739</v>
      </c>
      <c r="T18" s="52">
        <f t="shared" si="29"/>
        <v>0</v>
      </c>
      <c r="U18" s="53">
        <f t="shared" si="15"/>
        <v>0.52479750994069241</v>
      </c>
      <c r="V18" s="53">
        <f t="shared" si="16"/>
        <v>5.5006527326904066E-2</v>
      </c>
      <c r="W18" s="53">
        <f t="shared" si="17"/>
        <v>0</v>
      </c>
      <c r="X18" s="46">
        <f t="shared" si="5"/>
        <v>0.46979098261378832</v>
      </c>
      <c r="Y18" s="54"/>
      <c r="Z18" s="41">
        <f t="shared" si="18"/>
        <v>564579.2603842367</v>
      </c>
      <c r="AA18" s="41">
        <f t="shared" si="19"/>
        <v>10495.950198813849</v>
      </c>
      <c r="AB18" s="41">
        <f t="shared" si="6"/>
        <v>531244.34104949795</v>
      </c>
      <c r="AC18" s="41">
        <f t="shared" si="7"/>
        <v>9395.8196522757662</v>
      </c>
      <c r="AD18" s="54"/>
      <c r="AE18" s="41">
        <f t="shared" si="8"/>
        <v>0</v>
      </c>
      <c r="AF18" s="41"/>
      <c r="AG18" s="41">
        <f t="shared" si="9"/>
        <v>-11.744774565344708</v>
      </c>
      <c r="AH18" s="41">
        <f t="shared" si="20"/>
        <v>-110013.05465380813</v>
      </c>
      <c r="AI18" s="41">
        <f t="shared" si="21"/>
        <v>0</v>
      </c>
      <c r="AJ18" s="41">
        <f t="shared" si="10"/>
        <v>-110024.79942837347</v>
      </c>
      <c r="AK18" s="41">
        <f t="shared" si="11"/>
        <v>33334.919334738748</v>
      </c>
      <c r="AL18" s="41">
        <f t="shared" si="22"/>
        <v>23003.008423322022</v>
      </c>
      <c r="AM18" s="41">
        <f t="shared" si="12"/>
        <v>-53686.871670312699</v>
      </c>
      <c r="AN18" s="41">
        <f t="shared" si="13"/>
        <v>1100.1305465380829</v>
      </c>
      <c r="AO18" s="41">
        <f t="shared" si="14"/>
        <v>-52586.741123774613</v>
      </c>
      <c r="AP18" s="45"/>
      <c r="AQ18" s="45"/>
      <c r="AR18" s="48"/>
      <c r="AS18" s="48"/>
      <c r="AT18" s="51">
        <f t="shared" si="23"/>
        <v>14</v>
      </c>
      <c r="AU18" s="49">
        <f t="shared" si="24"/>
        <v>0.52479750994069241</v>
      </c>
      <c r="AV18" s="49">
        <f t="shared" si="25"/>
        <v>5.5006527326904066E-2</v>
      </c>
      <c r="AW18" s="50">
        <f xml:space="preserve"> IF(ISERROR(ROUND((1000*NPV($AT$1,$AV19:$AV$124)-$AW$1*($AU19+NPV($AT$1,$AU20:$AU$124)))/AU19,3)), 0, ROUND((1000*NPV($AT$1,$AV19:$AV$124)-$AW$1*($AU19+NPV($AT$1,$AU20:$AU$124)))/AU19,3))</f>
        <v>565.40499999999997</v>
      </c>
      <c r="AX18" s="50">
        <f>IF(ISERROR(ROUND(MAX(0,1000*NPV($AT$2,$AV19:$AV$124)-$AW$2*($AU19+NPV($AT$2,$AU20:$AU$124)))/AU19,3)), 0, ROUND(MAX(0,1000*NPV($AT$2,$AV19:$AV$124)-$AW$2*($AU19+NPV($AT$2,$AU20:$AU$124)))/AU19,3))</f>
        <v>446.11200000000002</v>
      </c>
    </row>
    <row r="19" spans="1:50" ht="15" x14ac:dyDescent="0.25">
      <c r="A19" s="12"/>
      <c r="B19" s="13" t="s">
        <v>4</v>
      </c>
      <c r="C19" s="13" t="s">
        <v>5</v>
      </c>
      <c r="D19" s="1"/>
      <c r="E19" s="1"/>
      <c r="F19" s="1"/>
      <c r="G19" s="5"/>
      <c r="H19" s="5"/>
      <c r="I19" s="51">
        <v>15</v>
      </c>
      <c r="J19" s="41"/>
      <c r="K19" s="41" t="str">
        <f t="shared" si="26"/>
        <v/>
      </c>
      <c r="L19" s="42">
        <f t="shared" si="27"/>
        <v>25</v>
      </c>
      <c r="M19" s="41">
        <f t="shared" si="28"/>
        <v>2000000</v>
      </c>
      <c r="N19" s="43">
        <f t="shared" si="1"/>
        <v>477.66699999999997</v>
      </c>
      <c r="O19" s="44">
        <f t="shared" si="2"/>
        <v>591.72299999999996</v>
      </c>
      <c r="P19" s="41">
        <f t="shared" si="3"/>
        <v>955334</v>
      </c>
      <c r="Q19" s="41">
        <f t="shared" si="4"/>
        <v>1183446</v>
      </c>
      <c r="R19" s="44"/>
      <c r="S19" s="44">
        <f>IF(I19&lt;&gt;"",_xlfn.XLOOKUP(D$4+I19,A$26:A$145,$C$26:$C$145,0) * 1000,"")</f>
        <v>117.16972257852589</v>
      </c>
      <c r="T19" s="52">
        <f t="shared" si="29"/>
        <v>0</v>
      </c>
      <c r="U19" s="53">
        <f t="shared" si="15"/>
        <v>0.46979098261378832</v>
      </c>
      <c r="V19" s="53">
        <f t="shared" si="16"/>
        <v>5.5045279102750658E-2</v>
      </c>
      <c r="W19" s="53">
        <f t="shared" si="17"/>
        <v>0</v>
      </c>
      <c r="X19" s="46">
        <f t="shared" si="5"/>
        <v>0.41474570351103768</v>
      </c>
      <c r="Y19" s="54"/>
      <c r="Z19" s="41">
        <f t="shared" si="18"/>
        <v>531244.34104949795</v>
      </c>
      <c r="AA19" s="41">
        <f t="shared" si="19"/>
        <v>9395.8196522757662</v>
      </c>
      <c r="AB19" s="41">
        <f t="shared" si="6"/>
        <v>490829.14383732347</v>
      </c>
      <c r="AC19" s="41">
        <f t="shared" si="7"/>
        <v>8294.9140702207533</v>
      </c>
      <c r="AD19" s="54"/>
      <c r="AE19" s="41">
        <f t="shared" si="8"/>
        <v>0</v>
      </c>
      <c r="AF19" s="41"/>
      <c r="AG19" s="41">
        <f t="shared" si="9"/>
        <v>-10.368642587775941</v>
      </c>
      <c r="AH19" s="41">
        <f t="shared" si="20"/>
        <v>-110090.55820550132</v>
      </c>
      <c r="AI19" s="41">
        <f t="shared" si="21"/>
        <v>0</v>
      </c>
      <c r="AJ19" s="41">
        <f t="shared" si="10"/>
        <v>-110100.9268480891</v>
      </c>
      <c r="AK19" s="41">
        <f t="shared" si="11"/>
        <v>40415.197212174477</v>
      </c>
      <c r="AL19" s="41">
        <f t="shared" si="22"/>
        <v>21625.606428070951</v>
      </c>
      <c r="AM19" s="41">
        <f t="shared" si="12"/>
        <v>-48060.123207843673</v>
      </c>
      <c r="AN19" s="41">
        <f t="shared" si="13"/>
        <v>1100.9055820550129</v>
      </c>
      <c r="AO19" s="41">
        <f t="shared" si="14"/>
        <v>-46959.21762578866</v>
      </c>
      <c r="AP19" s="45"/>
      <c r="AQ19" s="45"/>
      <c r="AR19" s="48"/>
      <c r="AS19" s="48"/>
      <c r="AT19" s="51">
        <f t="shared" si="23"/>
        <v>15</v>
      </c>
      <c r="AU19" s="49">
        <f t="shared" si="24"/>
        <v>0.46979098261378832</v>
      </c>
      <c r="AV19" s="49">
        <f t="shared" si="25"/>
        <v>5.5045279102750658E-2</v>
      </c>
      <c r="AW19" s="50">
        <f xml:space="preserve"> IF(ISERROR(ROUND((1000*NPV($AT$1,$AV20:$AV$124)-$AW$1*($AU20+NPV($AT$1,$AU21:$AU$124)))/AU20,3)), 0, ROUND((1000*NPV($AT$1,$AV20:$AV$124)-$AW$1*($AU20+NPV($AT$1,$AU21:$AU$124)))/AU20,3))</f>
        <v>591.72299999999996</v>
      </c>
      <c r="AX19" s="50">
        <f>IF(ISERROR(ROUND(MAX(0,1000*NPV($AT$2,$AV20:$AV$124)-$AW$2*($AU20+NPV($AT$2,$AU21:$AU$124)))/AU20,3)), 0, ROUND(MAX(0,1000*NPV($AT$2,$AV20:$AV$124)-$AW$2*($AU20+NPV($AT$2,$AU21:$AU$124)))/AU20,3))</f>
        <v>477.66699999999997</v>
      </c>
    </row>
    <row r="20" spans="1:50" ht="15" x14ac:dyDescent="0.25">
      <c r="A20" s="12"/>
      <c r="B20" s="13">
        <v>1</v>
      </c>
      <c r="C20" s="10">
        <v>200</v>
      </c>
      <c r="D20" s="1" t="s">
        <v>71</v>
      </c>
      <c r="E20" s="1"/>
      <c r="F20" s="1"/>
      <c r="G20" s="1"/>
      <c r="H20" s="1"/>
      <c r="I20" s="51">
        <v>16</v>
      </c>
      <c r="J20" s="41"/>
      <c r="K20" s="41" t="str">
        <f t="shared" si="26"/>
        <v/>
      </c>
      <c r="L20" s="42">
        <f t="shared" si="27"/>
        <v>25</v>
      </c>
      <c r="M20" s="41">
        <f t="shared" si="28"/>
        <v>2000000</v>
      </c>
      <c r="N20" s="43">
        <f t="shared" si="1"/>
        <v>508.05099999999999</v>
      </c>
      <c r="O20" s="44">
        <f t="shared" si="2"/>
        <v>616.88199999999995</v>
      </c>
      <c r="P20" s="41">
        <f t="shared" si="3"/>
        <v>1016102</v>
      </c>
      <c r="Q20" s="41">
        <f t="shared" si="4"/>
        <v>1233764</v>
      </c>
      <c r="R20" s="44"/>
      <c r="S20" s="44">
        <f>IF(I20&lt;&gt;"",_xlfn.XLOOKUP(D$4+I20,A$26:A$145,$C$26:$C$145,0) * 1000,"")</f>
        <v>130.63329918465072</v>
      </c>
      <c r="T20" s="52">
        <f t="shared" si="29"/>
        <v>0</v>
      </c>
      <c r="U20" s="53">
        <f t="shared" si="15"/>
        <v>0.41474570351103768</v>
      </c>
      <c r="V20" s="53">
        <f t="shared" si="16"/>
        <v>5.417959957230583E-2</v>
      </c>
      <c r="W20" s="53">
        <f t="shared" si="17"/>
        <v>0</v>
      </c>
      <c r="X20" s="46">
        <f t="shared" si="5"/>
        <v>0.36056610393873184</v>
      </c>
      <c r="Y20" s="54"/>
      <c r="Z20" s="41">
        <f t="shared" si="18"/>
        <v>490829.14383732347</v>
      </c>
      <c r="AA20" s="41">
        <f t="shared" si="19"/>
        <v>8294.9140702207533</v>
      </c>
      <c r="AB20" s="41">
        <f t="shared" si="6"/>
        <v>444853.47865986556</v>
      </c>
      <c r="AC20" s="41">
        <f t="shared" si="7"/>
        <v>7211.3220787746368</v>
      </c>
      <c r="AD20" s="54"/>
      <c r="AE20" s="41">
        <f t="shared" si="8"/>
        <v>0</v>
      </c>
      <c r="AF20" s="41"/>
      <c r="AG20" s="41">
        <f t="shared" si="9"/>
        <v>-9.0141525984682964</v>
      </c>
      <c r="AH20" s="41">
        <f t="shared" si="20"/>
        <v>-108359.19914461166</v>
      </c>
      <c r="AI20" s="41">
        <f t="shared" si="21"/>
        <v>0</v>
      </c>
      <c r="AJ20" s="41">
        <f t="shared" si="10"/>
        <v>-108368.21329721012</v>
      </c>
      <c r="AK20" s="41">
        <f t="shared" si="11"/>
        <v>45975.665177457908</v>
      </c>
      <c r="AL20" s="41">
        <f t="shared" si="22"/>
        <v>19964.962316301771</v>
      </c>
      <c r="AM20" s="41">
        <f t="shared" si="12"/>
        <v>-42427.585803450449</v>
      </c>
      <c r="AN20" s="41">
        <f t="shared" si="13"/>
        <v>1083.5919914461165</v>
      </c>
      <c r="AO20" s="41">
        <f t="shared" si="14"/>
        <v>-41343.99381200433</v>
      </c>
      <c r="AP20" s="45"/>
      <c r="AQ20" s="45"/>
      <c r="AR20" s="48"/>
      <c r="AS20" s="48"/>
      <c r="AT20" s="51">
        <f t="shared" si="23"/>
        <v>16</v>
      </c>
      <c r="AU20" s="49">
        <f t="shared" si="24"/>
        <v>0.41474570351103768</v>
      </c>
      <c r="AV20" s="49">
        <f t="shared" si="25"/>
        <v>5.417959957230583E-2</v>
      </c>
      <c r="AW20" s="50">
        <f xml:space="preserve"> IF(ISERROR(ROUND((1000*NPV($AT$1,$AV21:$AV$124)-$AW$1*($AU21+NPV($AT$1,$AU22:$AU$124)))/AU21,3)), 0, ROUND((1000*NPV($AT$1,$AV21:$AV$124)-$AW$1*($AU21+NPV($AT$1,$AU22:$AU$124)))/AU21,3))</f>
        <v>616.88199999999995</v>
      </c>
      <c r="AX20" s="50">
        <f>IF(ISERROR(ROUND(MAX(0,1000*NPV($AT$2,$AV21:$AV$124)-$AW$2*($AU21+NPV($AT$2,$AU22:$AU$124)))/AU21,3)), 0, ROUND(MAX(0,1000*NPV($AT$2,$AV21:$AV$124)-$AW$2*($AU21+NPV($AT$2,$AU22:$AU$124)))/AU21,3))</f>
        <v>508.05099999999999</v>
      </c>
    </row>
    <row r="21" spans="1:50" ht="15" x14ac:dyDescent="0.25">
      <c r="A21" s="12"/>
      <c r="B21" s="14" t="s">
        <v>9</v>
      </c>
      <c r="C21" s="10">
        <v>25</v>
      </c>
      <c r="D21" s="1"/>
      <c r="E21" s="1"/>
      <c r="F21" s="1"/>
      <c r="G21" s="5"/>
      <c r="H21" s="5"/>
      <c r="I21" s="51">
        <v>17</v>
      </c>
      <c r="J21" s="41"/>
      <c r="K21" s="41" t="str">
        <f t="shared" si="26"/>
        <v/>
      </c>
      <c r="L21" s="42">
        <f t="shared" si="27"/>
        <v>25</v>
      </c>
      <c r="M21" s="41">
        <f t="shared" si="28"/>
        <v>2000000</v>
      </c>
      <c r="N21" s="43">
        <f t="shared" si="1"/>
        <v>537.11199999999997</v>
      </c>
      <c r="O21" s="44">
        <f t="shared" si="2"/>
        <v>640.78200000000004</v>
      </c>
      <c r="P21" s="41">
        <f t="shared" si="3"/>
        <v>1074224</v>
      </c>
      <c r="Q21" s="41">
        <f t="shared" si="4"/>
        <v>1281564</v>
      </c>
      <c r="R21" s="44"/>
      <c r="S21" s="44">
        <f>IF(I21&lt;&gt;"",_xlfn.XLOOKUP(D$4+I21,A$26:A$145,$C$26:$C$145,0) * 1000,"")</f>
        <v>145.63372057881617</v>
      </c>
      <c r="T21" s="52">
        <f t="shared" si="29"/>
        <v>0</v>
      </c>
      <c r="U21" s="53">
        <f t="shared" si="15"/>
        <v>0.36056610393873184</v>
      </c>
      <c r="V21" s="53">
        <f t="shared" si="16"/>
        <v>5.2510583231205658E-2</v>
      </c>
      <c r="W21" s="53">
        <f t="shared" si="17"/>
        <v>0</v>
      </c>
      <c r="X21" s="46">
        <f t="shared" si="5"/>
        <v>0.30805552070752618</v>
      </c>
      <c r="Y21" s="54"/>
      <c r="Z21" s="41">
        <f t="shared" si="18"/>
        <v>444853.47865986556</v>
      </c>
      <c r="AA21" s="41">
        <f t="shared" si="19"/>
        <v>7211.3220787746368</v>
      </c>
      <c r="AB21" s="41">
        <f t="shared" si="6"/>
        <v>394792.8653400201</v>
      </c>
      <c r="AC21" s="41">
        <f t="shared" si="7"/>
        <v>6161.1104141505239</v>
      </c>
      <c r="AD21" s="54"/>
      <c r="AE21" s="41">
        <f t="shared" si="8"/>
        <v>0</v>
      </c>
      <c r="AF21" s="41"/>
      <c r="AG21" s="41">
        <f t="shared" si="9"/>
        <v>-7.7013880176881546</v>
      </c>
      <c r="AH21" s="41">
        <f t="shared" si="20"/>
        <v>-105021.16646241132</v>
      </c>
      <c r="AI21" s="41">
        <f t="shared" si="21"/>
        <v>0</v>
      </c>
      <c r="AJ21" s="41">
        <f t="shared" si="10"/>
        <v>-105028.867850429</v>
      </c>
      <c r="AK21" s="41">
        <f t="shared" si="11"/>
        <v>50060.613319845463</v>
      </c>
      <c r="AL21" s="41">
        <f t="shared" si="22"/>
        <v>18082.592029545609</v>
      </c>
      <c r="AM21" s="41">
        <f t="shared" si="12"/>
        <v>-36885.662501037928</v>
      </c>
      <c r="AN21" s="41">
        <f t="shared" si="13"/>
        <v>1050.2116646241129</v>
      </c>
      <c r="AO21" s="41">
        <f t="shared" si="14"/>
        <v>-35835.450836413816</v>
      </c>
      <c r="AP21" s="45"/>
      <c r="AQ21" s="45"/>
      <c r="AR21" s="48"/>
      <c r="AS21" s="48"/>
      <c r="AT21" s="51">
        <f t="shared" si="23"/>
        <v>17</v>
      </c>
      <c r="AU21" s="49">
        <f t="shared" si="24"/>
        <v>0.36056610393873184</v>
      </c>
      <c r="AV21" s="49">
        <f t="shared" si="25"/>
        <v>5.2510583231205658E-2</v>
      </c>
      <c r="AW21" s="50">
        <f xml:space="preserve"> IF(ISERROR(ROUND((1000*NPV($AT$1,$AV22:$AV$124)-$AW$1*($AU22+NPV($AT$1,$AU23:$AU$124)))/AU22,3)), 0, ROUND((1000*NPV($AT$1,$AV22:$AV$124)-$AW$1*($AU22+NPV($AT$1,$AU23:$AU$124)))/AU22,3))</f>
        <v>640.78200000000004</v>
      </c>
      <c r="AX21" s="50">
        <f>IF(ISERROR(ROUND(MAX(0,1000*NPV($AT$2,$AV22:$AV$124)-$AW$2*($AU22+NPV($AT$2,$AU23:$AU$124)))/AU22,3)), 0, ROUND(MAX(0,1000*NPV($AT$2,$AV22:$AV$124)-$AW$2*($AU22+NPV($AT$2,$AU23:$AU$124)))/AU22,3))</f>
        <v>537.11199999999997</v>
      </c>
    </row>
    <row r="22" spans="1:50" ht="15" x14ac:dyDescent="0.25">
      <c r="B22" s="1"/>
      <c r="C22" s="1"/>
      <c r="D22" s="1"/>
      <c r="F22" s="1"/>
      <c r="G22" s="1"/>
      <c r="H22" s="1"/>
      <c r="I22" s="51">
        <v>18</v>
      </c>
      <c r="J22" s="41"/>
      <c r="K22" s="41" t="str">
        <f t="shared" si="26"/>
        <v/>
      </c>
      <c r="L22" s="42">
        <f t="shared" si="27"/>
        <v>25</v>
      </c>
      <c r="M22" s="41">
        <f t="shared" si="28"/>
        <v>2000000</v>
      </c>
      <c r="N22" s="43">
        <f t="shared" si="1"/>
        <v>564.673</v>
      </c>
      <c r="O22" s="44">
        <f t="shared" si="2"/>
        <v>663.30600000000004</v>
      </c>
      <c r="P22" s="41">
        <f t="shared" si="3"/>
        <v>1129346</v>
      </c>
      <c r="Q22" s="41">
        <f t="shared" si="4"/>
        <v>1326612</v>
      </c>
      <c r="R22" s="44"/>
      <c r="S22" s="44">
        <f>IF(I22&lt;&gt;"",_xlfn.XLOOKUP(D$4+I22,A$26:A$145,$C$26:$C$145,0) * 1000,"")</f>
        <v>162.30403256789512</v>
      </c>
      <c r="T22" s="52">
        <f t="shared" si="29"/>
        <v>0</v>
      </c>
      <c r="U22" s="53">
        <f t="shared" si="15"/>
        <v>0.30805552070752618</v>
      </c>
      <c r="V22" s="53">
        <f t="shared" si="16"/>
        <v>4.999865326563422E-2</v>
      </c>
      <c r="W22" s="53">
        <f t="shared" si="17"/>
        <v>0</v>
      </c>
      <c r="X22" s="46">
        <f t="shared" si="5"/>
        <v>0.25805686744189194</v>
      </c>
      <c r="Y22" s="54"/>
      <c r="Z22" s="41">
        <f t="shared" si="18"/>
        <v>394792.8653400201</v>
      </c>
      <c r="AA22" s="41">
        <f t="shared" si="19"/>
        <v>6161.1104141505239</v>
      </c>
      <c r="AB22" s="41">
        <f t="shared" si="6"/>
        <v>342341.33703082317</v>
      </c>
      <c r="AC22" s="41">
        <f t="shared" si="7"/>
        <v>5161.1373488378385</v>
      </c>
      <c r="AD22" s="54"/>
      <c r="AE22" s="41">
        <f t="shared" si="8"/>
        <v>0</v>
      </c>
      <c r="AF22" s="41"/>
      <c r="AG22" s="41">
        <f t="shared" si="9"/>
        <v>-6.4514216860472988</v>
      </c>
      <c r="AH22" s="41">
        <f t="shared" si="20"/>
        <v>-99997.306531268434</v>
      </c>
      <c r="AI22" s="41">
        <f t="shared" si="21"/>
        <v>0</v>
      </c>
      <c r="AJ22" s="41">
        <f t="shared" si="10"/>
        <v>-100003.75795295447</v>
      </c>
      <c r="AK22" s="41">
        <f t="shared" si="11"/>
        <v>52451.528309196932</v>
      </c>
      <c r="AL22" s="41">
        <f t="shared" si="22"/>
        <v>16038.159030166826</v>
      </c>
      <c r="AM22" s="41">
        <f t="shared" si="12"/>
        <v>-31514.070613590717</v>
      </c>
      <c r="AN22" s="41">
        <f t="shared" si="13"/>
        <v>999.97306531268532</v>
      </c>
      <c r="AO22" s="41">
        <f t="shared" si="14"/>
        <v>-30514.09754827803</v>
      </c>
      <c r="AP22" s="45"/>
      <c r="AQ22" s="45"/>
      <c r="AR22" s="48"/>
      <c r="AS22" s="48"/>
      <c r="AT22" s="51">
        <f t="shared" si="23"/>
        <v>18</v>
      </c>
      <c r="AU22" s="49">
        <f t="shared" si="24"/>
        <v>0.30805552070752618</v>
      </c>
      <c r="AV22" s="49">
        <f t="shared" si="25"/>
        <v>4.999865326563422E-2</v>
      </c>
      <c r="AW22" s="50">
        <f xml:space="preserve"> IF(ISERROR(ROUND((1000*NPV($AT$1,$AV23:$AV$124)-$AW$1*($AU23+NPV($AT$1,$AU24:$AU$124)))/AU23,3)), 0, ROUND((1000*NPV($AT$1,$AV23:$AV$124)-$AW$1*($AU23+NPV($AT$1,$AU24:$AU$124)))/AU23,3))</f>
        <v>663.30600000000004</v>
      </c>
      <c r="AX22" s="50">
        <f>IF(ISERROR(ROUND(MAX(0,1000*NPV($AT$2,$AV23:$AV$124)-$AW$2*($AU23+NPV($AT$2,$AU24:$AU$124)))/AU23,3)), 0, ROUND(MAX(0,1000*NPV($AT$2,$AV23:$AV$124)-$AW$2*($AU23+NPV($AT$2,$AU24:$AU$124)))/AU23,3))</f>
        <v>564.673</v>
      </c>
    </row>
    <row r="23" spans="1:50" ht="15" x14ac:dyDescent="0.25">
      <c r="B23" s="1"/>
      <c r="C23" s="1"/>
      <c r="D23" s="1"/>
      <c r="F23" s="1"/>
      <c r="G23" s="1"/>
      <c r="H23" s="1"/>
      <c r="I23" s="51">
        <v>19</v>
      </c>
      <c r="J23" s="41"/>
      <c r="K23" s="41" t="str">
        <f t="shared" si="26"/>
        <v/>
      </c>
      <c r="L23" s="42">
        <f t="shared" si="27"/>
        <v>25</v>
      </c>
      <c r="M23" s="41">
        <f t="shared" si="28"/>
        <v>2000000</v>
      </c>
      <c r="N23" s="43">
        <f t="shared" si="1"/>
        <v>590.471</v>
      </c>
      <c r="O23" s="44">
        <f t="shared" si="2"/>
        <v>684.27099999999996</v>
      </c>
      <c r="P23" s="41">
        <f t="shared" si="3"/>
        <v>1180942</v>
      </c>
      <c r="Q23" s="41">
        <f t="shared" si="4"/>
        <v>1368542</v>
      </c>
      <c r="R23" s="44"/>
      <c r="S23" s="44">
        <f>IF(I23&lt;&gt;"",_xlfn.XLOOKUP(D$4+I23,A$26:A$145,$C$26:$C$145,0) * 1000,"")</f>
        <v>180.87025233167836</v>
      </c>
      <c r="T23" s="52">
        <f t="shared" si="29"/>
        <v>0</v>
      </c>
      <c r="U23" s="53">
        <f t="shared" si="15"/>
        <v>0.25805686744189194</v>
      </c>
      <c r="V23" s="53">
        <f t="shared" si="16"/>
        <v>4.6674810730137468E-2</v>
      </c>
      <c r="W23" s="53">
        <f t="shared" si="17"/>
        <v>0</v>
      </c>
      <c r="X23" s="46">
        <f t="shared" si="5"/>
        <v>0.21138205671175447</v>
      </c>
      <c r="Y23" s="54"/>
      <c r="Z23" s="41">
        <f t="shared" si="18"/>
        <v>342341.33703082317</v>
      </c>
      <c r="AA23" s="41">
        <f t="shared" si="19"/>
        <v>5161.1373488378385</v>
      </c>
      <c r="AB23" s="41">
        <f t="shared" si="6"/>
        <v>289285.22265641787</v>
      </c>
      <c r="AC23" s="41">
        <f t="shared" si="7"/>
        <v>4227.6411342350893</v>
      </c>
      <c r="AD23" s="54"/>
      <c r="AE23" s="41">
        <f t="shared" si="8"/>
        <v>0</v>
      </c>
      <c r="AF23" s="41"/>
      <c r="AG23" s="41">
        <f t="shared" si="9"/>
        <v>-5.2845514177938622</v>
      </c>
      <c r="AH23" s="41">
        <f t="shared" si="20"/>
        <v>-93349.621460274939</v>
      </c>
      <c r="AI23" s="41">
        <f t="shared" si="21"/>
        <v>0</v>
      </c>
      <c r="AJ23" s="41">
        <f t="shared" si="10"/>
        <v>-93354.906011692728</v>
      </c>
      <c r="AK23" s="41">
        <f t="shared" si="11"/>
        <v>53056.114374405297</v>
      </c>
      <c r="AL23" s="41">
        <f t="shared" si="22"/>
        <v>13900.098975186442</v>
      </c>
      <c r="AM23" s="41">
        <f t="shared" si="12"/>
        <v>-26398.692662100992</v>
      </c>
      <c r="AN23" s="41">
        <f t="shared" si="13"/>
        <v>933.49621460274921</v>
      </c>
      <c r="AO23" s="41">
        <f t="shared" si="14"/>
        <v>-25465.196447498241</v>
      </c>
      <c r="AP23" s="45"/>
      <c r="AQ23" s="45"/>
      <c r="AR23" s="48"/>
      <c r="AS23" s="48"/>
      <c r="AT23" s="51">
        <f t="shared" si="23"/>
        <v>19</v>
      </c>
      <c r="AU23" s="49">
        <f t="shared" si="24"/>
        <v>0.25805686744189194</v>
      </c>
      <c r="AV23" s="49">
        <f t="shared" si="25"/>
        <v>4.6674810730137468E-2</v>
      </c>
      <c r="AW23" s="50">
        <f xml:space="preserve"> IF(ISERROR(ROUND((1000*NPV($AT$1,$AV24:$AV$124)-$AW$1*($AU24+NPV($AT$1,$AU25:$AU$124)))/AU24,3)), 0, ROUND((1000*NPV($AT$1,$AV24:$AV$124)-$AW$1*($AU24+NPV($AT$1,$AU25:$AU$124)))/AU24,3))</f>
        <v>684.27099999999996</v>
      </c>
      <c r="AX23" s="50">
        <f>IF(ISERROR(ROUND(MAX(0,1000*NPV($AT$2,$AV24:$AV$124)-$AW$2*($AU24+NPV($AT$2,$AU25:$AU$124)))/AU24,3)), 0, ROUND(MAX(0,1000*NPV($AT$2,$AV24:$AV$124)-$AW$2*($AU24+NPV($AT$2,$AU25:$AU$124)))/AU24,3))</f>
        <v>590.471</v>
      </c>
    </row>
    <row r="24" spans="1:50" ht="15" x14ac:dyDescent="0.25">
      <c r="A24" t="s">
        <v>64</v>
      </c>
      <c r="B24" s="1"/>
      <c r="C24" s="1"/>
      <c r="D24" s="1"/>
      <c r="E24" t="s">
        <v>70</v>
      </c>
      <c r="F24" s="1"/>
      <c r="G24" s="1"/>
      <c r="H24" s="1"/>
      <c r="I24" s="51">
        <v>20</v>
      </c>
      <c r="J24" s="41"/>
      <c r="K24" s="41" t="str">
        <f t="shared" si="26"/>
        <v/>
      </c>
      <c r="L24" s="42">
        <f t="shared" si="27"/>
        <v>25</v>
      </c>
      <c r="M24" s="41">
        <f t="shared" si="28"/>
        <v>2000000</v>
      </c>
      <c r="N24" s="43">
        <f t="shared" si="1"/>
        <v>614.54899999999998</v>
      </c>
      <c r="O24" s="44">
        <f t="shared" si="2"/>
        <v>703.73599999999999</v>
      </c>
      <c r="P24" s="41">
        <f t="shared" si="3"/>
        <v>1229098</v>
      </c>
      <c r="Q24" s="41">
        <f t="shared" si="4"/>
        <v>1407472</v>
      </c>
      <c r="R24" s="44"/>
      <c r="S24" s="44">
        <f>IF(I24&lt;&gt;"",_xlfn.XLOOKUP(D$4+I24,A$26:A$145,$C$26:$C$145,0) * 1000,"")</f>
        <v>200.64854318951183</v>
      </c>
      <c r="T24" s="52">
        <f t="shared" si="29"/>
        <v>0</v>
      </c>
      <c r="U24" s="53">
        <f t="shared" si="15"/>
        <v>0.21138205671175447</v>
      </c>
      <c r="V24" s="53">
        <f t="shared" si="16"/>
        <v>4.241350173561631E-2</v>
      </c>
      <c r="W24" s="53">
        <f t="shared" si="17"/>
        <v>0</v>
      </c>
      <c r="X24" s="46">
        <f t="shared" si="5"/>
        <v>0.16896855497613816</v>
      </c>
      <c r="Y24" s="54"/>
      <c r="Z24" s="41">
        <f t="shared" si="18"/>
        <v>289285.22265641787</v>
      </c>
      <c r="AA24" s="41">
        <f t="shared" si="19"/>
        <v>4227.6411342350893</v>
      </c>
      <c r="AB24" s="41">
        <f t="shared" si="6"/>
        <v>237818.51000937514</v>
      </c>
      <c r="AC24" s="41">
        <f t="shared" si="7"/>
        <v>3379.3710995227634</v>
      </c>
      <c r="AD24" s="54"/>
      <c r="AE24" s="41">
        <f t="shared" si="8"/>
        <v>0</v>
      </c>
      <c r="AF24" s="41"/>
      <c r="AG24" s="41">
        <f t="shared" si="9"/>
        <v>-4.2242138744034543</v>
      </c>
      <c r="AH24" s="41">
        <f t="shared" si="20"/>
        <v>-84827.003471232616</v>
      </c>
      <c r="AI24" s="41">
        <f t="shared" si="21"/>
        <v>0</v>
      </c>
      <c r="AJ24" s="41">
        <f t="shared" si="10"/>
        <v>-84831.22768510702</v>
      </c>
      <c r="AK24" s="41">
        <f t="shared" si="11"/>
        <v>51466.712647042732</v>
      </c>
      <c r="AL24" s="41">
        <f t="shared" si="22"/>
        <v>11740.514551626118</v>
      </c>
      <c r="AM24" s="41">
        <f t="shared" si="12"/>
        <v>-21624.00048643817</v>
      </c>
      <c r="AN24" s="41">
        <f t="shared" si="13"/>
        <v>848.27003471232592</v>
      </c>
      <c r="AO24" s="41">
        <f t="shared" si="14"/>
        <v>-20775.730451725845</v>
      </c>
      <c r="AP24" s="45"/>
      <c r="AQ24" s="45"/>
      <c r="AR24" s="48"/>
      <c r="AS24" s="48"/>
      <c r="AT24" s="51">
        <f t="shared" si="23"/>
        <v>20</v>
      </c>
      <c r="AU24" s="49">
        <f t="shared" si="24"/>
        <v>0.21138205671175447</v>
      </c>
      <c r="AV24" s="49">
        <f t="shared" si="25"/>
        <v>4.241350173561631E-2</v>
      </c>
      <c r="AW24" s="50">
        <f xml:space="preserve"> IF(ISERROR(ROUND((1000*NPV($AT$1,$AV25:$AV$124)-$AW$1*($AU25+NPV($AT$1,$AU26:$AU$124)))/AU25,3)), 0, ROUND((1000*NPV($AT$1,$AV25:$AV$124)-$AW$1*($AU25+NPV($AT$1,$AU26:$AU$124)))/AU25,3))</f>
        <v>703.73599999999999</v>
      </c>
      <c r="AX24" s="50">
        <f>IF(ISERROR(ROUND(MAX(0,1000*NPV($AT$2,$AV25:$AV$124)-$AW$2*($AU25+NPV($AT$2,$AU26:$AU$124)))/AU25,3)), 0, ROUND(MAX(0,1000*NPV($AT$2,$AV25:$AV$124)-$AW$2*($AU25+NPV($AT$2,$AU26:$AU$124)))/AU25,3))</f>
        <v>614.54899999999998</v>
      </c>
    </row>
    <row r="25" spans="1:50" ht="15" x14ac:dyDescent="0.25">
      <c r="A25" t="s">
        <v>65</v>
      </c>
      <c r="B25" t="s">
        <v>76</v>
      </c>
      <c r="C25" t="s">
        <v>73</v>
      </c>
      <c r="D25" s="60">
        <v>35</v>
      </c>
      <c r="E25" s="5">
        <v>855301.54275560682</v>
      </c>
      <c r="F25" s="5">
        <v>36585.383961138839</v>
      </c>
      <c r="G25" s="5"/>
      <c r="H25" s="4"/>
      <c r="I25" s="51">
        <v>21</v>
      </c>
      <c r="J25" s="41"/>
      <c r="K25" s="41" t="str">
        <f t="shared" si="26"/>
        <v/>
      </c>
      <c r="L25" s="42">
        <f t="shared" si="27"/>
        <v>25</v>
      </c>
      <c r="M25" s="41">
        <f t="shared" si="28"/>
        <v>2000000</v>
      </c>
      <c r="N25" s="43">
        <f t="shared" si="1"/>
        <v>637.23900000000003</v>
      </c>
      <c r="O25" s="44">
        <f t="shared" si="2"/>
        <v>721.97900000000004</v>
      </c>
      <c r="P25" s="41">
        <f t="shared" si="3"/>
        <v>1274478</v>
      </c>
      <c r="Q25" s="41">
        <f t="shared" si="4"/>
        <v>1443958</v>
      </c>
      <c r="R25" s="44"/>
      <c r="S25" s="44">
        <f>IF(I25&lt;&gt;"",_xlfn.XLOOKUP(D$4+I25,A$26:A$145,$C$26:$C$145,0) * 1000,"")</f>
        <v>221.00737424803077</v>
      </c>
      <c r="T25" s="52">
        <f t="shared" si="29"/>
        <v>0</v>
      </c>
      <c r="U25" s="53">
        <f t="shared" si="15"/>
        <v>0.16896855497613816</v>
      </c>
      <c r="V25" s="53">
        <f t="shared" si="16"/>
        <v>3.7343296665760327E-2</v>
      </c>
      <c r="W25" s="53">
        <f t="shared" si="17"/>
        <v>0</v>
      </c>
      <c r="X25" s="46">
        <f t="shared" si="5"/>
        <v>0.13162525831037783</v>
      </c>
      <c r="Y25" s="54"/>
      <c r="Z25" s="41">
        <f t="shared" si="18"/>
        <v>237818.51000937514</v>
      </c>
      <c r="AA25" s="41">
        <f t="shared" si="19"/>
        <v>3379.3710995227634</v>
      </c>
      <c r="AB25" s="41">
        <f t="shared" si="6"/>
        <v>190061.34473933655</v>
      </c>
      <c r="AC25" s="41">
        <f t="shared" si="7"/>
        <v>2632.5051662075566</v>
      </c>
      <c r="AD25" s="54"/>
      <c r="AE25" s="41">
        <f t="shared" si="8"/>
        <v>0</v>
      </c>
      <c r="AF25" s="41"/>
      <c r="AG25" s="41">
        <f t="shared" si="9"/>
        <v>-3.2906314577594458</v>
      </c>
      <c r="AH25" s="41">
        <f t="shared" si="20"/>
        <v>-74686.593331520649</v>
      </c>
      <c r="AI25" s="41">
        <f t="shared" si="21"/>
        <v>0</v>
      </c>
      <c r="AJ25" s="41">
        <f t="shared" si="10"/>
        <v>-74689.883962978405</v>
      </c>
      <c r="AK25" s="41">
        <f t="shared" si="11"/>
        <v>47757.165270038589</v>
      </c>
      <c r="AL25" s="41">
        <f t="shared" si="22"/>
        <v>9647.915244355916</v>
      </c>
      <c r="AM25" s="41">
        <f t="shared" si="12"/>
        <v>-17284.803448583902</v>
      </c>
      <c r="AN25" s="41">
        <f t="shared" si="13"/>
        <v>746.8659333152068</v>
      </c>
      <c r="AO25" s="41">
        <f t="shared" si="14"/>
        <v>-16537.937515268695</v>
      </c>
      <c r="AP25" s="45"/>
      <c r="AQ25" s="55"/>
      <c r="AR25" s="48"/>
      <c r="AS25" s="48"/>
      <c r="AT25" s="51">
        <f>AT24+1</f>
        <v>21</v>
      </c>
      <c r="AU25" s="49">
        <f t="shared" si="24"/>
        <v>0.16896855497613816</v>
      </c>
      <c r="AV25" s="49">
        <f t="shared" si="25"/>
        <v>3.7343296665760327E-2</v>
      </c>
      <c r="AW25" s="50">
        <f xml:space="preserve"> IF(ISERROR(ROUND((1000*NPV($AT$1,$AV26:$AV$124)-$AW$1*($AU26+NPV($AT$1,$AU27:$AU$124)))/AU26,3)), 0, ROUND((1000*NPV($AT$1,$AV26:$AV$124)-$AW$1*($AU26+NPV($AT$1,$AU27:$AU$124)))/AU26,3))</f>
        <v>721.97900000000004</v>
      </c>
      <c r="AX25" s="50">
        <f>IF(ISERROR(ROUND(MAX(0,1000*NPV($AT$2,$AV26:$AV$124)-$AW$2*($AU26+NPV($AT$2,$AU27:$AU$124)))/AU26,3)), 0, ROUND(MAX(0,1000*NPV($AT$2,$AV26:$AV$124)-$AW$2*($AU26+NPV($AT$2,$AU27:$AU$124)))/AU26,3))</f>
        <v>637.23900000000003</v>
      </c>
    </row>
    <row r="26" spans="1:50" ht="15" x14ac:dyDescent="0.25">
      <c r="A26">
        <v>1</v>
      </c>
      <c r="B26">
        <v>8.5034909865215908E-3</v>
      </c>
      <c r="C26">
        <f>B26*(1-$F$16)</f>
        <v>7.9932815273302954E-3</v>
      </c>
      <c r="D26" s="60">
        <v>36</v>
      </c>
      <c r="E26" s="5">
        <v>884838.63070686266</v>
      </c>
      <c r="F26" s="5">
        <v>37739.171815572947</v>
      </c>
      <c r="G26" s="8"/>
      <c r="H26" s="4"/>
      <c r="I26" s="51">
        <v>22</v>
      </c>
      <c r="J26" s="41"/>
      <c r="K26" s="41" t="str">
        <f t="shared" si="26"/>
        <v/>
      </c>
      <c r="L26" s="42">
        <f t="shared" si="27"/>
        <v>25</v>
      </c>
      <c r="M26" s="41">
        <f t="shared" si="28"/>
        <v>2000000</v>
      </c>
      <c r="N26" s="43">
        <f t="shared" si="1"/>
        <v>658.53</v>
      </c>
      <c r="O26" s="44">
        <f t="shared" si="2"/>
        <v>739.01</v>
      </c>
      <c r="P26" s="41">
        <f t="shared" si="3"/>
        <v>1317060</v>
      </c>
      <c r="Q26" s="41">
        <f t="shared" si="4"/>
        <v>1478020</v>
      </c>
      <c r="R26" s="44"/>
      <c r="S26" s="44">
        <f>IF(I26&lt;&gt;"",_xlfn.XLOOKUP(D$4+I26,A$26:A$145,$C$26:$C$145,0) * 1000,"")</f>
        <v>242.87087758302528</v>
      </c>
      <c r="T26" s="52">
        <f t="shared" si="29"/>
        <v>0</v>
      </c>
      <c r="U26" s="53">
        <f t="shared" si="15"/>
        <v>0.13162525831037783</v>
      </c>
      <c r="V26" s="53">
        <f t="shared" si="16"/>
        <v>3.1967941997933853E-2</v>
      </c>
      <c r="W26" s="53">
        <f t="shared" si="17"/>
        <v>0</v>
      </c>
      <c r="X26" s="46">
        <f t="shared" si="5"/>
        <v>9.9657316312443983E-2</v>
      </c>
      <c r="Y26" s="54"/>
      <c r="Z26" s="41">
        <f t="shared" si="18"/>
        <v>190061.34473933655</v>
      </c>
      <c r="AA26" s="41">
        <f t="shared" si="19"/>
        <v>2632.5051662075566</v>
      </c>
      <c r="AB26" s="41">
        <f t="shared" si="6"/>
        <v>147295.50665611846</v>
      </c>
      <c r="AC26" s="41">
        <f t="shared" si="7"/>
        <v>1993.1463262488796</v>
      </c>
      <c r="AD26" s="54"/>
      <c r="AE26" s="41">
        <f t="shared" si="8"/>
        <v>0</v>
      </c>
      <c r="AF26" s="41"/>
      <c r="AG26" s="41">
        <f t="shared" si="9"/>
        <v>-2.4914329078110997</v>
      </c>
      <c r="AH26" s="41">
        <f t="shared" si="20"/>
        <v>-63935.883995867705</v>
      </c>
      <c r="AI26" s="41">
        <f t="shared" si="21"/>
        <v>0</v>
      </c>
      <c r="AJ26" s="41">
        <f t="shared" si="10"/>
        <v>-63938.375428775515</v>
      </c>
      <c r="AK26" s="41">
        <f t="shared" si="11"/>
        <v>42765.838083218085</v>
      </c>
      <c r="AL26" s="41">
        <f t="shared" si="22"/>
        <v>7707.7539962217643</v>
      </c>
      <c r="AM26" s="41">
        <f t="shared" si="12"/>
        <v>-13464.783349335667</v>
      </c>
      <c r="AN26" s="41">
        <f t="shared" si="13"/>
        <v>639.35883995867698</v>
      </c>
      <c r="AO26" s="41">
        <f t="shared" si="14"/>
        <v>-12825.42450937699</v>
      </c>
      <c r="AP26" s="45"/>
      <c r="AQ26" s="55"/>
      <c r="AR26" s="48"/>
      <c r="AS26" s="48"/>
      <c r="AT26" s="51">
        <f t="shared" si="23"/>
        <v>22</v>
      </c>
      <c r="AU26" s="49">
        <f t="shared" si="24"/>
        <v>0.13162525831037783</v>
      </c>
      <c r="AV26" s="49">
        <f t="shared" si="25"/>
        <v>3.1967941997933853E-2</v>
      </c>
      <c r="AW26" s="50">
        <f xml:space="preserve"> IF(ISERROR(ROUND((1000*NPV($AT$1,$AV27:$AV$124)-$AW$1*($AU27+NPV($AT$1,$AU28:$AU$124)))/AU27,3)), 0, ROUND((1000*NPV($AT$1,$AV27:$AV$124)-$AW$1*($AU27+NPV($AT$1,$AU28:$AU$124)))/AU27,3))</f>
        <v>739.01</v>
      </c>
      <c r="AX26" s="50">
        <f>IF(ISERROR(ROUND(MAX(0,1000*NPV($AT$2,$AV27:$AV$124)-$AW$2*($AU27+NPV($AT$2,$AU28:$AU$124)))/AU27,3)), 0, ROUND(MAX(0,1000*NPV($AT$2,$AV27:$AV$124)-$AW$2*($AU27+NPV($AT$2,$AU28:$AU$124)))/AU27,3))</f>
        <v>658.53</v>
      </c>
    </row>
    <row r="27" spans="1:50" ht="15" x14ac:dyDescent="0.25">
      <c r="A27">
        <v>2</v>
      </c>
      <c r="B27">
        <v>8.1050477664701404E-4</v>
      </c>
      <c r="C27">
        <f t="shared" ref="C27:C90" si="30">B27*(1-$F$16)</f>
        <v>7.6187449004819316E-4</v>
      </c>
      <c r="D27" s="60">
        <v>37</v>
      </c>
      <c r="E27" s="5">
        <v>915158.31415788713</v>
      </c>
      <c r="F27" s="5">
        <v>38917.068050322065</v>
      </c>
      <c r="G27" s="8"/>
      <c r="H27" s="4"/>
      <c r="I27" s="51">
        <v>23</v>
      </c>
      <c r="J27" s="41"/>
      <c r="K27" s="41" t="str">
        <f t="shared" si="26"/>
        <v/>
      </c>
      <c r="L27" s="42">
        <f t="shared" si="27"/>
        <v>25</v>
      </c>
      <c r="M27" s="41">
        <f t="shared" si="28"/>
        <v>2000000</v>
      </c>
      <c r="N27" s="43">
        <f t="shared" si="1"/>
        <v>678.48500000000001</v>
      </c>
      <c r="O27" s="44">
        <f t="shared" si="2"/>
        <v>754.89400000000001</v>
      </c>
      <c r="P27" s="41">
        <f t="shared" si="3"/>
        <v>1356970</v>
      </c>
      <c r="Q27" s="41">
        <f t="shared" si="4"/>
        <v>1509788</v>
      </c>
      <c r="R27" s="44"/>
      <c r="S27" s="44">
        <f>IF(I27&lt;&gt;"",_xlfn.XLOOKUP(D$4+I27,A$26:A$145,$C$26:$C$145,0) * 1000,"")</f>
        <v>266.07085063931015</v>
      </c>
      <c r="T27" s="52">
        <f t="shared" si="29"/>
        <v>0</v>
      </c>
      <c r="U27" s="53">
        <f t="shared" si="15"/>
        <v>9.9657316312443983E-2</v>
      </c>
      <c r="V27" s="53">
        <f t="shared" si="16"/>
        <v>2.6515906923682771E-2</v>
      </c>
      <c r="W27" s="53">
        <f t="shared" si="17"/>
        <v>0</v>
      </c>
      <c r="X27" s="46">
        <f t="shared" si="5"/>
        <v>7.3141409388761208E-2</v>
      </c>
      <c r="Y27" s="54"/>
      <c r="Z27" s="41">
        <f t="shared" si="18"/>
        <v>147295.50665611846</v>
      </c>
      <c r="AA27" s="41">
        <f t="shared" si="19"/>
        <v>1993.1463262488796</v>
      </c>
      <c r="AB27" s="41">
        <f t="shared" si="6"/>
        <v>110428.02219823901</v>
      </c>
      <c r="AC27" s="41">
        <f t="shared" si="7"/>
        <v>1462.8281877752243</v>
      </c>
      <c r="AD27" s="54"/>
      <c r="AE27" s="41">
        <f t="shared" si="8"/>
        <v>0</v>
      </c>
      <c r="AF27" s="41"/>
      <c r="AG27" s="41">
        <f t="shared" si="9"/>
        <v>-1.8285352347190302</v>
      </c>
      <c r="AH27" s="41">
        <f t="shared" si="20"/>
        <v>-53031.813847365542</v>
      </c>
      <c r="AI27" s="41">
        <f t="shared" si="21"/>
        <v>0</v>
      </c>
      <c r="AJ27" s="41">
        <f t="shared" si="10"/>
        <v>-53033.642382600257</v>
      </c>
      <c r="AK27" s="41">
        <f t="shared" si="11"/>
        <v>36867.484457879458</v>
      </c>
      <c r="AL27" s="41">
        <f t="shared" si="22"/>
        <v>5971.5461192946941</v>
      </c>
      <c r="AM27" s="41">
        <f t="shared" si="12"/>
        <v>-10194.611805426106</v>
      </c>
      <c r="AN27" s="41">
        <f t="shared" si="13"/>
        <v>530.31813847365538</v>
      </c>
      <c r="AO27" s="41">
        <f t="shared" si="14"/>
        <v>-9664.2936669524497</v>
      </c>
      <c r="AP27" s="45"/>
      <c r="AQ27" s="55"/>
      <c r="AR27" s="48"/>
      <c r="AS27" s="48"/>
      <c r="AT27" s="51">
        <f t="shared" si="23"/>
        <v>23</v>
      </c>
      <c r="AU27" s="49">
        <f t="shared" si="24"/>
        <v>9.9657316312443983E-2</v>
      </c>
      <c r="AV27" s="49">
        <f t="shared" si="25"/>
        <v>2.6515906923682771E-2</v>
      </c>
      <c r="AW27" s="50">
        <f xml:space="preserve"> IF(ISERROR(ROUND((1000*NPV($AT$1,$AV28:$AV$124)-$AW$1*($AU28+NPV($AT$1,$AU29:$AU$124)))/AU28,3)), 0, ROUND((1000*NPV($AT$1,$AV28:$AV$124)-$AW$1*($AU28+NPV($AT$1,$AU29:$AU$124)))/AU28,3))</f>
        <v>754.89400000000001</v>
      </c>
      <c r="AX27" s="50">
        <f>IF(ISERROR(ROUND(MAX(0,1000*NPV($AT$2,$AV28:$AV$124)-$AW$2*($AU28+NPV($AT$2,$AU29:$AU$124)))/AU28,3)), 0, ROUND(MAX(0,1000*NPV($AT$2,$AV28:$AV$124)-$AW$2*($AU28+NPV($AT$2,$AU29:$AU$124)))/AU28,3))</f>
        <v>678.48500000000001</v>
      </c>
    </row>
    <row r="28" spans="1:50" ht="15" x14ac:dyDescent="0.25">
      <c r="A28">
        <v>3</v>
      </c>
      <c r="B28">
        <v>5.7730039552461598E-4</v>
      </c>
      <c r="C28">
        <f t="shared" si="30"/>
        <v>5.4266237179313899E-4</v>
      </c>
      <c r="D28" s="60">
        <v>38</v>
      </c>
      <c r="E28" s="5">
        <v>946241.19787041342</v>
      </c>
      <c r="F28" s="5">
        <v>40116.896943255153</v>
      </c>
      <c r="G28" s="8"/>
      <c r="H28" s="4"/>
      <c r="I28" s="51">
        <v>24</v>
      </c>
      <c r="J28" s="41"/>
      <c r="K28" s="41" t="str">
        <f t="shared" si="26"/>
        <v/>
      </c>
      <c r="L28" s="42">
        <f t="shared" si="27"/>
        <v>25</v>
      </c>
      <c r="M28" s="41">
        <f t="shared" si="28"/>
        <v>2000000</v>
      </c>
      <c r="N28" s="43">
        <f t="shared" si="1"/>
        <v>696.96</v>
      </c>
      <c r="O28" s="44">
        <f t="shared" si="2"/>
        <v>769.53200000000004</v>
      </c>
      <c r="P28" s="41">
        <f t="shared" si="3"/>
        <v>1393920</v>
      </c>
      <c r="Q28" s="41">
        <f t="shared" si="4"/>
        <v>1539064</v>
      </c>
      <c r="R28" s="44"/>
      <c r="S28" s="44">
        <f>IF(I28&lt;&gt;"",_xlfn.XLOOKUP(D$4+I28,A$26:A$145,$C$26:$C$145,0) * 1000,"")</f>
        <v>291.13162505605493</v>
      </c>
      <c r="T28" s="52">
        <f t="shared" si="29"/>
        <v>0</v>
      </c>
      <c r="U28" s="53">
        <f t="shared" si="15"/>
        <v>7.3141409388761208E-2</v>
      </c>
      <c r="V28" s="53">
        <f t="shared" si="16"/>
        <v>2.1293777374240243E-2</v>
      </c>
      <c r="W28" s="53">
        <f t="shared" si="17"/>
        <v>0</v>
      </c>
      <c r="X28" s="46">
        <f t="shared" si="5"/>
        <v>5.1847632014520965E-2</v>
      </c>
      <c r="Y28" s="54"/>
      <c r="Z28" s="41">
        <f t="shared" si="18"/>
        <v>110428.02219823901</v>
      </c>
      <c r="AA28" s="41">
        <f t="shared" si="19"/>
        <v>1462.8281877752243</v>
      </c>
      <c r="AB28" s="41">
        <f t="shared" si="6"/>
        <v>79796.823918796697</v>
      </c>
      <c r="AC28" s="41">
        <f t="shared" si="7"/>
        <v>1036.9526402904194</v>
      </c>
      <c r="AD28" s="54"/>
      <c r="AE28" s="41">
        <f t="shared" si="8"/>
        <v>0</v>
      </c>
      <c r="AF28" s="41"/>
      <c r="AG28" s="41">
        <f t="shared" si="9"/>
        <v>-1.296190800363024</v>
      </c>
      <c r="AH28" s="41">
        <f t="shared" si="20"/>
        <v>-42587.554748480485</v>
      </c>
      <c r="AI28" s="41">
        <f t="shared" si="21"/>
        <v>0</v>
      </c>
      <c r="AJ28" s="41">
        <f t="shared" si="10"/>
        <v>-42588.850939280848</v>
      </c>
      <c r="AK28" s="41">
        <f t="shared" si="11"/>
        <v>30631.198279442309</v>
      </c>
      <c r="AL28" s="41">
        <f t="shared" si="22"/>
        <v>4475.6340154405698</v>
      </c>
      <c r="AM28" s="41">
        <f t="shared" si="12"/>
        <v>-7482.0186443979692</v>
      </c>
      <c r="AN28" s="41">
        <f t="shared" si="13"/>
        <v>425.87554748480488</v>
      </c>
      <c r="AO28" s="41">
        <f t="shared" si="14"/>
        <v>-7056.1430969131643</v>
      </c>
      <c r="AP28" s="45"/>
      <c r="AQ28" s="55"/>
      <c r="AR28" s="48"/>
      <c r="AS28" s="48"/>
      <c r="AT28" s="51">
        <f t="shared" si="23"/>
        <v>24</v>
      </c>
      <c r="AU28" s="49">
        <f t="shared" si="24"/>
        <v>7.3141409388761208E-2</v>
      </c>
      <c r="AV28" s="49">
        <f t="shared" si="25"/>
        <v>2.1293777374240243E-2</v>
      </c>
      <c r="AW28" s="50">
        <f xml:space="preserve"> IF(ISERROR(ROUND((1000*NPV($AT$1,$AV29:$AV$124)-$AW$1*($AU29+NPV($AT$1,$AU30:$AU$124)))/AU29,3)), 0, ROUND((1000*NPV($AT$1,$AV29:$AV$124)-$AW$1*($AU29+NPV($AT$1,$AU30:$AU$124)))/AU29,3))</f>
        <v>769.53200000000004</v>
      </c>
      <c r="AX28" s="50">
        <f>IF(ISERROR(ROUND(MAX(0,1000*NPV($AT$2,$AV29:$AV$124)-$AW$2*($AU29+NPV($AT$2,$AU30:$AU$124)))/AU29,3)), 0, ROUND(MAX(0,1000*NPV($AT$2,$AV29:$AV$124)-$AW$2*($AU29+NPV($AT$2,$AU30:$AU$124)))/AU29,3))</f>
        <v>696.96</v>
      </c>
    </row>
    <row r="29" spans="1:50" ht="15" x14ac:dyDescent="0.25">
      <c r="A29">
        <v>4</v>
      </c>
      <c r="B29">
        <v>4.3362751068676302E-4</v>
      </c>
      <c r="C29">
        <f t="shared" si="30"/>
        <v>4.076098600455572E-4</v>
      </c>
      <c r="D29" s="60">
        <v>39</v>
      </c>
      <c r="E29" s="5">
        <v>978117.37056607439</v>
      </c>
      <c r="F29" s="5">
        <v>41339.809422703693</v>
      </c>
      <c r="G29" s="8"/>
      <c r="H29" s="4"/>
      <c r="I29" s="51">
        <v>25</v>
      </c>
      <c r="J29" s="41"/>
      <c r="K29" s="41" t="str">
        <f t="shared" si="26"/>
        <v/>
      </c>
      <c r="L29" s="42">
        <f t="shared" si="27"/>
        <v>25</v>
      </c>
      <c r="M29" s="41">
        <f t="shared" si="28"/>
        <v>2000000</v>
      </c>
      <c r="N29" s="43">
        <f t="shared" si="1"/>
        <v>713.63599999999997</v>
      </c>
      <c r="O29" s="44">
        <f t="shared" si="2"/>
        <v>782.70100000000002</v>
      </c>
      <c r="P29" s="41">
        <f t="shared" si="3"/>
        <v>1427272</v>
      </c>
      <c r="Q29" s="41">
        <f t="shared" si="4"/>
        <v>1565402</v>
      </c>
      <c r="R29" s="44"/>
      <c r="S29" s="44">
        <f>IF(I29&lt;&gt;"",_xlfn.XLOOKUP(D$4+I29,A$26:A$145,$C$26:$C$145,0) * 1000,"")</f>
        <v>318.23366703346858</v>
      </c>
      <c r="T29" s="52">
        <f t="shared" si="29"/>
        <v>0</v>
      </c>
      <c r="U29" s="53">
        <f t="shared" si="15"/>
        <v>5.1847632014520965E-2</v>
      </c>
      <c r="V29" s="53">
        <f t="shared" si="16"/>
        <v>1.6499662062982871E-2</v>
      </c>
      <c r="W29" s="53">
        <f t="shared" si="17"/>
        <v>0</v>
      </c>
      <c r="X29" s="46">
        <f t="shared" si="5"/>
        <v>3.5347969951538091E-2</v>
      </c>
      <c r="Y29" s="54"/>
      <c r="Z29" s="41">
        <f t="shared" si="18"/>
        <v>79796.823918796697</v>
      </c>
      <c r="AA29" s="41">
        <f t="shared" si="19"/>
        <v>1036.9526402904194</v>
      </c>
      <c r="AB29" s="41">
        <f t="shared" si="6"/>
        <v>55333.782858077633</v>
      </c>
      <c r="AC29" s="41">
        <f t="shared" si="7"/>
        <v>706.9593990307618</v>
      </c>
      <c r="AD29" s="54"/>
      <c r="AE29" s="41">
        <f t="shared" si="8"/>
        <v>0</v>
      </c>
      <c r="AF29" s="41"/>
      <c r="AG29" s="41">
        <f t="shared" si="9"/>
        <v>-0.8836992487884523</v>
      </c>
      <c r="AH29" s="41">
        <f t="shared" si="20"/>
        <v>-32999.324125965744</v>
      </c>
      <c r="AI29" s="41">
        <f t="shared" si="21"/>
        <v>0</v>
      </c>
      <c r="AJ29" s="41">
        <f t="shared" si="10"/>
        <v>-33000.207825214529</v>
      </c>
      <c r="AK29" s="41">
        <f t="shared" si="11"/>
        <v>24463.041060719064</v>
      </c>
      <c r="AL29" s="41">
        <f t="shared" si="22"/>
        <v>3233.3510623634847</v>
      </c>
      <c r="AM29" s="41">
        <f t="shared" si="12"/>
        <v>-5303.8157021319803</v>
      </c>
      <c r="AN29" s="41">
        <f t="shared" si="13"/>
        <v>329.99324125965757</v>
      </c>
      <c r="AO29" s="41">
        <f t="shared" si="14"/>
        <v>-4973.8224608723231</v>
      </c>
      <c r="AP29" s="45"/>
      <c r="AQ29" s="55"/>
      <c r="AR29" s="48"/>
      <c r="AS29" s="48"/>
      <c r="AT29" s="51">
        <f t="shared" si="23"/>
        <v>25</v>
      </c>
      <c r="AU29" s="49">
        <f t="shared" si="24"/>
        <v>5.1847632014520965E-2</v>
      </c>
      <c r="AV29" s="49">
        <f t="shared" si="25"/>
        <v>1.6499662062982871E-2</v>
      </c>
      <c r="AW29" s="50">
        <f xml:space="preserve"> IF(ISERROR(ROUND((1000*NPV($AT$1,$AV30:$AV$124)-$AW$1*($AU30+NPV($AT$1,$AU31:$AU$124)))/AU30,3)), 0, ROUND((1000*NPV($AT$1,$AV30:$AV$124)-$AW$1*($AU30+NPV($AT$1,$AU31:$AU$124)))/AU30,3))</f>
        <v>782.70100000000002</v>
      </c>
      <c r="AX29" s="50">
        <f>IF(ISERROR(ROUND(MAX(0,1000*NPV($AT$2,$AV30:$AV$124)-$AW$2*($AU30+NPV($AT$2,$AU31:$AU$124)))/AU30,3)), 0, ROUND(MAX(0,1000*NPV($AT$2,$AV30:$AV$124)-$AW$2*($AU30+NPV($AT$2,$AU31:$AU$124)))/AU30,3))</f>
        <v>713.63599999999997</v>
      </c>
    </row>
    <row r="30" spans="1:50" ht="15" x14ac:dyDescent="0.25">
      <c r="A30">
        <v>5</v>
      </c>
      <c r="B30">
        <v>3.7890477522806198E-4</v>
      </c>
      <c r="C30">
        <f t="shared" si="30"/>
        <v>3.5617048871437827E-4</v>
      </c>
      <c r="D30" s="60">
        <v>40</v>
      </c>
      <c r="E30" s="5">
        <v>1010812.0920405117</v>
      </c>
      <c r="F30" s="5">
        <v>42586.563743124949</v>
      </c>
      <c r="G30" s="8"/>
      <c r="H30" s="4"/>
      <c r="I30" s="51">
        <v>26</v>
      </c>
      <c r="J30" s="41"/>
      <c r="K30" s="41" t="str">
        <f t="shared" si="26"/>
        <v/>
      </c>
      <c r="L30" s="42">
        <f t="shared" si="27"/>
        <v>25</v>
      </c>
      <c r="M30" s="41">
        <f t="shared" si="28"/>
        <v>2000000</v>
      </c>
      <c r="N30" s="43">
        <f t="shared" si="1"/>
        <v>729.12</v>
      </c>
      <c r="O30" s="44">
        <f t="shared" si="2"/>
        <v>794.87900000000002</v>
      </c>
      <c r="P30" s="41">
        <f t="shared" si="3"/>
        <v>1458240</v>
      </c>
      <c r="Q30" s="41">
        <f t="shared" si="4"/>
        <v>1589758</v>
      </c>
      <c r="R30" s="44"/>
      <c r="S30" s="44">
        <f>IF(I30&lt;&gt;"",_xlfn.XLOOKUP(D$4+I30,A$26:A$145,$C$26:$C$145,0) * 1000,"")</f>
        <v>344.5200608650166</v>
      </c>
      <c r="T30" s="52">
        <f t="shared" si="29"/>
        <v>0</v>
      </c>
      <c r="U30" s="53">
        <f t="shared" si="15"/>
        <v>3.5347969951538091E-2</v>
      </c>
      <c r="V30" s="53">
        <f t="shared" si="16"/>
        <v>1.2178084759158681E-2</v>
      </c>
      <c r="W30" s="53">
        <f t="shared" si="17"/>
        <v>0</v>
      </c>
      <c r="X30" s="46">
        <f t="shared" si="5"/>
        <v>2.3169885192379412E-2</v>
      </c>
      <c r="Y30" s="54"/>
      <c r="Z30" s="41">
        <f t="shared" si="18"/>
        <v>55333.782858077633</v>
      </c>
      <c r="AA30" s="41">
        <f t="shared" si="19"/>
        <v>706.9593990307618</v>
      </c>
      <c r="AB30" s="41">
        <f t="shared" si="6"/>
        <v>36834.510343666712</v>
      </c>
      <c r="AC30" s="41">
        <f t="shared" si="7"/>
        <v>463.39770384758822</v>
      </c>
      <c r="AD30" s="54"/>
      <c r="AE30" s="41">
        <f t="shared" si="8"/>
        <v>0</v>
      </c>
      <c r="AF30" s="41"/>
      <c r="AG30" s="41">
        <f t="shared" si="9"/>
        <v>-0.57924712980948534</v>
      </c>
      <c r="AH30" s="41">
        <f t="shared" si="20"/>
        <v>-24356.169518317362</v>
      </c>
      <c r="AI30" s="41">
        <f t="shared" si="21"/>
        <v>0</v>
      </c>
      <c r="AJ30" s="41">
        <f t="shared" si="10"/>
        <v>-24356.74876544717</v>
      </c>
      <c r="AK30" s="41">
        <f t="shared" si="11"/>
        <v>18499.272514410921</v>
      </c>
      <c r="AL30" s="41">
        <f t="shared" si="22"/>
        <v>2241.629690284336</v>
      </c>
      <c r="AM30" s="41">
        <f t="shared" si="12"/>
        <v>-3615.8465607519129</v>
      </c>
      <c r="AN30" s="41">
        <f t="shared" si="13"/>
        <v>243.56169518317358</v>
      </c>
      <c r="AO30" s="41">
        <f t="shared" si="14"/>
        <v>-3372.2848655687394</v>
      </c>
      <c r="AP30" s="45"/>
      <c r="AQ30" s="55"/>
      <c r="AR30" s="48"/>
      <c r="AS30" s="48"/>
      <c r="AT30" s="51">
        <f t="shared" si="23"/>
        <v>26</v>
      </c>
      <c r="AU30" s="49">
        <f t="shared" si="24"/>
        <v>3.5347969951538091E-2</v>
      </c>
      <c r="AV30" s="49">
        <f t="shared" si="25"/>
        <v>1.2178084759158681E-2</v>
      </c>
      <c r="AW30" s="50">
        <f xml:space="preserve"> IF(ISERROR(ROUND((1000*NPV($AT$1,$AV31:$AV$124)-$AW$1*($AU31+NPV($AT$1,$AU32:$AU$124)))/AU31,3)), 0, ROUND((1000*NPV($AT$1,$AV31:$AV$124)-$AW$1*($AU31+NPV($AT$1,$AU32:$AU$124)))/AU31,3))</f>
        <v>794.87900000000002</v>
      </c>
      <c r="AX30" s="50">
        <f>IF(ISERROR(ROUND(MAX(0,1000*NPV($AT$2,$AV31:$AV$124)-$AW$2*($AU31+NPV($AT$2,$AU32:$AU$124)))/AU31,3)), 0, ROUND(MAX(0,1000*NPV($AT$2,$AV31:$AV$124)-$AW$2*($AU31+NPV($AT$2,$AU32:$AU$124)))/AU31,3))</f>
        <v>729.12</v>
      </c>
    </row>
    <row r="31" spans="1:50" ht="15" x14ac:dyDescent="0.25">
      <c r="A31">
        <v>6</v>
      </c>
      <c r="B31">
        <v>3.5433193361178401E-4</v>
      </c>
      <c r="C31">
        <f t="shared" si="30"/>
        <v>3.3307201759507694E-4</v>
      </c>
      <c r="D31" s="60">
        <v>41</v>
      </c>
      <c r="E31" s="5">
        <v>1044299.1920420656</v>
      </c>
      <c r="F31" s="5">
        <v>43854.82571430644</v>
      </c>
      <c r="G31" s="8"/>
      <c r="H31" s="4"/>
      <c r="I31" s="51">
        <v>27</v>
      </c>
      <c r="J31" s="41"/>
      <c r="K31" s="41" t="str">
        <f t="shared" si="26"/>
        <v/>
      </c>
      <c r="L31" s="42">
        <f t="shared" si="27"/>
        <v>25</v>
      </c>
      <c r="M31" s="41">
        <f t="shared" si="28"/>
        <v>2000000</v>
      </c>
      <c r="N31" s="43">
        <f t="shared" si="1"/>
        <v>743.32</v>
      </c>
      <c r="O31" s="44">
        <f t="shared" si="2"/>
        <v>806.00900000000001</v>
      </c>
      <c r="P31" s="41">
        <f t="shared" si="3"/>
        <v>1486640</v>
      </c>
      <c r="Q31" s="41">
        <f t="shared" si="4"/>
        <v>1612018</v>
      </c>
      <c r="R31" s="44"/>
      <c r="S31" s="44">
        <f>IF(I31&lt;&gt;"",_xlfn.XLOOKUP(D$4+I31,A$26:A$145,$C$26:$C$145,0) * 1000,"")</f>
        <v>372.20413914859989</v>
      </c>
      <c r="T31" s="52">
        <f t="shared" si="29"/>
        <v>0</v>
      </c>
      <c r="U31" s="53">
        <f t="shared" si="15"/>
        <v>2.3169885192379412E-2</v>
      </c>
      <c r="V31" s="53">
        <f t="shared" si="16"/>
        <v>8.6239271722014718E-3</v>
      </c>
      <c r="W31" s="53">
        <f t="shared" si="17"/>
        <v>0</v>
      </c>
      <c r="X31" s="46">
        <f t="shared" si="5"/>
        <v>1.454595802017794E-2</v>
      </c>
      <c r="Y31" s="54"/>
      <c r="Z31" s="41">
        <f t="shared" si="18"/>
        <v>36834.510343666712</v>
      </c>
      <c r="AA31" s="41">
        <f t="shared" si="19"/>
        <v>463.39770384758822</v>
      </c>
      <c r="AB31" s="41">
        <f t="shared" si="6"/>
        <v>23448.346155771203</v>
      </c>
      <c r="AC31" s="41">
        <f t="shared" si="7"/>
        <v>290.91916040355881</v>
      </c>
      <c r="AD31" s="54"/>
      <c r="AE31" s="41">
        <f t="shared" si="8"/>
        <v>0</v>
      </c>
      <c r="AF31" s="41"/>
      <c r="AG31" s="41">
        <f t="shared" si="9"/>
        <v>-0.36364895050444851</v>
      </c>
      <c r="AH31" s="41">
        <f t="shared" si="20"/>
        <v>-17247.854344402942</v>
      </c>
      <c r="AI31" s="41">
        <f t="shared" si="21"/>
        <v>0</v>
      </c>
      <c r="AJ31" s="41">
        <f t="shared" si="10"/>
        <v>-17248.217993353446</v>
      </c>
      <c r="AK31" s="41">
        <f t="shared" si="11"/>
        <v>13386.164187895509</v>
      </c>
      <c r="AL31" s="41">
        <f t="shared" si="22"/>
        <v>1491.916321900572</v>
      </c>
      <c r="AM31" s="41">
        <f t="shared" si="12"/>
        <v>-2370.1374835573652</v>
      </c>
      <c r="AN31" s="41">
        <f t="shared" si="13"/>
        <v>172.47854344402941</v>
      </c>
      <c r="AO31" s="41">
        <f t="shared" si="14"/>
        <v>-2197.6589401133356</v>
      </c>
      <c r="AP31" s="45"/>
      <c r="AQ31" s="55"/>
      <c r="AR31" s="48"/>
      <c r="AS31" s="48"/>
      <c r="AT31" s="51">
        <f t="shared" si="23"/>
        <v>27</v>
      </c>
      <c r="AU31" s="49">
        <f t="shared" si="24"/>
        <v>2.3169885192379412E-2</v>
      </c>
      <c r="AV31" s="49">
        <f t="shared" si="25"/>
        <v>8.6239271722014718E-3</v>
      </c>
      <c r="AW31" s="50">
        <f xml:space="preserve"> IF(ISERROR(ROUND((1000*NPV($AT$1,$AV32:$AV$124)-$AW$1*($AU32+NPV($AT$1,$AU33:$AU$124)))/AU32,3)), 0, ROUND((1000*NPV($AT$1,$AV32:$AV$124)-$AW$1*($AU32+NPV($AT$1,$AU33:$AU$124)))/AU32,3))</f>
        <v>806.00900000000001</v>
      </c>
      <c r="AX31" s="50">
        <f>IF(ISERROR(ROUND(MAX(0,1000*NPV($AT$2,$AV32:$AV$124)-$AW$2*($AU32+NPV($AT$2,$AU33:$AU$124)))/AU32,3)), 0, ROUND(MAX(0,1000*NPV($AT$2,$AV32:$AV$124)-$AW$2*($AU32+NPV($AT$2,$AU33:$AU$124)))/AU32,3))</f>
        <v>743.32</v>
      </c>
    </row>
    <row r="32" spans="1:50" ht="15" x14ac:dyDescent="0.25">
      <c r="A32">
        <v>7</v>
      </c>
      <c r="B32">
        <v>3.3199011372742098E-4</v>
      </c>
      <c r="C32">
        <f t="shared" si="30"/>
        <v>3.1207070690377571E-4</v>
      </c>
      <c r="D32" s="60">
        <v>42</v>
      </c>
      <c r="E32" s="5">
        <v>1078629.5067699193</v>
      </c>
      <c r="F32" s="5">
        <v>45146.993071638281</v>
      </c>
      <c r="G32" s="8"/>
      <c r="H32" s="4"/>
      <c r="I32" s="51">
        <v>28</v>
      </c>
      <c r="J32" s="41"/>
      <c r="K32" s="41" t="str">
        <f t="shared" si="26"/>
        <v/>
      </c>
      <c r="L32" s="42">
        <f t="shared" si="27"/>
        <v>25</v>
      </c>
      <c r="M32" s="41">
        <f t="shared" si="28"/>
        <v>2000000</v>
      </c>
      <c r="N32" s="43">
        <f t="shared" si="1"/>
        <v>756.33900000000006</v>
      </c>
      <c r="O32" s="44">
        <f t="shared" si="2"/>
        <v>816.18200000000002</v>
      </c>
      <c r="P32" s="41">
        <f t="shared" si="3"/>
        <v>1512678</v>
      </c>
      <c r="Q32" s="41">
        <f t="shared" si="4"/>
        <v>1632364</v>
      </c>
      <c r="R32" s="44"/>
      <c r="S32" s="44">
        <f>IF(I32&lt;&gt;"",_xlfn.XLOOKUP(D$4+I32,A$26:A$145,$C$26:$C$145,0) * 1000,"")</f>
        <v>400.43221460513945</v>
      </c>
      <c r="T32" s="52">
        <f t="shared" si="29"/>
        <v>0</v>
      </c>
      <c r="U32" s="53">
        <f t="shared" si="15"/>
        <v>1.454595802017794E-2</v>
      </c>
      <c r="V32" s="53">
        <f t="shared" si="16"/>
        <v>5.8246701835732422E-3</v>
      </c>
      <c r="W32" s="53">
        <f t="shared" si="17"/>
        <v>0</v>
      </c>
      <c r="X32" s="46">
        <f t="shared" si="5"/>
        <v>8.7212878366046982E-3</v>
      </c>
      <c r="Y32" s="54"/>
      <c r="Z32" s="41">
        <f t="shared" si="18"/>
        <v>23448.346155771203</v>
      </c>
      <c r="AA32" s="41">
        <f t="shared" si="19"/>
        <v>290.91916040355881</v>
      </c>
      <c r="AB32" s="41">
        <f t="shared" si="6"/>
        <v>14236.316298111391</v>
      </c>
      <c r="AC32" s="41">
        <f t="shared" si="7"/>
        <v>174.42575673209396</v>
      </c>
      <c r="AD32" s="54"/>
      <c r="AE32" s="41">
        <f t="shared" si="8"/>
        <v>0</v>
      </c>
      <c r="AF32" s="41"/>
      <c r="AG32" s="41">
        <f t="shared" si="9"/>
        <v>-0.21803219591511747</v>
      </c>
      <c r="AH32" s="41">
        <f t="shared" si="20"/>
        <v>-11649.340367146484</v>
      </c>
      <c r="AI32" s="41">
        <f t="shared" si="21"/>
        <v>0</v>
      </c>
      <c r="AJ32" s="41">
        <f t="shared" si="10"/>
        <v>-11649.558399342399</v>
      </c>
      <c r="AK32" s="41">
        <f t="shared" si="11"/>
        <v>9212.0298576598125</v>
      </c>
      <c r="AL32" s="41">
        <f t="shared" si="22"/>
        <v>949.57061264699053</v>
      </c>
      <c r="AM32" s="41">
        <f t="shared" si="12"/>
        <v>-1487.957929035596</v>
      </c>
      <c r="AN32" s="41">
        <f t="shared" si="13"/>
        <v>116.49340367146485</v>
      </c>
      <c r="AO32" s="41">
        <f t="shared" si="14"/>
        <v>-1371.4645253641311</v>
      </c>
      <c r="AP32" s="45"/>
      <c r="AQ32" s="55"/>
      <c r="AR32" s="48"/>
      <c r="AS32" s="48"/>
      <c r="AT32" s="51">
        <f t="shared" si="23"/>
        <v>28</v>
      </c>
      <c r="AU32" s="49">
        <f t="shared" si="24"/>
        <v>1.454595802017794E-2</v>
      </c>
      <c r="AV32" s="49">
        <f t="shared" si="25"/>
        <v>5.8246701835732422E-3</v>
      </c>
      <c r="AW32" s="50">
        <f xml:space="preserve"> IF(ISERROR(ROUND((1000*NPV($AT$1,$AV33:$AV$124)-$AW$1*($AU33+NPV($AT$1,$AU34:$AU$124)))/AU33,3)), 0, ROUND((1000*NPV($AT$1,$AV33:$AV$124)-$AW$1*($AU33+NPV($AT$1,$AU34:$AU$124)))/AU33,3))</f>
        <v>816.18200000000002</v>
      </c>
      <c r="AX32" s="50">
        <f>IF(ISERROR(ROUND(MAX(0,1000*NPV($AT$2,$AV33:$AV$124)-$AW$2*($AU33+NPV($AT$2,$AU34:$AU$124)))/AU33,3)), 0, ROUND(MAX(0,1000*NPV($AT$2,$AV33:$AV$124)-$AW$2*($AU33+NPV($AT$2,$AU34:$AU$124)))/AU33,3))</f>
        <v>756.33900000000006</v>
      </c>
    </row>
    <row r="33" spans="1:50" ht="15" x14ac:dyDescent="0.25">
      <c r="A33">
        <v>8</v>
      </c>
      <c r="B33">
        <v>3.0907520921152898E-4</v>
      </c>
      <c r="C33">
        <f t="shared" si="30"/>
        <v>2.9053069665883722E-4</v>
      </c>
      <c r="D33" s="60">
        <v>43</v>
      </c>
      <c r="E33" s="5">
        <v>1113784.7322654314</v>
      </c>
      <c r="F33" s="5">
        <v>46460.935987847974</v>
      </c>
      <c r="G33" s="8"/>
      <c r="H33" s="4"/>
      <c r="I33" s="51">
        <v>29</v>
      </c>
      <c r="J33" s="41"/>
      <c r="K33" s="41" t="str">
        <f t="shared" si="26"/>
        <v/>
      </c>
      <c r="L33" s="42">
        <f t="shared" si="27"/>
        <v>25</v>
      </c>
      <c r="M33" s="41">
        <f t="shared" si="28"/>
        <v>2000000</v>
      </c>
      <c r="N33" s="43">
        <f t="shared" si="1"/>
        <v>768.41300000000001</v>
      </c>
      <c r="O33" s="44">
        <f t="shared" si="2"/>
        <v>825.58600000000001</v>
      </c>
      <c r="P33" s="41">
        <f t="shared" si="3"/>
        <v>1536826</v>
      </c>
      <c r="Q33" s="41">
        <f t="shared" si="4"/>
        <v>1651172</v>
      </c>
      <c r="R33" s="44"/>
      <c r="S33" s="44">
        <f>IF(I33&lt;&gt;"",_xlfn.XLOOKUP(D$4+I33,A$26:A$145,$C$26:$C$145,0) * 1000,"")</f>
        <v>428.76291549725261</v>
      </c>
      <c r="T33" s="52">
        <f t="shared" si="29"/>
        <v>0</v>
      </c>
      <c r="U33" s="53">
        <f t="shared" si="15"/>
        <v>8.7212878366046982E-3</v>
      </c>
      <c r="V33" s="53">
        <f t="shared" si="16"/>
        <v>3.739364799713357E-3</v>
      </c>
      <c r="W33" s="53">
        <f t="shared" si="17"/>
        <v>0</v>
      </c>
      <c r="X33" s="46">
        <f t="shared" si="5"/>
        <v>4.9819230368913416E-3</v>
      </c>
      <c r="Y33" s="54"/>
      <c r="Z33" s="41">
        <f t="shared" si="18"/>
        <v>14236.316298111391</v>
      </c>
      <c r="AA33" s="41">
        <f t="shared" si="19"/>
        <v>174.42575673209396</v>
      </c>
      <c r="AB33" s="41">
        <f t="shared" si="6"/>
        <v>8226.0118246699512</v>
      </c>
      <c r="AC33" s="41">
        <f t="shared" si="7"/>
        <v>99.638460737826833</v>
      </c>
      <c r="AD33" s="54"/>
      <c r="AE33" s="41">
        <f t="shared" si="8"/>
        <v>0</v>
      </c>
      <c r="AF33" s="41"/>
      <c r="AG33" s="41">
        <f t="shared" si="9"/>
        <v>-0.12454807592228354</v>
      </c>
      <c r="AH33" s="41">
        <f t="shared" si="20"/>
        <v>-7478.7295994267142</v>
      </c>
      <c r="AI33" s="41">
        <f t="shared" si="21"/>
        <v>0</v>
      </c>
      <c r="AJ33" s="41">
        <f t="shared" si="10"/>
        <v>-7478.8541475026368</v>
      </c>
      <c r="AK33" s="41">
        <f t="shared" si="11"/>
        <v>6010.3044734414398</v>
      </c>
      <c r="AL33" s="41">
        <f t="shared" si="22"/>
        <v>576.4296821937395</v>
      </c>
      <c r="AM33" s="41">
        <f t="shared" si="12"/>
        <v>-892.11999186745754</v>
      </c>
      <c r="AN33" s="41">
        <f t="shared" si="13"/>
        <v>74.787295994267126</v>
      </c>
      <c r="AO33" s="41">
        <f t="shared" si="14"/>
        <v>-817.33269587319046</v>
      </c>
      <c r="AP33" s="45"/>
      <c r="AQ33" s="55"/>
      <c r="AR33" s="48"/>
      <c r="AS33" s="48"/>
      <c r="AT33" s="51">
        <f t="shared" si="23"/>
        <v>29</v>
      </c>
      <c r="AU33" s="49">
        <f t="shared" si="24"/>
        <v>8.7212878366046982E-3</v>
      </c>
      <c r="AV33" s="49">
        <f t="shared" si="25"/>
        <v>3.739364799713357E-3</v>
      </c>
      <c r="AW33" s="50">
        <f xml:space="preserve"> IF(ISERROR(ROUND((1000*NPV($AT$1,$AV34:$AV$124)-$AW$1*($AU34+NPV($AT$1,$AU35:$AU$124)))/AU34,3)), 0, ROUND((1000*NPV($AT$1,$AV34:$AV$124)-$AW$1*($AU34+NPV($AT$1,$AU35:$AU$124)))/AU34,3))</f>
        <v>825.58600000000001</v>
      </c>
      <c r="AX33" s="50">
        <f>IF(ISERROR(ROUND(MAX(0,1000*NPV($AT$2,$AV34:$AV$124)-$AW$2*($AU34+NPV($AT$2,$AU35:$AU$124)))/AU34,3)), 0, ROUND(MAX(0,1000*NPV($AT$2,$AV34:$AV$124)-$AW$2*($AU34+NPV($AT$2,$AU35:$AU$124)))/AU34,3))</f>
        <v>768.41300000000001</v>
      </c>
    </row>
    <row r="34" spans="1:50" ht="15" x14ac:dyDescent="0.25">
      <c r="A34">
        <v>9</v>
      </c>
      <c r="B34">
        <v>3.0348175045913399E-4</v>
      </c>
      <c r="C34">
        <f t="shared" si="30"/>
        <v>2.8527284543158595E-4</v>
      </c>
      <c r="D34" s="60">
        <v>44</v>
      </c>
      <c r="E34" s="5">
        <v>1149775.3821417335</v>
      </c>
      <c r="F34" s="5">
        <v>47796.693271507043</v>
      </c>
      <c r="G34" s="8"/>
      <c r="H34" s="4"/>
      <c r="I34" s="51">
        <v>30</v>
      </c>
      <c r="J34" s="41"/>
      <c r="K34" s="41" t="str">
        <f t="shared" si="26"/>
        <v/>
      </c>
      <c r="L34" s="42">
        <f t="shared" si="27"/>
        <v>25</v>
      </c>
      <c r="M34" s="41">
        <f t="shared" si="28"/>
        <v>2000000</v>
      </c>
      <c r="N34" s="43">
        <f t="shared" si="1"/>
        <v>779.44399999999996</v>
      </c>
      <c r="O34" s="44">
        <f t="shared" si="2"/>
        <v>834.15300000000002</v>
      </c>
      <c r="P34" s="41">
        <f t="shared" si="3"/>
        <v>1558888</v>
      </c>
      <c r="Q34" s="41">
        <f t="shared" si="4"/>
        <v>1668306</v>
      </c>
      <c r="R34" s="44"/>
      <c r="S34" s="44">
        <f>IF(I34&lt;&gt;"",_xlfn.XLOOKUP(D$4+I34,A$26:A$145,$C$26:$C$145,0) * 1000,"")</f>
        <v>458.2217538078425</v>
      </c>
      <c r="T34" s="52">
        <f t="shared" si="29"/>
        <v>0</v>
      </c>
      <c r="U34" s="53">
        <f t="shared" si="15"/>
        <v>4.9819230368913416E-3</v>
      </c>
      <c r="V34" s="53">
        <f t="shared" si="16"/>
        <v>2.2828255113000436E-3</v>
      </c>
      <c r="W34" s="53">
        <f t="shared" si="17"/>
        <v>0</v>
      </c>
      <c r="X34" s="46">
        <f t="shared" si="5"/>
        <v>2.699097525591298E-3</v>
      </c>
      <c r="Y34" s="54"/>
      <c r="Z34" s="41">
        <f t="shared" si="18"/>
        <v>8226.0118246699512</v>
      </c>
      <c r="AA34" s="41">
        <f t="shared" si="19"/>
        <v>99.638460737826833</v>
      </c>
      <c r="AB34" s="41">
        <f t="shared" si="6"/>
        <v>4502.9205965291158</v>
      </c>
      <c r="AC34" s="41">
        <f t="shared" si="7"/>
        <v>53.981950511825964</v>
      </c>
      <c r="AD34" s="54"/>
      <c r="AE34" s="41">
        <f t="shared" si="8"/>
        <v>0</v>
      </c>
      <c r="AF34" s="41"/>
      <c r="AG34" s="41">
        <f t="shared" si="9"/>
        <v>-6.747743813978245E-2</v>
      </c>
      <c r="AH34" s="41">
        <f t="shared" si="20"/>
        <v>-4565.6510226000873</v>
      </c>
      <c r="AI34" s="41">
        <f t="shared" si="21"/>
        <v>0</v>
      </c>
      <c r="AJ34" s="41">
        <f t="shared" si="10"/>
        <v>-4565.7185000382269</v>
      </c>
      <c r="AK34" s="41">
        <f t="shared" si="11"/>
        <v>3723.0912281408355</v>
      </c>
      <c r="AL34" s="41">
        <f t="shared" si="22"/>
        <v>333.02601141631118</v>
      </c>
      <c r="AM34" s="41">
        <f t="shared" si="12"/>
        <v>-509.60126048108026</v>
      </c>
      <c r="AN34" s="41">
        <f t="shared" si="13"/>
        <v>45.656510226000869</v>
      </c>
      <c r="AO34" s="41">
        <f t="shared" si="14"/>
        <v>-463.94475025507938</v>
      </c>
      <c r="AP34" s="45"/>
      <c r="AQ34" s="55"/>
      <c r="AR34" s="48"/>
      <c r="AS34" s="48"/>
      <c r="AT34" s="51">
        <f t="shared" si="23"/>
        <v>30</v>
      </c>
      <c r="AU34" s="49">
        <f t="shared" si="24"/>
        <v>4.9819230368913416E-3</v>
      </c>
      <c r="AV34" s="49">
        <f t="shared" si="25"/>
        <v>2.2828255113000436E-3</v>
      </c>
      <c r="AW34" s="50">
        <f xml:space="preserve"> IF(ISERROR(ROUND((1000*NPV($AT$1,$AV35:$AV$124)-$AW$1*($AU35+NPV($AT$1,$AU36:$AU$124)))/AU35,3)), 0, ROUND((1000*NPV($AT$1,$AV35:$AV$124)-$AW$1*($AU35+NPV($AT$1,$AU36:$AU$124)))/AU35,3))</f>
        <v>834.15300000000002</v>
      </c>
      <c r="AX34" s="50">
        <f>IF(ISERROR(ROUND(MAX(0,1000*NPV($AT$2,$AV35:$AV$124)-$AW$2*($AU35+NPV($AT$2,$AU36:$AU$124)))/AU35,3)), 0, ROUND(MAX(0,1000*NPV($AT$2,$AV35:$AV$124)-$AW$2*($AU35+NPV($AT$2,$AU36:$AU$124)))/AU35,3))</f>
        <v>779.44399999999996</v>
      </c>
    </row>
    <row r="35" spans="1:50" ht="15" x14ac:dyDescent="0.25">
      <c r="A35">
        <v>10</v>
      </c>
      <c r="B35">
        <v>3.0042102998628601E-4</v>
      </c>
      <c r="C35">
        <f t="shared" si="30"/>
        <v>2.8239576818710882E-4</v>
      </c>
      <c r="D35" s="60">
        <v>45</v>
      </c>
      <c r="E35" s="5">
        <v>1186604.2017404954</v>
      </c>
      <c r="F35" s="5">
        <v>49153.643024664372</v>
      </c>
      <c r="G35" s="8"/>
      <c r="H35" s="4"/>
      <c r="I35" s="51">
        <v>31</v>
      </c>
      <c r="J35" s="41"/>
      <c r="K35" s="41" t="str">
        <f t="shared" si="26"/>
        <v/>
      </c>
      <c r="L35" s="42">
        <f t="shared" si="27"/>
        <v>25</v>
      </c>
      <c r="M35" s="41">
        <f t="shared" si="28"/>
        <v>2000000</v>
      </c>
      <c r="N35" s="43">
        <f t="shared" si="1"/>
        <v>789.65300000000002</v>
      </c>
      <c r="O35" s="44">
        <f t="shared" si="2"/>
        <v>842.06</v>
      </c>
      <c r="P35" s="41">
        <f t="shared" si="3"/>
        <v>1579306</v>
      </c>
      <c r="Q35" s="41">
        <f t="shared" si="4"/>
        <v>1684120</v>
      </c>
      <c r="R35" s="44"/>
      <c r="S35" s="44">
        <f>IF(I35&lt;&gt;"",_xlfn.XLOOKUP(D$4+I35,A$26:A$145,$C$26:$C$145,0) * 1000,"")</f>
        <v>487.51383036770903</v>
      </c>
      <c r="T35" s="52">
        <f t="shared" si="29"/>
        <v>0</v>
      </c>
      <c r="U35" s="53">
        <f t="shared" si="15"/>
        <v>2.699097525591298E-3</v>
      </c>
      <c r="V35" s="53">
        <f t="shared" si="16"/>
        <v>1.3158473732370192E-3</v>
      </c>
      <c r="W35" s="53">
        <f t="shared" si="17"/>
        <v>0</v>
      </c>
      <c r="X35" s="46">
        <f t="shared" si="5"/>
        <v>1.3832501523542789E-3</v>
      </c>
      <c r="Y35" s="54"/>
      <c r="Z35" s="41">
        <f t="shared" si="18"/>
        <v>4502.9205965291158</v>
      </c>
      <c r="AA35" s="41">
        <f t="shared" si="19"/>
        <v>53.981950511825964</v>
      </c>
      <c r="AB35" s="41">
        <f t="shared" si="6"/>
        <v>2329.5592465828881</v>
      </c>
      <c r="AC35" s="41">
        <f t="shared" si="7"/>
        <v>27.665003047085577</v>
      </c>
      <c r="AD35" s="54"/>
      <c r="AE35" s="41">
        <f t="shared" si="8"/>
        <v>0</v>
      </c>
      <c r="AF35" s="41"/>
      <c r="AG35" s="41">
        <f t="shared" si="9"/>
        <v>-3.4581253808856974E-2</v>
      </c>
      <c r="AH35" s="41">
        <f t="shared" si="20"/>
        <v>-2631.6947464740383</v>
      </c>
      <c r="AI35" s="41">
        <f t="shared" si="21"/>
        <v>0</v>
      </c>
      <c r="AJ35" s="41">
        <f t="shared" si="10"/>
        <v>-2631.7293277278472</v>
      </c>
      <c r="AK35" s="41">
        <f t="shared" si="11"/>
        <v>2173.3613499462276</v>
      </c>
      <c r="AL35" s="41">
        <f t="shared" si="22"/>
        <v>182.27610188163766</v>
      </c>
      <c r="AM35" s="41">
        <f t="shared" si="12"/>
        <v>-276.09187589998197</v>
      </c>
      <c r="AN35" s="41">
        <f t="shared" si="13"/>
        <v>26.316947464740387</v>
      </c>
      <c r="AO35" s="41">
        <f t="shared" si="14"/>
        <v>-249.77492843524158</v>
      </c>
      <c r="AP35" s="45"/>
      <c r="AQ35" s="55"/>
      <c r="AR35" s="48"/>
      <c r="AS35" s="48"/>
      <c r="AT35" s="51">
        <f t="shared" si="23"/>
        <v>31</v>
      </c>
      <c r="AU35" s="49">
        <f t="shared" si="24"/>
        <v>2.699097525591298E-3</v>
      </c>
      <c r="AV35" s="49">
        <f t="shared" si="25"/>
        <v>1.3158473732370192E-3</v>
      </c>
      <c r="AW35" s="50">
        <f xml:space="preserve"> IF(ISERROR(ROUND((1000*NPV($AT$1,$AV36:$AV$124)-$AW$1*($AU36+NPV($AT$1,$AU37:$AU$124)))/AU36,3)), 0, ROUND((1000*NPV($AT$1,$AV36:$AV$124)-$AW$1*($AU36+NPV($AT$1,$AU37:$AU$124)))/AU36,3))</f>
        <v>842.06</v>
      </c>
      <c r="AX35" s="50">
        <f>IF(ISERROR(ROUND(MAX(0,1000*NPV($AT$2,$AV36:$AV$124)-$AW$2*($AU36+NPV($AT$2,$AU37:$AU$124)))/AU36,3)), 0, ROUND(MAX(0,1000*NPV($AT$2,$AV36:$AV$124)-$AW$2*($AU36+NPV($AT$2,$AU37:$AU$124)))/AU36,3))</f>
        <v>789.65300000000002</v>
      </c>
    </row>
    <row r="36" spans="1:50" ht="15" x14ac:dyDescent="0.25">
      <c r="A36">
        <v>11</v>
      </c>
      <c r="B36">
        <v>3.2916936183746698E-4</v>
      </c>
      <c r="C36">
        <f t="shared" si="30"/>
        <v>3.0941920012721896E-4</v>
      </c>
      <c r="D36" s="60">
        <v>46</v>
      </c>
      <c r="E36" s="5">
        <v>1224494.2183402798</v>
      </c>
      <c r="F36" s="5">
        <v>50544.372213717084</v>
      </c>
      <c r="G36" s="8"/>
      <c r="H36" s="4"/>
      <c r="I36" s="51">
        <v>32</v>
      </c>
      <c r="J36" s="41"/>
      <c r="K36" s="41" t="str">
        <f t="shared" si="26"/>
        <v/>
      </c>
      <c r="L36" s="42">
        <f t="shared" si="27"/>
        <v>25</v>
      </c>
      <c r="M36" s="41">
        <f t="shared" si="28"/>
        <v>2000000</v>
      </c>
      <c r="N36" s="43">
        <f t="shared" si="1"/>
        <v>799.03800000000001</v>
      </c>
      <c r="O36" s="44">
        <f t="shared" si="2"/>
        <v>849.31</v>
      </c>
      <c r="P36" s="41">
        <f t="shared" si="3"/>
        <v>1598076</v>
      </c>
      <c r="Q36" s="41">
        <f t="shared" si="4"/>
        <v>1698620</v>
      </c>
      <c r="R36" s="44"/>
      <c r="S36" s="44">
        <f>IF(I36&lt;&gt;"",_xlfn.XLOOKUP(D$4+I36,A$26:A$145,$C$26:$C$145,0) * 1000,"")</f>
        <v>517.43177037816463</v>
      </c>
      <c r="T36" s="52">
        <f t="shared" si="29"/>
        <v>0</v>
      </c>
      <c r="U36" s="53">
        <f t="shared" si="15"/>
        <v>1.3832501523542789E-3</v>
      </c>
      <c r="V36" s="53">
        <f t="shared" si="16"/>
        <v>7.1573757520854045E-4</v>
      </c>
      <c r="W36" s="53">
        <f t="shared" si="17"/>
        <v>0</v>
      </c>
      <c r="X36" s="46">
        <f t="shared" si="5"/>
        <v>6.6751257714573842E-4</v>
      </c>
      <c r="Y36" s="54"/>
      <c r="Z36" s="41">
        <f t="shared" si="18"/>
        <v>2329.5592465828881</v>
      </c>
      <c r="AA36" s="41">
        <f t="shared" si="19"/>
        <v>27.665003047085577</v>
      </c>
      <c r="AB36" s="41">
        <f t="shared" si="6"/>
        <v>1133.8502137912942</v>
      </c>
      <c r="AC36" s="41">
        <f t="shared" si="7"/>
        <v>13.350251542914767</v>
      </c>
      <c r="AD36" s="54"/>
      <c r="AE36" s="41">
        <f t="shared" si="8"/>
        <v>0</v>
      </c>
      <c r="AF36" s="41"/>
      <c r="AG36" s="41">
        <f t="shared" si="9"/>
        <v>-1.668781442864346E-2</v>
      </c>
      <c r="AH36" s="41">
        <f t="shared" si="20"/>
        <v>-1431.4751504170808</v>
      </c>
      <c r="AI36" s="41">
        <f t="shared" si="21"/>
        <v>0</v>
      </c>
      <c r="AJ36" s="41">
        <f t="shared" si="10"/>
        <v>-1431.4918382315095</v>
      </c>
      <c r="AK36" s="41">
        <f t="shared" si="11"/>
        <v>1195.7090327915939</v>
      </c>
      <c r="AL36" s="41">
        <f t="shared" si="22"/>
        <v>94.288969985198946</v>
      </c>
      <c r="AM36" s="41">
        <f t="shared" si="12"/>
        <v>-141.49383545471665</v>
      </c>
      <c r="AN36" s="41">
        <f t="shared" si="13"/>
        <v>14.314751504170809</v>
      </c>
      <c r="AO36" s="41">
        <f t="shared" si="14"/>
        <v>-127.17908395054583</v>
      </c>
      <c r="AP36" s="45"/>
      <c r="AQ36" s="55"/>
      <c r="AR36" s="48"/>
      <c r="AS36" s="48"/>
      <c r="AT36" s="51">
        <f t="shared" si="23"/>
        <v>32</v>
      </c>
      <c r="AU36" s="49">
        <f t="shared" si="24"/>
        <v>1.3832501523542789E-3</v>
      </c>
      <c r="AV36" s="49">
        <f t="shared" si="25"/>
        <v>7.1573757520854045E-4</v>
      </c>
      <c r="AW36" s="50">
        <f xml:space="preserve"> IF(ISERROR(ROUND((1000*NPV($AT$1,$AV37:$AV$124)-$AW$1*($AU37+NPV($AT$1,$AU38:$AU$124)))/AU37,3)), 0, ROUND((1000*NPV($AT$1,$AV37:$AV$124)-$AW$1*($AU37+NPV($AT$1,$AU38:$AU$124)))/AU37,3))</f>
        <v>849.31</v>
      </c>
      <c r="AX36" s="50">
        <f>IF(ISERROR(ROUND(MAX(0,1000*NPV($AT$2,$AV37:$AV$124)-$AW$2*($AU37+NPV($AT$2,$AU38:$AU$124)))/AU37,3)), 0, ROUND(MAX(0,1000*NPV($AT$2,$AV37:$AV$124)-$AW$2*($AU37+NPV($AT$2,$AU38:$AU$124)))/AU37,3))</f>
        <v>799.03800000000001</v>
      </c>
    </row>
    <row r="37" spans="1:50" ht="15" x14ac:dyDescent="0.25">
      <c r="A37">
        <v>12</v>
      </c>
      <c r="B37">
        <v>3.4899347964645301E-4</v>
      </c>
      <c r="C37">
        <f t="shared" si="30"/>
        <v>3.2805387086766582E-4</v>
      </c>
      <c r="D37" s="60">
        <v>47</v>
      </c>
      <c r="E37" s="5">
        <v>1263214.3819281049</v>
      </c>
      <c r="F37" s="5">
        <v>51954.249384749332</v>
      </c>
      <c r="G37" s="8"/>
      <c r="H37" s="4"/>
      <c r="I37" s="51">
        <v>33</v>
      </c>
      <c r="J37" s="41"/>
      <c r="K37" s="41" t="str">
        <f t="shared" si="26"/>
        <v/>
      </c>
      <c r="L37" s="42">
        <f t="shared" si="27"/>
        <v>25</v>
      </c>
      <c r="M37" s="41">
        <f t="shared" si="28"/>
        <v>2000000</v>
      </c>
      <c r="N37" s="43">
        <f t="shared" si="1"/>
        <v>807.50900000000001</v>
      </c>
      <c r="O37" s="44">
        <f t="shared" si="2"/>
        <v>855.83900000000006</v>
      </c>
      <c r="P37" s="41">
        <f t="shared" si="3"/>
        <v>1615018</v>
      </c>
      <c r="Q37" s="41">
        <f t="shared" si="4"/>
        <v>1711678</v>
      </c>
      <c r="R37" s="44"/>
      <c r="S37" s="44">
        <f>IF(I37&lt;&gt;"",_xlfn.XLOOKUP(D$4+I37,A$26:A$145,$C$26:$C$145,0) * 1000,"")</f>
        <v>547.87370167540087</v>
      </c>
      <c r="T37" s="52">
        <f t="shared" si="29"/>
        <v>0</v>
      </c>
      <c r="U37" s="53">
        <f t="shared" si="15"/>
        <v>6.6751257714573842E-4</v>
      </c>
      <c r="V37" s="53">
        <f t="shared" si="16"/>
        <v>3.6571258655572231E-4</v>
      </c>
      <c r="W37" s="53">
        <f t="shared" si="17"/>
        <v>0</v>
      </c>
      <c r="X37" s="46">
        <f t="shared" si="5"/>
        <v>3.017999905900161E-4</v>
      </c>
      <c r="Y37" s="54"/>
      <c r="Z37" s="41">
        <f t="shared" si="18"/>
        <v>1133.8502137912942</v>
      </c>
      <c r="AA37" s="41">
        <f t="shared" si="19"/>
        <v>13.350251542914767</v>
      </c>
      <c r="AB37" s="41">
        <f t="shared" si="6"/>
        <v>516.5844042931376</v>
      </c>
      <c r="AC37" s="41">
        <f t="shared" si="7"/>
        <v>6.0359998118003224</v>
      </c>
      <c r="AD37" s="54"/>
      <c r="AE37" s="41">
        <f t="shared" si="8"/>
        <v>0</v>
      </c>
      <c r="AF37" s="41"/>
      <c r="AG37" s="41">
        <f t="shared" si="9"/>
        <v>-7.5449997647504029E-3</v>
      </c>
      <c r="AH37" s="41">
        <f t="shared" si="20"/>
        <v>-731.42517311144468</v>
      </c>
      <c r="AI37" s="41">
        <f t="shared" si="21"/>
        <v>0</v>
      </c>
      <c r="AJ37" s="41">
        <f t="shared" si="10"/>
        <v>-731.4327181112094</v>
      </c>
      <c r="AK37" s="41">
        <f t="shared" si="11"/>
        <v>617.26580949815661</v>
      </c>
      <c r="AL37" s="41">
        <f t="shared" si="22"/>
        <v>45.888018613368359</v>
      </c>
      <c r="AM37" s="41">
        <f t="shared" si="12"/>
        <v>-68.278889999684424</v>
      </c>
      <c r="AN37" s="41">
        <f t="shared" si="13"/>
        <v>7.314251731114445</v>
      </c>
      <c r="AO37" s="41">
        <f t="shared" si="14"/>
        <v>-60.964638268569978</v>
      </c>
      <c r="AP37" s="45"/>
      <c r="AQ37" s="55"/>
      <c r="AR37" s="48"/>
      <c r="AS37" s="48"/>
      <c r="AT37" s="51">
        <f t="shared" si="23"/>
        <v>33</v>
      </c>
      <c r="AU37" s="49">
        <f t="shared" si="24"/>
        <v>6.6751257714573842E-4</v>
      </c>
      <c r="AV37" s="49">
        <f t="shared" si="25"/>
        <v>3.6571258655572231E-4</v>
      </c>
      <c r="AW37" s="50">
        <f xml:space="preserve"> IF(ISERROR(ROUND((1000*NPV($AT$1,$AV38:$AV$124)-$AW$1*($AU38+NPV($AT$1,$AU39:$AU$124)))/AU38,3)), 0, ROUND((1000*NPV($AT$1,$AV38:$AV$124)-$AW$1*($AU38+NPV($AT$1,$AU39:$AU$124)))/AU38,3))</f>
        <v>855.83900000000006</v>
      </c>
      <c r="AX37" s="50">
        <f>IF(ISERROR(ROUND(MAX(0,1000*NPV($AT$2,$AV38:$AV$124)-$AW$2*($AU38+NPV($AT$2,$AU39:$AU$124)))/AU38,3)), 0, ROUND(MAX(0,1000*NPV($AT$2,$AV38:$AV$124)-$AW$2*($AU38+NPV($AT$2,$AU39:$AU$124)))/AU38,3))</f>
        <v>807.50900000000001</v>
      </c>
    </row>
    <row r="38" spans="1:50" ht="15" x14ac:dyDescent="0.25">
      <c r="A38">
        <v>13</v>
      </c>
      <c r="B38">
        <v>3.8737471402239298E-4</v>
      </c>
      <c r="C38">
        <f t="shared" si="30"/>
        <v>3.6413223118104938E-4</v>
      </c>
      <c r="D38" s="60">
        <v>48</v>
      </c>
      <c r="E38" s="5">
        <v>1302721.7845379072</v>
      </c>
      <c r="F38" s="5">
        <v>53379.884852599353</v>
      </c>
      <c r="G38" s="8"/>
      <c r="H38" s="4"/>
      <c r="I38" s="51">
        <v>34</v>
      </c>
      <c r="J38" s="41"/>
      <c r="K38" s="41" t="str">
        <f t="shared" si="26"/>
        <v/>
      </c>
      <c r="L38" s="42">
        <f t="shared" si="27"/>
        <v>25</v>
      </c>
      <c r="M38" s="41">
        <f t="shared" si="28"/>
        <v>2000000</v>
      </c>
      <c r="N38" s="43">
        <f t="shared" si="1"/>
        <v>815.226</v>
      </c>
      <c r="O38" s="44">
        <f t="shared" si="2"/>
        <v>861.774</v>
      </c>
      <c r="P38" s="41">
        <f t="shared" si="3"/>
        <v>1630452</v>
      </c>
      <c r="Q38" s="41">
        <f t="shared" si="4"/>
        <v>1723548</v>
      </c>
      <c r="R38" s="44"/>
      <c r="S38" s="44">
        <f>IF(I38&lt;&gt;"",_xlfn.XLOOKUP(D$4+I38,A$26:A$145,$C$26:$C$145,0) * 1000,"")</f>
        <v>577.58841853735646</v>
      </c>
      <c r="T38" s="52">
        <f t="shared" si="29"/>
        <v>0</v>
      </c>
      <c r="U38" s="53">
        <f t="shared" si="15"/>
        <v>3.017999905900161E-4</v>
      </c>
      <c r="V38" s="53">
        <f t="shared" si="16"/>
        <v>1.7431617927947645E-4</v>
      </c>
      <c r="W38" s="53">
        <f t="shared" si="17"/>
        <v>0</v>
      </c>
      <c r="X38" s="46">
        <f t="shared" si="5"/>
        <v>1.2748381131053965E-4</v>
      </c>
      <c r="Y38" s="54"/>
      <c r="Z38" s="41">
        <f t="shared" si="18"/>
        <v>516.5844042931376</v>
      </c>
      <c r="AA38" s="41">
        <f t="shared" si="19"/>
        <v>6.0359998118003224</v>
      </c>
      <c r="AB38" s="41">
        <f t="shared" si="6"/>
        <v>219.72446801665799</v>
      </c>
      <c r="AC38" s="41">
        <f t="shared" si="7"/>
        <v>2.549676226210793</v>
      </c>
      <c r="AD38" s="54"/>
      <c r="AE38" s="41">
        <f t="shared" si="8"/>
        <v>0</v>
      </c>
      <c r="AF38" s="41"/>
      <c r="AG38" s="41">
        <f t="shared" si="9"/>
        <v>-3.1870952827634915E-3</v>
      </c>
      <c r="AH38" s="41">
        <f t="shared" si="20"/>
        <v>-348.63235855895289</v>
      </c>
      <c r="AI38" s="41">
        <f t="shared" si="21"/>
        <v>0</v>
      </c>
      <c r="AJ38" s="41">
        <f t="shared" si="10"/>
        <v>-348.63554565423567</v>
      </c>
      <c r="AK38" s="41">
        <f t="shared" si="11"/>
        <v>296.85993627647963</v>
      </c>
      <c r="AL38" s="41">
        <f t="shared" si="22"/>
        <v>20.90481616419752</v>
      </c>
      <c r="AM38" s="41">
        <f t="shared" si="12"/>
        <v>-30.870793213558521</v>
      </c>
      <c r="AN38" s="41">
        <f t="shared" si="13"/>
        <v>3.4863235855895294</v>
      </c>
      <c r="AO38" s="41">
        <f t="shared" si="14"/>
        <v>-27.38446962796899</v>
      </c>
      <c r="AP38" s="45"/>
      <c r="AQ38" s="55"/>
      <c r="AR38" s="48"/>
      <c r="AS38" s="48"/>
      <c r="AT38" s="51">
        <f t="shared" si="23"/>
        <v>34</v>
      </c>
      <c r="AU38" s="49">
        <f t="shared" si="24"/>
        <v>3.017999905900161E-4</v>
      </c>
      <c r="AV38" s="49">
        <f t="shared" si="25"/>
        <v>1.7431617927947645E-4</v>
      </c>
      <c r="AW38" s="50">
        <f xml:space="preserve"> IF(ISERROR(ROUND((1000*NPV($AT$1,$AV39:$AV$124)-$AW$1*($AU39+NPV($AT$1,$AU40:$AU$124)))/AU39,3)), 0, ROUND((1000*NPV($AT$1,$AV39:$AV$124)-$AW$1*($AU39+NPV($AT$1,$AU40:$AU$124)))/AU39,3))</f>
        <v>861.774</v>
      </c>
      <c r="AX38" s="50">
        <f>IF(ISERROR(ROUND(MAX(0,1000*NPV($AT$2,$AV39:$AV$124)-$AW$2*($AU39+NPV($AT$2,$AU40:$AU$124)))/AU39,3)), 0, ROUND(MAX(0,1000*NPV($AT$2,$AV39:$AV$124)-$AW$2*($AU39+NPV($AT$2,$AU40:$AU$124)))/AU39,3))</f>
        <v>815.226</v>
      </c>
    </row>
    <row r="39" spans="1:50" ht="15" x14ac:dyDescent="0.25">
      <c r="A39">
        <v>14</v>
      </c>
      <c r="B39">
        <v>4.3498138462250098E-4</v>
      </c>
      <c r="C39">
        <f t="shared" si="30"/>
        <v>4.088825015451509E-4</v>
      </c>
      <c r="D39" s="60">
        <v>49</v>
      </c>
      <c r="E39" s="5">
        <v>1343035.9057919874</v>
      </c>
      <c r="F39" s="5">
        <v>54821.635982068605</v>
      </c>
      <c r="G39" s="8"/>
      <c r="H39" s="4"/>
      <c r="I39" s="51">
        <v>35</v>
      </c>
      <c r="J39" s="41"/>
      <c r="K39" s="41" t="str">
        <f t="shared" si="26"/>
        <v/>
      </c>
      <c r="L39" s="42">
        <f t="shared" si="27"/>
        <v>25</v>
      </c>
      <c r="M39" s="41">
        <f t="shared" si="28"/>
        <v>2000000</v>
      </c>
      <c r="N39" s="43">
        <f t="shared" si="1"/>
        <v>822.09199999999998</v>
      </c>
      <c r="O39" s="44">
        <f t="shared" si="2"/>
        <v>867.04499999999996</v>
      </c>
      <c r="P39" s="41">
        <f t="shared" si="3"/>
        <v>1644184</v>
      </c>
      <c r="Q39" s="41">
        <f t="shared" si="4"/>
        <v>1734090</v>
      </c>
      <c r="R39" s="44"/>
      <c r="S39" s="44">
        <f>IF(I39&lt;&gt;"",_xlfn.XLOOKUP(D$4+I39,A$26:A$145,$C$26:$C$145,0) * 1000,"")</f>
        <v>607.26317651087038</v>
      </c>
      <c r="T39" s="52">
        <f t="shared" si="29"/>
        <v>0</v>
      </c>
      <c r="U39" s="53">
        <f t="shared" si="15"/>
        <v>1.2748381131053965E-4</v>
      </c>
      <c r="V39" s="53">
        <f t="shared" si="16"/>
        <v>7.7416224210150736E-5</v>
      </c>
      <c r="W39" s="53">
        <f t="shared" si="17"/>
        <v>0</v>
      </c>
      <c r="X39" s="46">
        <f t="shared" si="5"/>
        <v>5.0067587100388914E-5</v>
      </c>
      <c r="Y39" s="54"/>
      <c r="Z39" s="41">
        <f t="shared" si="18"/>
        <v>219.72446801665799</v>
      </c>
      <c r="AA39" s="41">
        <f t="shared" si="19"/>
        <v>2.549676226210793</v>
      </c>
      <c r="AB39" s="41">
        <f t="shared" si="6"/>
        <v>86.821702114913407</v>
      </c>
      <c r="AC39" s="41">
        <f t="shared" si="7"/>
        <v>1.0013517420077782</v>
      </c>
      <c r="AD39" s="54"/>
      <c r="AE39" s="41">
        <f t="shared" si="8"/>
        <v>0</v>
      </c>
      <c r="AF39" s="41"/>
      <c r="AG39" s="41">
        <f t="shared" si="9"/>
        <v>-1.2516896775097229E-3</v>
      </c>
      <c r="AH39" s="41">
        <f t="shared" si="20"/>
        <v>-154.83244842030146</v>
      </c>
      <c r="AI39" s="41">
        <f t="shared" si="21"/>
        <v>0</v>
      </c>
      <c r="AJ39" s="41">
        <f t="shared" si="10"/>
        <v>-154.83370010997896</v>
      </c>
      <c r="AK39" s="41">
        <f t="shared" si="11"/>
        <v>132.9027659017446</v>
      </c>
      <c r="AL39" s="41">
        <f t="shared" si="22"/>
        <v>8.8909657697147519</v>
      </c>
      <c r="AM39" s="41">
        <f t="shared" si="12"/>
        <v>-13.03996843851961</v>
      </c>
      <c r="AN39" s="41">
        <f t="shared" si="13"/>
        <v>1.5483244842030148</v>
      </c>
      <c r="AO39" s="41">
        <f t="shared" si="14"/>
        <v>-11.491643954316595</v>
      </c>
      <c r="AP39" s="45"/>
      <c r="AQ39" s="55"/>
      <c r="AR39" s="48"/>
      <c r="AS39" s="48"/>
      <c r="AT39" s="51">
        <f t="shared" si="23"/>
        <v>35</v>
      </c>
      <c r="AU39" s="49">
        <f t="shared" si="24"/>
        <v>1.2748381131053965E-4</v>
      </c>
      <c r="AV39" s="49">
        <f t="shared" si="25"/>
        <v>7.7416224210150736E-5</v>
      </c>
      <c r="AW39" s="50">
        <f xml:space="preserve"> IF(ISERROR(ROUND((1000*NPV($AT$1,$AV40:$AV$124)-$AW$1*($AU40+NPV($AT$1,$AU41:$AU$124)))/AU40,3)), 0, ROUND((1000*NPV($AT$1,$AV40:$AV$124)-$AW$1*($AU40+NPV($AT$1,$AU41:$AU$124)))/AU40,3))</f>
        <v>867.04499999999996</v>
      </c>
      <c r="AX39" s="50">
        <f>IF(ISERROR(ROUND(MAX(0,1000*NPV($AT$2,$AV40:$AV$124)-$AW$2*($AU40+NPV($AT$2,$AU41:$AU$124)))/AU40,3)), 0, ROUND(MAX(0,1000*NPV($AT$2,$AV40:$AV$124)-$AW$2*($AU40+NPV($AT$2,$AU41:$AU$124)))/AU40,3))</f>
        <v>822.09199999999998</v>
      </c>
    </row>
    <row r="40" spans="1:50" ht="15" x14ac:dyDescent="0.25">
      <c r="A40">
        <v>15</v>
      </c>
      <c r="B40">
        <v>5.2347495980620295E-4</v>
      </c>
      <c r="C40">
        <f t="shared" si="30"/>
        <v>4.9206646221783073E-4</v>
      </c>
      <c r="D40" s="60">
        <v>50</v>
      </c>
      <c r="E40" s="5">
        <v>1384148.6985598009</v>
      </c>
      <c r="F40" s="5">
        <v>56278.449859574204</v>
      </c>
      <c r="G40" s="8"/>
      <c r="H40" s="4"/>
      <c r="I40" s="51">
        <v>36</v>
      </c>
      <c r="J40" s="41"/>
      <c r="K40" s="41" t="str">
        <f t="shared" si="26"/>
        <v/>
      </c>
      <c r="L40" s="42">
        <f t="shared" si="27"/>
        <v>25</v>
      </c>
      <c r="M40" s="41">
        <f t="shared" si="28"/>
        <v>2000000</v>
      </c>
      <c r="N40" s="43">
        <f t="shared" si="1"/>
        <v>828.17100000000005</v>
      </c>
      <c r="O40" s="44">
        <f t="shared" si="2"/>
        <v>871.70399999999995</v>
      </c>
      <c r="P40" s="41">
        <f t="shared" si="3"/>
        <v>1656342</v>
      </c>
      <c r="Q40" s="41">
        <f t="shared" si="4"/>
        <v>1743408</v>
      </c>
      <c r="R40" s="44"/>
      <c r="S40" s="44">
        <f>IF(I40&lt;&gt;"",_xlfn.XLOOKUP(D$4+I40,A$26:A$145,$C$26:$C$145,0) * 1000,"")</f>
        <v>635.72625299192623</v>
      </c>
      <c r="T40" s="52">
        <f t="shared" si="29"/>
        <v>0</v>
      </c>
      <c r="U40" s="53">
        <f t="shared" si="15"/>
        <v>5.0067587100388914E-5</v>
      </c>
      <c r="V40" s="53">
        <f t="shared" si="16"/>
        <v>3.182927954367715E-5</v>
      </c>
      <c r="W40" s="53">
        <f t="shared" si="17"/>
        <v>0</v>
      </c>
      <c r="X40" s="46">
        <f t="shared" si="5"/>
        <v>1.8238307556711765E-5</v>
      </c>
      <c r="Y40" s="54"/>
      <c r="Z40" s="41">
        <f t="shared" si="18"/>
        <v>86.821702114913407</v>
      </c>
      <c r="AA40" s="41">
        <f t="shared" si="19"/>
        <v>1.0013517420077782</v>
      </c>
      <c r="AB40" s="41">
        <f t="shared" si="6"/>
        <v>31.796811300831745</v>
      </c>
      <c r="AC40" s="41">
        <f t="shared" si="7"/>
        <v>0.36476615113423527</v>
      </c>
      <c r="AD40" s="54"/>
      <c r="AE40" s="41">
        <f t="shared" si="8"/>
        <v>0</v>
      </c>
      <c r="AF40" s="41"/>
      <c r="AG40" s="41">
        <f t="shared" si="9"/>
        <v>-4.5595768891779412E-4</v>
      </c>
      <c r="AH40" s="41">
        <f t="shared" si="20"/>
        <v>-63.658559087354298</v>
      </c>
      <c r="AI40" s="41">
        <f t="shared" si="21"/>
        <v>0</v>
      </c>
      <c r="AJ40" s="41">
        <f t="shared" si="10"/>
        <v>-63.659015045043219</v>
      </c>
      <c r="AK40" s="41">
        <f t="shared" si="11"/>
        <v>55.024890814081658</v>
      </c>
      <c r="AL40" s="41">
        <f t="shared" si="22"/>
        <v>3.5129221542768478</v>
      </c>
      <c r="AM40" s="41">
        <f t="shared" si="12"/>
        <v>-5.1212020766847131</v>
      </c>
      <c r="AN40" s="41">
        <f t="shared" si="13"/>
        <v>0.63658559087354294</v>
      </c>
      <c r="AO40" s="41">
        <f t="shared" si="14"/>
        <v>-4.4846164858111699</v>
      </c>
      <c r="AP40" s="45"/>
      <c r="AQ40" s="55"/>
      <c r="AR40" s="48"/>
      <c r="AS40" s="48"/>
      <c r="AT40" s="51">
        <f t="shared" si="23"/>
        <v>36</v>
      </c>
      <c r="AU40" s="49">
        <f t="shared" si="24"/>
        <v>5.0067587100388914E-5</v>
      </c>
      <c r="AV40" s="49">
        <f t="shared" si="25"/>
        <v>3.182927954367715E-5</v>
      </c>
      <c r="AW40" s="50">
        <f xml:space="preserve"> IF(ISERROR(ROUND((1000*NPV($AT$1,$AV41:$AV$124)-$AW$1*($AU41+NPV($AT$1,$AU42:$AU$124)))/AU41,3)), 0, ROUND((1000*NPV($AT$1,$AV41:$AV$124)-$AW$1*($AU41+NPV($AT$1,$AU42:$AU$124)))/AU41,3))</f>
        <v>871.70399999999995</v>
      </c>
      <c r="AX40" s="50">
        <f>IF(ISERROR(ROUND(MAX(0,1000*NPV($AT$2,$AV41:$AV$124)-$AW$2*($AU41+NPV($AT$2,$AU42:$AU$124)))/AU41,3)), 0, ROUND(MAX(0,1000*NPV($AT$2,$AV41:$AV$124)-$AW$2*($AU41+NPV($AT$2,$AU42:$AU$124)))/AU41,3))</f>
        <v>828.17100000000005</v>
      </c>
    </row>
    <row r="41" spans="1:50" ht="15" x14ac:dyDescent="0.25">
      <c r="A41">
        <v>16</v>
      </c>
      <c r="B41">
        <v>6.3357981483402903E-4</v>
      </c>
      <c r="C41">
        <f t="shared" si="30"/>
        <v>5.9556502594398724E-4</v>
      </c>
      <c r="D41" s="60">
        <v>51</v>
      </c>
      <c r="E41" s="5">
        <v>1426072.0531750731</v>
      </c>
      <c r="F41" s="5">
        <v>57750.247873005341</v>
      </c>
      <c r="G41" s="8"/>
      <c r="H41" s="4"/>
      <c r="I41" s="51">
        <v>37</v>
      </c>
      <c r="J41" s="41"/>
      <c r="K41" s="41" t="str">
        <f t="shared" si="26"/>
        <v/>
      </c>
      <c r="L41" s="42">
        <f t="shared" si="27"/>
        <v>25</v>
      </c>
      <c r="M41" s="41">
        <f t="shared" si="28"/>
        <v>2000000</v>
      </c>
      <c r="N41" s="43">
        <f t="shared" si="1"/>
        <v>833.70399999999995</v>
      </c>
      <c r="O41" s="44">
        <f t="shared" si="2"/>
        <v>875.93899999999996</v>
      </c>
      <c r="P41" s="41">
        <f t="shared" si="3"/>
        <v>1667408</v>
      </c>
      <c r="Q41" s="41">
        <f t="shared" si="4"/>
        <v>1751878</v>
      </c>
      <c r="R41" s="44"/>
      <c r="S41" s="44">
        <f>IF(I41&lt;&gt;"",_xlfn.XLOOKUP(D$4+I41,A$26:A$145,$C$26:$C$145,0) * 1000,"")</f>
        <v>662.35641773936754</v>
      </c>
      <c r="T41" s="52">
        <f t="shared" si="29"/>
        <v>0</v>
      </c>
      <c r="U41" s="53">
        <f t="shared" si="15"/>
        <v>1.8238307556711765E-5</v>
      </c>
      <c r="V41" s="53">
        <f t="shared" si="16"/>
        <v>1.2080260058892441E-5</v>
      </c>
      <c r="W41" s="53">
        <f t="shared" si="17"/>
        <v>0</v>
      </c>
      <c r="X41" s="46">
        <f t="shared" si="5"/>
        <v>6.1580474978193231E-6</v>
      </c>
      <c r="Y41" s="54"/>
      <c r="Z41" s="41">
        <f t="shared" si="18"/>
        <v>31.796811300831745</v>
      </c>
      <c r="AA41" s="41">
        <f t="shared" si="19"/>
        <v>0.36476615113423527</v>
      </c>
      <c r="AB41" s="41">
        <f t="shared" si="6"/>
        <v>10.788147934384719</v>
      </c>
      <c r="AC41" s="41">
        <f t="shared" si="7"/>
        <v>0.12316094995638646</v>
      </c>
      <c r="AD41" s="54"/>
      <c r="AE41" s="41">
        <f t="shared" si="8"/>
        <v>0</v>
      </c>
      <c r="AF41" s="41"/>
      <c r="AG41" s="41">
        <f t="shared" si="9"/>
        <v>-1.5395118744548309E-4</v>
      </c>
      <c r="AH41" s="41">
        <f t="shared" si="20"/>
        <v>-24.160520117784884</v>
      </c>
      <c r="AI41" s="41">
        <f t="shared" si="21"/>
        <v>0</v>
      </c>
      <c r="AJ41" s="41">
        <f t="shared" si="10"/>
        <v>-24.16067406897233</v>
      </c>
      <c r="AK41" s="41">
        <f t="shared" si="11"/>
        <v>21.008663366447024</v>
      </c>
      <c r="AL41" s="41">
        <f t="shared" si="22"/>
        <v>1.2864630980786393</v>
      </c>
      <c r="AM41" s="41">
        <f t="shared" si="12"/>
        <v>-1.8655476044466668</v>
      </c>
      <c r="AN41" s="41">
        <f t="shared" si="13"/>
        <v>0.24160520117784881</v>
      </c>
      <c r="AO41" s="41">
        <f t="shared" si="14"/>
        <v>-1.6239424032688179</v>
      </c>
      <c r="AP41" s="45"/>
      <c r="AQ41" s="55"/>
      <c r="AR41" s="48"/>
      <c r="AS41" s="48"/>
      <c r="AT41" s="51">
        <f t="shared" si="23"/>
        <v>37</v>
      </c>
      <c r="AU41" s="49">
        <f t="shared" si="24"/>
        <v>1.8238307556711765E-5</v>
      </c>
      <c r="AV41" s="49">
        <f t="shared" si="25"/>
        <v>1.2080260058892441E-5</v>
      </c>
      <c r="AW41" s="50">
        <f xml:space="preserve"> IF(ISERROR(ROUND((1000*NPV($AT$1,$AV42:$AV$124)-$AW$1*($AU42+NPV($AT$1,$AU43:$AU$124)))/AU42,3)), 0, ROUND((1000*NPV($AT$1,$AV42:$AV$124)-$AW$1*($AU42+NPV($AT$1,$AU43:$AU$124)))/AU42,3))</f>
        <v>875.93899999999996</v>
      </c>
      <c r="AX41" s="50">
        <f>IF(ISERROR(ROUND(MAX(0,1000*NPV($AT$2,$AV42:$AV$124)-$AW$2*($AU42+NPV($AT$2,$AU43:$AU$124)))/AU42,3)), 0, ROUND(MAX(0,1000*NPV($AT$2,$AV42:$AV$124)-$AW$2*($AU42+NPV($AT$2,$AU43:$AU$124)))/AU42,3))</f>
        <v>833.70399999999995</v>
      </c>
    </row>
    <row r="42" spans="1:50" ht="15" x14ac:dyDescent="0.25">
      <c r="A42">
        <v>17</v>
      </c>
      <c r="B42">
        <v>7.58946395885141E-4</v>
      </c>
      <c r="C42">
        <f t="shared" si="30"/>
        <v>7.1340961213203248E-4</v>
      </c>
      <c r="D42" s="60">
        <v>52</v>
      </c>
      <c r="E42" s="5">
        <v>1468745.8413224178</v>
      </c>
      <c r="F42" s="5">
        <v>59232.866289466503</v>
      </c>
      <c r="G42" s="8"/>
      <c r="H42" s="4"/>
      <c r="I42" s="51">
        <v>38</v>
      </c>
      <c r="J42" s="41"/>
      <c r="K42" s="41" t="str">
        <f t="shared" si="26"/>
        <v/>
      </c>
      <c r="L42" s="42">
        <f t="shared" si="27"/>
        <v>25</v>
      </c>
      <c r="M42" s="41">
        <f t="shared" si="28"/>
        <v>2000000</v>
      </c>
      <c r="N42" s="43">
        <f t="shared" si="1"/>
        <v>838.71400000000006</v>
      </c>
      <c r="O42" s="44">
        <f t="shared" si="2"/>
        <v>879.76700000000005</v>
      </c>
      <c r="P42" s="41">
        <f t="shared" si="3"/>
        <v>1677428</v>
      </c>
      <c r="Q42" s="41">
        <f t="shared" si="4"/>
        <v>1759534</v>
      </c>
      <c r="R42" s="44"/>
      <c r="S42" s="44">
        <f>IF(I42&lt;&gt;"",_xlfn.XLOOKUP(D$4+I42,A$26:A$145,$C$26:$C$145,0) * 1000,"")</f>
        <v>688.23078721566549</v>
      </c>
      <c r="T42" s="52">
        <f t="shared" si="29"/>
        <v>0</v>
      </c>
      <c r="U42" s="53">
        <f t="shared" si="15"/>
        <v>6.1580474978193231E-6</v>
      </c>
      <c r="V42" s="53">
        <f t="shared" si="16"/>
        <v>4.2381578771356514E-6</v>
      </c>
      <c r="W42" s="53">
        <f t="shared" si="17"/>
        <v>0</v>
      </c>
      <c r="X42" s="46">
        <f t="shared" si="5"/>
        <v>1.9198896206836717E-6</v>
      </c>
      <c r="Y42" s="54"/>
      <c r="Z42" s="41">
        <f t="shared" si="18"/>
        <v>10.788147934384719</v>
      </c>
      <c r="AA42" s="41">
        <f t="shared" si="19"/>
        <v>0.12316094995638646</v>
      </c>
      <c r="AB42" s="41">
        <f t="shared" si="6"/>
        <v>3.3781110638400236</v>
      </c>
      <c r="AC42" s="41">
        <f t="shared" si="7"/>
        <v>3.8397792413673436E-2</v>
      </c>
      <c r="AD42" s="54"/>
      <c r="AE42" s="41">
        <f t="shared" si="8"/>
        <v>0</v>
      </c>
      <c r="AF42" s="41"/>
      <c r="AG42" s="41">
        <f t="shared" si="9"/>
        <v>-4.7997240517091793E-5</v>
      </c>
      <c r="AH42" s="41">
        <f t="shared" si="20"/>
        <v>-8.4763157542713028</v>
      </c>
      <c r="AI42" s="41">
        <f t="shared" si="21"/>
        <v>0</v>
      </c>
      <c r="AJ42" s="41">
        <f t="shared" si="10"/>
        <v>-8.4763637515118191</v>
      </c>
      <c r="AK42" s="41">
        <f t="shared" si="11"/>
        <v>7.4100368705446957</v>
      </c>
      <c r="AL42" s="41">
        <f t="shared" si="22"/>
        <v>0.43645235537364424</v>
      </c>
      <c r="AM42" s="41">
        <f t="shared" si="12"/>
        <v>-0.62987452559347912</v>
      </c>
      <c r="AN42" s="41">
        <f t="shared" si="13"/>
        <v>8.4763157542713019E-2</v>
      </c>
      <c r="AO42" s="41">
        <f t="shared" si="14"/>
        <v>-0.5451113680507661</v>
      </c>
      <c r="AP42" s="45"/>
      <c r="AQ42" s="55"/>
      <c r="AR42" s="48"/>
      <c r="AS42" s="48"/>
      <c r="AT42" s="51">
        <f t="shared" si="23"/>
        <v>38</v>
      </c>
      <c r="AU42" s="49">
        <f t="shared" si="24"/>
        <v>6.1580474978193231E-6</v>
      </c>
      <c r="AV42" s="49">
        <f t="shared" si="25"/>
        <v>4.2381578771356514E-6</v>
      </c>
      <c r="AW42" s="50">
        <f xml:space="preserve"> IF(ISERROR(ROUND((1000*NPV($AT$1,$AV43:$AV$124)-$AW$1*($AU43+NPV($AT$1,$AU44:$AU$124)))/AU43,3)), 0, ROUND((1000*NPV($AT$1,$AV43:$AV$124)-$AW$1*($AU43+NPV($AT$1,$AU44:$AU$124)))/AU43,3))</f>
        <v>879.76700000000005</v>
      </c>
      <c r="AX42" s="50">
        <f>IF(ISERROR(ROUND(MAX(0,1000*NPV($AT$2,$AV43:$AV$124)-$AW$2*($AU43+NPV($AT$2,$AU44:$AU$124)))/AU43,3)), 0, ROUND(MAX(0,1000*NPV($AT$2,$AV43:$AV$124)-$AW$2*($AU43+NPV($AT$2,$AU44:$AU$124)))/AU43,3))</f>
        <v>838.71400000000006</v>
      </c>
    </row>
    <row r="43" spans="1:50" ht="15" x14ac:dyDescent="0.25">
      <c r="A43">
        <v>18</v>
      </c>
      <c r="B43">
        <v>9.0768105204475102E-4</v>
      </c>
      <c r="C43">
        <f t="shared" si="30"/>
        <v>8.5322018892206595E-4</v>
      </c>
      <c r="D43" s="60">
        <v>53</v>
      </c>
      <c r="E43" s="5">
        <v>1512108.2286239103</v>
      </c>
      <c r="F43" s="5">
        <v>60722.05651044962</v>
      </c>
      <c r="G43" s="8"/>
      <c r="H43" s="4"/>
      <c r="I43" s="51">
        <v>39</v>
      </c>
      <c r="J43" s="41"/>
      <c r="K43" s="41" t="str">
        <f t="shared" si="26"/>
        <v/>
      </c>
      <c r="L43" s="42">
        <f t="shared" si="27"/>
        <v>25</v>
      </c>
      <c r="M43" s="41">
        <f t="shared" si="28"/>
        <v>2000000</v>
      </c>
      <c r="N43" s="43">
        <f t="shared" si="1"/>
        <v>843.226</v>
      </c>
      <c r="O43" s="44">
        <f t="shared" si="2"/>
        <v>883.21100000000001</v>
      </c>
      <c r="P43" s="41">
        <f t="shared" si="3"/>
        <v>1686452</v>
      </c>
      <c r="Q43" s="41">
        <f t="shared" si="4"/>
        <v>1766422</v>
      </c>
      <c r="R43" s="44"/>
      <c r="S43" s="44">
        <f>IF(I43&lt;&gt;"",_xlfn.XLOOKUP(D$4+I43,A$26:A$145,$C$26:$C$145,0) * 1000,"")</f>
        <v>713.12770710773464</v>
      </c>
      <c r="T43" s="52">
        <f t="shared" si="29"/>
        <v>0</v>
      </c>
      <c r="U43" s="53">
        <f t="shared" si="15"/>
        <v>1.9198896206836717E-6</v>
      </c>
      <c r="V43" s="53">
        <f t="shared" si="16"/>
        <v>1.3691264830980851E-6</v>
      </c>
      <c r="W43" s="53">
        <f t="shared" si="17"/>
        <v>0</v>
      </c>
      <c r="X43" s="46">
        <f t="shared" si="5"/>
        <v>5.5076313758558658E-7</v>
      </c>
      <c r="Y43" s="54"/>
      <c r="Z43" s="41">
        <f t="shared" si="18"/>
        <v>3.3781110638400236</v>
      </c>
      <c r="AA43" s="41">
        <f t="shared" si="19"/>
        <v>3.8397792413673436E-2</v>
      </c>
      <c r="AB43" s="41">
        <f t="shared" si="6"/>
        <v>0.97288012302020699</v>
      </c>
      <c r="AC43" s="41">
        <f t="shared" si="7"/>
        <v>1.1015262751711732E-2</v>
      </c>
      <c r="AD43" s="54"/>
      <c r="AE43" s="41">
        <f t="shared" si="8"/>
        <v>0</v>
      </c>
      <c r="AF43" s="41"/>
      <c r="AG43" s="41">
        <f t="shared" si="9"/>
        <v>-1.3769078439639664E-5</v>
      </c>
      <c r="AH43" s="41">
        <f t="shared" si="20"/>
        <v>-2.7382529661961703</v>
      </c>
      <c r="AI43" s="41">
        <f t="shared" si="21"/>
        <v>0</v>
      </c>
      <c r="AJ43" s="41">
        <f t="shared" si="10"/>
        <v>-2.73826673527461</v>
      </c>
      <c r="AK43" s="41">
        <f t="shared" si="11"/>
        <v>2.4052309408198167</v>
      </c>
      <c r="AL43" s="41">
        <f t="shared" si="22"/>
        <v>0.13666035425014789</v>
      </c>
      <c r="AM43" s="41">
        <f t="shared" si="12"/>
        <v>-0.19637544020464537</v>
      </c>
      <c r="AN43" s="41">
        <f t="shared" si="13"/>
        <v>2.7382529661961703E-2</v>
      </c>
      <c r="AO43" s="41">
        <f t="shared" si="14"/>
        <v>-0.16899291054268367</v>
      </c>
      <c r="AP43" s="45"/>
      <c r="AQ43" s="55"/>
      <c r="AR43" s="48"/>
      <c r="AS43" s="48"/>
      <c r="AT43" s="51">
        <f t="shared" si="23"/>
        <v>39</v>
      </c>
      <c r="AU43" s="49">
        <f t="shared" si="24"/>
        <v>1.9198896206836717E-6</v>
      </c>
      <c r="AV43" s="49">
        <f t="shared" si="25"/>
        <v>1.3691264830980851E-6</v>
      </c>
      <c r="AW43" s="50">
        <f xml:space="preserve"> IF(ISERROR(ROUND((1000*NPV($AT$1,$AV44:$AV$124)-$AW$1*($AU44+NPV($AT$1,$AU45:$AU$124)))/AU44,3)), 0, ROUND((1000*NPV($AT$1,$AV44:$AV$124)-$AW$1*($AU44+NPV($AT$1,$AU45:$AU$124)))/AU44,3))</f>
        <v>883.21100000000001</v>
      </c>
      <c r="AX43" s="50">
        <f>IF(ISERROR(ROUND(MAX(0,1000*NPV($AT$2,$AV44:$AV$124)-$AW$2*($AU44+NPV($AT$2,$AU45:$AU$124)))/AU44,3)), 0, ROUND(MAX(0,1000*NPV($AT$2,$AV44:$AV$124)-$AW$2*($AU44+NPV($AT$2,$AU45:$AU$124)))/AU44,3))</f>
        <v>843.226</v>
      </c>
    </row>
    <row r="44" spans="1:50" ht="15" x14ac:dyDescent="0.25">
      <c r="A44">
        <v>19</v>
      </c>
      <c r="B44">
        <v>8.21035234919276E-4</v>
      </c>
      <c r="C44">
        <f t="shared" si="30"/>
        <v>7.7177312082411938E-4</v>
      </c>
      <c r="D44" s="60">
        <v>54</v>
      </c>
      <c r="E44" s="5">
        <v>1556132.1247023398</v>
      </c>
      <c r="F44" s="5">
        <v>62215.598196508014</v>
      </c>
      <c r="G44" s="8"/>
      <c r="H44" s="4"/>
      <c r="I44" s="51">
        <v>40</v>
      </c>
      <c r="J44" s="41"/>
      <c r="K44" s="41" t="str">
        <f t="shared" si="26"/>
        <v/>
      </c>
      <c r="L44" s="42">
        <f t="shared" si="27"/>
        <v>25</v>
      </c>
      <c r="M44" s="41">
        <f t="shared" si="28"/>
        <v>2000000</v>
      </c>
      <c r="N44" s="43">
        <f t="shared" si="1"/>
        <v>847.27499999999998</v>
      </c>
      <c r="O44" s="44">
        <f t="shared" si="2"/>
        <v>886.298</v>
      </c>
      <c r="P44" s="41">
        <f t="shared" si="3"/>
        <v>1694550</v>
      </c>
      <c r="Q44" s="41">
        <f t="shared" si="4"/>
        <v>1772596</v>
      </c>
      <c r="R44" s="44"/>
      <c r="S44" s="44">
        <f>IF(I44&lt;&gt;"",_xlfn.XLOOKUP(D$4+I44,A$26:A$145,$C$26:$C$145,0) * 1000,"")</f>
        <v>736.84302060964603</v>
      </c>
      <c r="T44" s="52">
        <f t="shared" si="29"/>
        <v>0</v>
      </c>
      <c r="U44" s="53">
        <f t="shared" si="15"/>
        <v>5.5076313758558658E-7</v>
      </c>
      <c r="V44" s="53">
        <f t="shared" si="16"/>
        <v>4.0582597393900969E-7</v>
      </c>
      <c r="W44" s="53">
        <f t="shared" si="17"/>
        <v>0</v>
      </c>
      <c r="X44" s="46">
        <f t="shared" si="5"/>
        <v>1.4493716364657689E-7</v>
      </c>
      <c r="Y44" s="54"/>
      <c r="Z44" s="41">
        <f t="shared" si="18"/>
        <v>0.97288012302020699</v>
      </c>
      <c r="AA44" s="41">
        <f t="shared" si="19"/>
        <v>1.1015262751711732E-2</v>
      </c>
      <c r="AB44" s="41">
        <f t="shared" si="6"/>
        <v>0.25691503653126763</v>
      </c>
      <c r="AC44" s="41">
        <f t="shared" si="7"/>
        <v>2.8987432729315377E-3</v>
      </c>
      <c r="AD44" s="54"/>
      <c r="AE44" s="41">
        <f t="shared" si="8"/>
        <v>0</v>
      </c>
      <c r="AF44" s="41"/>
      <c r="AG44" s="41">
        <f t="shared" si="9"/>
        <v>-3.6234290911644223E-6</v>
      </c>
      <c r="AH44" s="41">
        <f t="shared" si="20"/>
        <v>-0.81165194787801942</v>
      </c>
      <c r="AI44" s="41">
        <f t="shared" si="21"/>
        <v>0</v>
      </c>
      <c r="AJ44" s="41">
        <f t="shared" si="10"/>
        <v>-0.81165557130711063</v>
      </c>
      <c r="AK44" s="41">
        <f t="shared" si="11"/>
        <v>0.71596508648893931</v>
      </c>
      <c r="AL44" s="41">
        <f t="shared" si="22"/>
        <v>3.9355815430876746E-2</v>
      </c>
      <c r="AM44" s="41">
        <f t="shared" si="12"/>
        <v>-5.6334669387294582E-2</v>
      </c>
      <c r="AN44" s="41">
        <f t="shared" si="13"/>
        <v>8.1165194787801952E-3</v>
      </c>
      <c r="AO44" s="41">
        <f t="shared" si="14"/>
        <v>-4.8218149908514391E-2</v>
      </c>
      <c r="AP44" s="45"/>
      <c r="AQ44" s="55"/>
      <c r="AR44" s="48"/>
      <c r="AS44" s="48"/>
      <c r="AT44" s="51">
        <f t="shared" si="23"/>
        <v>40</v>
      </c>
      <c r="AU44" s="49">
        <f t="shared" si="24"/>
        <v>5.5076313758558658E-7</v>
      </c>
      <c r="AV44" s="49">
        <f t="shared" si="25"/>
        <v>4.0582597393900969E-7</v>
      </c>
      <c r="AW44" s="50">
        <f xml:space="preserve"> IF(ISERROR(ROUND((1000*NPV($AT$1,$AV45:$AV$124)-$AW$1*($AU45+NPV($AT$1,$AU46:$AU$124)))/AU45,3)), 0, ROUND((1000*NPV($AT$1,$AV45:$AV$124)-$AW$1*($AU45+NPV($AT$1,$AU46:$AU$124)))/AU45,3))</f>
        <v>886.298</v>
      </c>
      <c r="AX44" s="50">
        <f>IF(ISERROR(ROUND(MAX(0,1000*NPV($AT$2,$AV45:$AV$124)-$AW$2*($AU45+NPV($AT$2,$AU46:$AU$124)))/AU45,3)), 0, ROUND(MAX(0,1000*NPV($AT$2,$AV45:$AV$124)-$AW$2*($AU45+NPV($AT$2,$AU46:$AU$124)))/AU45,3))</f>
        <v>847.27499999999998</v>
      </c>
    </row>
    <row r="45" spans="1:50" ht="15" x14ac:dyDescent="0.25">
      <c r="A45">
        <v>20</v>
      </c>
      <c r="B45">
        <v>8.9058026836974502E-4</v>
      </c>
      <c r="C45">
        <f t="shared" si="30"/>
        <v>8.3714545226756028E-4</v>
      </c>
      <c r="D45" s="60">
        <v>55</v>
      </c>
      <c r="E45" s="5">
        <v>1600743.1523272933</v>
      </c>
      <c r="F45" s="5">
        <v>63708.767502135946</v>
      </c>
      <c r="G45" s="8"/>
      <c r="H45" s="4"/>
      <c r="I45" s="51">
        <v>41</v>
      </c>
      <c r="J45" s="41"/>
      <c r="K45" s="41" t="str">
        <f t="shared" si="26"/>
        <v/>
      </c>
      <c r="L45" s="42">
        <f t="shared" si="27"/>
        <v>25</v>
      </c>
      <c r="M45" s="41">
        <f t="shared" si="28"/>
        <v>2000000</v>
      </c>
      <c r="N45" s="43">
        <f t="shared" si="1"/>
        <v>850.91200000000003</v>
      </c>
      <c r="O45" s="44">
        <f t="shared" si="2"/>
        <v>889.06700000000001</v>
      </c>
      <c r="P45" s="41">
        <f t="shared" si="3"/>
        <v>1701824</v>
      </c>
      <c r="Q45" s="41">
        <f t="shared" si="4"/>
        <v>1778134</v>
      </c>
      <c r="R45" s="44"/>
      <c r="S45" s="44">
        <f>IF(I45&lt;&gt;"",_xlfn.XLOOKUP(D$4+I45,A$26:A$145,$C$26:$C$145,0) * 1000,"")</f>
        <v>759.2105422014522</v>
      </c>
      <c r="T45" s="52">
        <f t="shared" si="29"/>
        <v>0</v>
      </c>
      <c r="U45" s="53">
        <f t="shared" si="15"/>
        <v>1.4493716364657689E-7</v>
      </c>
      <c r="V45" s="53">
        <f t="shared" si="16"/>
        <v>1.1003782259725824E-7</v>
      </c>
      <c r="W45" s="53">
        <f t="shared" si="17"/>
        <v>0</v>
      </c>
      <c r="X45" s="46">
        <f t="shared" si="5"/>
        <v>3.4899341049318645E-8</v>
      </c>
      <c r="Y45" s="54"/>
      <c r="Z45" s="41">
        <f t="shared" si="18"/>
        <v>0.25691503653126763</v>
      </c>
      <c r="AA45" s="41">
        <f t="shared" si="19"/>
        <v>2.8987432729315377E-3</v>
      </c>
      <c r="AB45" s="41">
        <f t="shared" si="6"/>
        <v>6.2055704897389159E-2</v>
      </c>
      <c r="AC45" s="41">
        <f t="shared" si="7"/>
        <v>6.979868209863729E-4</v>
      </c>
      <c r="AD45" s="54"/>
      <c r="AE45" s="41">
        <f t="shared" si="8"/>
        <v>0</v>
      </c>
      <c r="AF45" s="41"/>
      <c r="AG45" s="41">
        <f t="shared" si="9"/>
        <v>-8.7248352623296611E-7</v>
      </c>
      <c r="AH45" s="41">
        <f t="shared" si="20"/>
        <v>-0.22007564519451647</v>
      </c>
      <c r="AI45" s="41">
        <f t="shared" si="21"/>
        <v>0</v>
      </c>
      <c r="AJ45" s="41">
        <f t="shared" si="10"/>
        <v>-0.2200765176780427</v>
      </c>
      <c r="AK45" s="41">
        <f t="shared" si="11"/>
        <v>0.19485933163387847</v>
      </c>
      <c r="AL45" s="41">
        <f t="shared" si="22"/>
        <v>1.0392551192167967E-2</v>
      </c>
      <c r="AM45" s="41">
        <f t="shared" si="12"/>
        <v>-1.4824634851996263E-2</v>
      </c>
      <c r="AN45" s="41">
        <f t="shared" si="13"/>
        <v>2.2007564519451648E-3</v>
      </c>
      <c r="AO45" s="41">
        <f t="shared" si="14"/>
        <v>-1.2623878400051098E-2</v>
      </c>
      <c r="AP45" s="45"/>
      <c r="AQ45" s="55"/>
      <c r="AR45" s="48"/>
      <c r="AS45" s="48"/>
      <c r="AT45" s="51">
        <f t="shared" si="23"/>
        <v>41</v>
      </c>
      <c r="AU45" s="49">
        <f t="shared" si="24"/>
        <v>1.4493716364657689E-7</v>
      </c>
      <c r="AV45" s="49">
        <f t="shared" si="25"/>
        <v>1.1003782259725824E-7</v>
      </c>
      <c r="AW45" s="50">
        <f xml:space="preserve"> IF(ISERROR(ROUND((1000*NPV($AT$1,$AV46:$AV$124)-$AW$1*($AU46+NPV($AT$1,$AU47:$AU$124)))/AU46,3)), 0, ROUND((1000*NPV($AT$1,$AV46:$AV$124)-$AW$1*($AU46+NPV($AT$1,$AU47:$AU$124)))/AU46,3))</f>
        <v>889.06700000000001</v>
      </c>
      <c r="AX45" s="50">
        <f>IF(ISERROR(ROUND(MAX(0,1000*NPV($AT$2,$AV46:$AV$124)-$AW$2*($AU46+NPV($AT$2,$AU47:$AU$124)))/AU46,3)), 0, ROUND(MAX(0,1000*NPV($AT$2,$AV46:$AV$124)-$AW$2*($AU46+NPV($AT$2,$AU47:$AU$124)))/AU46,3))</f>
        <v>850.91200000000003</v>
      </c>
    </row>
    <row r="46" spans="1:50" ht="15" x14ac:dyDescent="0.25">
      <c r="A46">
        <v>21</v>
      </c>
      <c r="B46">
        <v>9.6114423791060499E-4</v>
      </c>
      <c r="C46">
        <f t="shared" si="30"/>
        <v>9.0347558363596859E-4</v>
      </c>
      <c r="D46" s="60">
        <v>56</v>
      </c>
      <c r="E46" s="5">
        <v>1646629.7474618647</v>
      </c>
      <c r="F46" s="5">
        <v>65241.035721984808</v>
      </c>
      <c r="G46" s="8"/>
      <c r="H46" s="4"/>
      <c r="I46" s="51">
        <v>42</v>
      </c>
      <c r="J46" s="41"/>
      <c r="K46" s="41" t="str">
        <f t="shared" si="26"/>
        <v/>
      </c>
      <c r="L46" s="42">
        <f t="shared" si="27"/>
        <v>25</v>
      </c>
      <c r="M46" s="41">
        <f t="shared" si="28"/>
        <v>2000000</v>
      </c>
      <c r="N46" s="43">
        <f t="shared" si="1"/>
        <v>854.17899999999997</v>
      </c>
      <c r="O46" s="44">
        <f t="shared" si="2"/>
        <v>891.55399999999997</v>
      </c>
      <c r="P46" s="41">
        <f t="shared" si="3"/>
        <v>1708358</v>
      </c>
      <c r="Q46" s="41">
        <f t="shared" si="4"/>
        <v>1783108</v>
      </c>
      <c r="R46" s="44"/>
      <c r="S46" s="44">
        <f>IF(I46&lt;&gt;"",_xlfn.XLOOKUP(D$4+I46,A$26:A$145,$C$26:$C$145,0) * 1000,"")</f>
        <v>780.25017562337734</v>
      </c>
      <c r="T46" s="52">
        <f t="shared" si="29"/>
        <v>0</v>
      </c>
      <c r="U46" s="53">
        <f t="shared" si="15"/>
        <v>3.4899341049318645E-8</v>
      </c>
      <c r="V46" s="53">
        <f t="shared" si="16"/>
        <v>2.7230216982871015E-8</v>
      </c>
      <c r="W46" s="53">
        <f t="shared" si="17"/>
        <v>0</v>
      </c>
      <c r="X46" s="46">
        <f t="shared" si="5"/>
        <v>7.6691240664476309E-9</v>
      </c>
      <c r="Y46" s="54"/>
      <c r="Z46" s="41">
        <f t="shared" si="18"/>
        <v>6.2055704897389159E-2</v>
      </c>
      <c r="AA46" s="41">
        <f t="shared" si="19"/>
        <v>6.979868209863729E-4</v>
      </c>
      <c r="AB46" s="41">
        <f t="shared" si="6"/>
        <v>1.3674876475875302E-2</v>
      </c>
      <c r="AC46" s="41">
        <f t="shared" si="7"/>
        <v>1.5338248132895261E-4</v>
      </c>
      <c r="AD46" s="54"/>
      <c r="AE46" s="41">
        <f t="shared" si="8"/>
        <v>0</v>
      </c>
      <c r="AF46" s="41"/>
      <c r="AG46" s="41">
        <f t="shared" si="9"/>
        <v>-1.9172810166119077E-7</v>
      </c>
      <c r="AH46" s="41">
        <f t="shared" si="20"/>
        <v>-5.4460433965742031E-2</v>
      </c>
      <c r="AI46" s="41">
        <f t="shared" si="21"/>
        <v>0</v>
      </c>
      <c r="AJ46" s="41">
        <f t="shared" si="10"/>
        <v>-5.4460625693843689E-2</v>
      </c>
      <c r="AK46" s="41">
        <f t="shared" si="11"/>
        <v>4.8380828421513859E-2</v>
      </c>
      <c r="AL46" s="41">
        <f t="shared" si="22"/>
        <v>2.5101476687350213E-3</v>
      </c>
      <c r="AM46" s="41">
        <f t="shared" si="12"/>
        <v>-3.5696496035948089E-3</v>
      </c>
      <c r="AN46" s="41">
        <f t="shared" si="13"/>
        <v>5.4460433965742032E-4</v>
      </c>
      <c r="AO46" s="41">
        <f t="shared" si="14"/>
        <v>-3.0250452639373885E-3</v>
      </c>
      <c r="AP46" s="45"/>
      <c r="AQ46" s="55"/>
      <c r="AR46" s="48"/>
      <c r="AS46" s="48"/>
      <c r="AT46" s="51">
        <f t="shared" si="23"/>
        <v>42</v>
      </c>
      <c r="AU46" s="49">
        <f t="shared" si="24"/>
        <v>3.4899341049318645E-8</v>
      </c>
      <c r="AV46" s="49">
        <f t="shared" si="25"/>
        <v>2.7230216982871015E-8</v>
      </c>
      <c r="AW46" s="50">
        <f xml:space="preserve"> IF(ISERROR(ROUND((1000*NPV($AT$1,$AV47:$AV$124)-$AW$1*($AU47+NPV($AT$1,$AU48:$AU$124)))/AU47,3)), 0, ROUND((1000*NPV($AT$1,$AV47:$AV$124)-$AW$1*($AU47+NPV($AT$1,$AU48:$AU$124)))/AU47,3))</f>
        <v>891.55399999999997</v>
      </c>
      <c r="AX46" s="50">
        <f>IF(ISERROR(ROUND(MAX(0,1000*NPV($AT$2,$AV47:$AV$124)-$AW$2*($AU47+NPV($AT$2,$AU48:$AU$124)))/AU47,3)), 0, ROUND(MAX(0,1000*NPV($AT$2,$AV47:$AV$124)-$AW$2*($AU47+NPV($AT$2,$AU48:$AU$124)))/AU47,3))</f>
        <v>854.17899999999997</v>
      </c>
    </row>
    <row r="47" spans="1:50" ht="15" x14ac:dyDescent="0.25">
      <c r="A47">
        <v>22</v>
      </c>
      <c r="B47">
        <v>1.0094337456209E-3</v>
      </c>
      <c r="C47">
        <f t="shared" si="30"/>
        <v>9.488677208836459E-4</v>
      </c>
      <c r="D47" s="60">
        <v>57</v>
      </c>
      <c r="E47" s="5">
        <v>1693169.3505320074</v>
      </c>
      <c r="F47" s="5">
        <v>66775.943895258242</v>
      </c>
      <c r="G47" s="8"/>
      <c r="H47" s="4"/>
      <c r="I47" s="51">
        <v>43</v>
      </c>
      <c r="J47" s="41"/>
      <c r="K47" s="41" t="str">
        <f t="shared" si="26"/>
        <v/>
      </c>
      <c r="L47" s="42">
        <f t="shared" si="27"/>
        <v>25</v>
      </c>
      <c r="M47" s="41">
        <f t="shared" si="28"/>
        <v>2000000</v>
      </c>
      <c r="N47" s="43">
        <f t="shared" si="1"/>
        <v>857.10400000000004</v>
      </c>
      <c r="O47" s="44">
        <f t="shared" si="2"/>
        <v>893.77700000000004</v>
      </c>
      <c r="P47" s="41">
        <f t="shared" si="3"/>
        <v>1714208</v>
      </c>
      <c r="Q47" s="41">
        <f t="shared" si="4"/>
        <v>1787554</v>
      </c>
      <c r="R47" s="44"/>
      <c r="S47" s="44">
        <f>IF(I47&lt;&gt;"",_xlfn.XLOOKUP(D$4+I47,A$26:A$145,$C$26:$C$145,0) * 1000,"")</f>
        <v>799.99385938471596</v>
      </c>
      <c r="T47" s="52">
        <f t="shared" si="29"/>
        <v>0</v>
      </c>
      <c r="U47" s="53">
        <f t="shared" si="15"/>
        <v>7.6691240664476309E-9</v>
      </c>
      <c r="V47" s="53">
        <f t="shared" si="16"/>
        <v>6.1352521600176471E-9</v>
      </c>
      <c r="W47" s="53">
        <f t="shared" si="17"/>
        <v>0</v>
      </c>
      <c r="X47" s="46">
        <f t="shared" si="5"/>
        <v>1.5338719064299838E-9</v>
      </c>
      <c r="Y47" s="54"/>
      <c r="Z47" s="41">
        <f t="shared" si="18"/>
        <v>1.3674876475875302E-2</v>
      </c>
      <c r="AA47" s="41">
        <f t="shared" si="19"/>
        <v>1.5338248132895261E-4</v>
      </c>
      <c r="AB47" s="41">
        <f t="shared" si="6"/>
        <v>2.7418788618265434E-3</v>
      </c>
      <c r="AC47" s="41">
        <f t="shared" si="7"/>
        <v>3.0677438128599675E-5</v>
      </c>
      <c r="AD47" s="54"/>
      <c r="AE47" s="41">
        <f t="shared" si="8"/>
        <v>0</v>
      </c>
      <c r="AF47" s="41"/>
      <c r="AG47" s="41">
        <f t="shared" si="9"/>
        <v>-3.8346797660749594E-8</v>
      </c>
      <c r="AH47" s="41">
        <f t="shared" si="20"/>
        <v>-1.2270504320035295E-2</v>
      </c>
      <c r="AI47" s="41">
        <f t="shared" si="21"/>
        <v>0</v>
      </c>
      <c r="AJ47" s="41">
        <f t="shared" si="10"/>
        <v>-1.2270542666832956E-2</v>
      </c>
      <c r="AK47" s="41">
        <f t="shared" si="11"/>
        <v>1.0932997614048758E-2</v>
      </c>
      <c r="AL47" s="41">
        <f t="shared" si="22"/>
        <v>5.5313035828817017E-4</v>
      </c>
      <c r="AM47" s="41">
        <f t="shared" si="12"/>
        <v>-7.8441469449602773E-4</v>
      </c>
      <c r="AN47" s="41">
        <f t="shared" si="13"/>
        <v>1.2270504320035293E-4</v>
      </c>
      <c r="AO47" s="41">
        <f t="shared" si="14"/>
        <v>-6.6170965129567485E-4</v>
      </c>
      <c r="AP47" s="45"/>
      <c r="AQ47" s="55"/>
      <c r="AR47" s="48"/>
      <c r="AS47" s="48"/>
      <c r="AT47" s="51">
        <f t="shared" si="23"/>
        <v>43</v>
      </c>
      <c r="AU47" s="49">
        <f t="shared" si="24"/>
        <v>7.6691240664476309E-9</v>
      </c>
      <c r="AV47" s="49">
        <f t="shared" si="25"/>
        <v>6.1352521600176471E-9</v>
      </c>
      <c r="AW47" s="50">
        <f xml:space="preserve"> IF(ISERROR(ROUND((1000*NPV($AT$1,$AV48:$AV$124)-$AW$1*($AU48+NPV($AT$1,$AU49:$AU$124)))/AU48,3)), 0, ROUND((1000*NPV($AT$1,$AV48:$AV$124)-$AW$1*($AU48+NPV($AT$1,$AU49:$AU$124)))/AU48,3))</f>
        <v>893.77700000000004</v>
      </c>
      <c r="AX47" s="50">
        <f>IF(ISERROR(ROUND(MAX(0,1000*NPV($AT$2,$AV48:$AV$124)-$AW$2*($AU48+NPV($AT$2,$AU49:$AU$124)))/AU48,3)), 0, ROUND(MAX(0,1000*NPV($AT$2,$AV48:$AV$124)-$AW$2*($AU48+NPV($AT$2,$AU49:$AU$124)))/AU48,3))</f>
        <v>857.10400000000004</v>
      </c>
    </row>
    <row r="48" spans="1:50" ht="15" x14ac:dyDescent="0.25">
      <c r="A48">
        <v>23</v>
      </c>
      <c r="B48">
        <v>1.04760750664556E-3</v>
      </c>
      <c r="C48">
        <f t="shared" si="30"/>
        <v>9.8475105624682628E-4</v>
      </c>
      <c r="D48" s="60">
        <v>58</v>
      </c>
      <c r="E48" s="5">
        <v>1740385.7555535382</v>
      </c>
      <c r="F48" s="5">
        <v>68314.727451556711</v>
      </c>
      <c r="G48" s="8"/>
      <c r="H48" s="4"/>
      <c r="I48" s="51">
        <v>44</v>
      </c>
      <c r="J48" s="41"/>
      <c r="K48" s="41" t="str">
        <f t="shared" si="26"/>
        <v/>
      </c>
      <c r="L48" s="42">
        <f t="shared" si="27"/>
        <v>25</v>
      </c>
      <c r="M48" s="41">
        <f t="shared" si="28"/>
        <v>2000000</v>
      </c>
      <c r="N48" s="43">
        <f t="shared" si="1"/>
        <v>859.74300000000005</v>
      </c>
      <c r="O48" s="44">
        <f t="shared" si="2"/>
        <v>895.78200000000004</v>
      </c>
      <c r="P48" s="41">
        <f t="shared" si="3"/>
        <v>1719486</v>
      </c>
      <c r="Q48" s="41">
        <f t="shared" si="4"/>
        <v>1791564</v>
      </c>
      <c r="R48" s="44"/>
      <c r="S48" s="44">
        <f>IF(I48&lt;&gt;"",_xlfn.XLOOKUP(D$4+I48,A$26:A$145,$C$26:$C$145,0) * 1000,"")</f>
        <v>818.33013743530466</v>
      </c>
      <c r="T48" s="52">
        <f t="shared" si="29"/>
        <v>0</v>
      </c>
      <c r="U48" s="53">
        <f t="shared" si="15"/>
        <v>1.5338719064299838E-9</v>
      </c>
      <c r="V48" s="53">
        <f t="shared" si="16"/>
        <v>1.2552136079970014E-9</v>
      </c>
      <c r="W48" s="53">
        <f t="shared" si="17"/>
        <v>0</v>
      </c>
      <c r="X48" s="46">
        <f t="shared" si="5"/>
        <v>2.7865829843298245E-10</v>
      </c>
      <c r="Y48" s="54"/>
      <c r="Z48" s="41">
        <f t="shared" si="18"/>
        <v>2.7418788618265434E-3</v>
      </c>
      <c r="AA48" s="41">
        <f t="shared" si="19"/>
        <v>3.0677438128599675E-5</v>
      </c>
      <c r="AB48" s="41">
        <f t="shared" si="6"/>
        <v>4.9923417577378776E-4</v>
      </c>
      <c r="AC48" s="41">
        <f t="shared" si="7"/>
        <v>5.5731659686596494E-6</v>
      </c>
      <c r="AD48" s="54"/>
      <c r="AE48" s="41">
        <f t="shared" si="8"/>
        <v>0</v>
      </c>
      <c r="AF48" s="41"/>
      <c r="AG48" s="41">
        <f t="shared" si="9"/>
        <v>-6.9664574608245611E-9</v>
      </c>
      <c r="AH48" s="41">
        <f t="shared" si="20"/>
        <v>-2.5104272159940026E-3</v>
      </c>
      <c r="AI48" s="41">
        <f t="shared" si="21"/>
        <v>0</v>
      </c>
      <c r="AJ48" s="41">
        <f t="shared" si="10"/>
        <v>-2.5104341824514634E-3</v>
      </c>
      <c r="AK48" s="41">
        <f t="shared" si="11"/>
        <v>2.2426446860527556E-3</v>
      </c>
      <c r="AL48" s="41">
        <f t="shared" si="22"/>
        <v>1.1090225199820573E-4</v>
      </c>
      <c r="AM48" s="41">
        <f t="shared" si="12"/>
        <v>-1.5688724440050204E-4</v>
      </c>
      <c r="AN48" s="41">
        <f t="shared" si="13"/>
        <v>2.5104272159940027E-5</v>
      </c>
      <c r="AO48" s="41">
        <f t="shared" si="14"/>
        <v>-1.31782972240562E-4</v>
      </c>
      <c r="AP48" s="45"/>
      <c r="AQ48" s="55"/>
      <c r="AR48" s="48"/>
      <c r="AS48" s="48"/>
      <c r="AT48" s="51">
        <f t="shared" si="23"/>
        <v>44</v>
      </c>
      <c r="AU48" s="49">
        <f t="shared" si="24"/>
        <v>1.5338719064299838E-9</v>
      </c>
      <c r="AV48" s="49">
        <f t="shared" si="25"/>
        <v>1.2552136079970014E-9</v>
      </c>
      <c r="AW48" s="50">
        <f xml:space="preserve"> IF(ISERROR(ROUND((1000*NPV($AT$1,$AV49:$AV$124)-$AW$1*($AU49+NPV($AT$1,$AU50:$AU$124)))/AU49,3)), 0, ROUND((1000*NPV($AT$1,$AV49:$AV$124)-$AW$1*($AU49+NPV($AT$1,$AU50:$AU$124)))/AU49,3))</f>
        <v>895.78200000000004</v>
      </c>
      <c r="AX48" s="50">
        <f>IF(ISERROR(ROUND(MAX(0,1000*NPV($AT$2,$AV49:$AV$124)-$AW$2*($AU49+NPV($AT$2,$AU50:$AU$124)))/AU49,3)), 0, ROUND(MAX(0,1000*NPV($AT$2,$AV49:$AV$124)-$AW$2*($AU49+NPV($AT$2,$AU50:$AU$124)))/AU49,3))</f>
        <v>859.74300000000005</v>
      </c>
    </row>
    <row r="49" spans="1:50" ht="15" x14ac:dyDescent="0.25">
      <c r="A49">
        <v>24</v>
      </c>
      <c r="B49">
        <v>1.0516924509341699E-3</v>
      </c>
      <c r="C49">
        <f t="shared" si="30"/>
        <v>9.8859090387811962E-4</v>
      </c>
      <c r="D49" s="60">
        <v>59</v>
      </c>
      <c r="E49" s="5">
        <v>1788262.9454921621</v>
      </c>
      <c r="F49" s="5">
        <v>69856.249531905632</v>
      </c>
      <c r="G49" s="8"/>
      <c r="I49" s="51">
        <v>45</v>
      </c>
      <c r="J49" s="41"/>
      <c r="K49" s="41" t="str">
        <f t="shared" si="26"/>
        <v/>
      </c>
      <c r="L49" s="42">
        <f t="shared" si="27"/>
        <v>25</v>
      </c>
      <c r="M49" s="41">
        <f t="shared" si="28"/>
        <v>2000000</v>
      </c>
      <c r="N49" s="43">
        <f t="shared" si="1"/>
        <v>862.37400000000002</v>
      </c>
      <c r="O49" s="44">
        <f t="shared" si="2"/>
        <v>897.779</v>
      </c>
      <c r="P49" s="41">
        <f t="shared" si="3"/>
        <v>1724748</v>
      </c>
      <c r="Q49" s="41">
        <f t="shared" si="4"/>
        <v>1795558</v>
      </c>
      <c r="R49" s="44"/>
      <c r="S49" s="44">
        <f>IF(I49&lt;&gt;"",_xlfn.XLOOKUP(D$4+I49,A$26:A$145,$C$26:$C$145,0) * 1000,"")</f>
        <v>835.18166375263559</v>
      </c>
      <c r="T49" s="52">
        <f t="shared" si="29"/>
        <v>0</v>
      </c>
      <c r="U49" s="53">
        <f t="shared" si="15"/>
        <v>2.7865829843298245E-10</v>
      </c>
      <c r="V49" s="53">
        <f t="shared" si="16"/>
        <v>2.3273030130373673E-10</v>
      </c>
      <c r="W49" s="53">
        <f t="shared" si="17"/>
        <v>0</v>
      </c>
      <c r="X49" s="46">
        <f t="shared" si="5"/>
        <v>4.5927997129245721E-11</v>
      </c>
      <c r="Y49" s="54"/>
      <c r="Z49" s="41">
        <f t="shared" si="18"/>
        <v>4.9923417577378776E-4</v>
      </c>
      <c r="AA49" s="41">
        <f t="shared" si="19"/>
        <v>5.5731659686596494E-6</v>
      </c>
      <c r="AB49" s="41">
        <f t="shared" si="6"/>
        <v>8.2466382669394185E-5</v>
      </c>
      <c r="AC49" s="41">
        <f t="shared" si="7"/>
        <v>9.1855994258491441E-7</v>
      </c>
      <c r="AD49" s="54"/>
      <c r="AE49" s="41">
        <f t="shared" si="8"/>
        <v>0</v>
      </c>
      <c r="AF49" s="41"/>
      <c r="AG49" s="41">
        <f t="shared" si="9"/>
        <v>-1.148199928231143E-9</v>
      </c>
      <c r="AH49" s="41">
        <f t="shared" si="20"/>
        <v>-4.6546060260747348E-4</v>
      </c>
      <c r="AI49" s="41">
        <f t="shared" si="21"/>
        <v>0</v>
      </c>
      <c r="AJ49" s="41">
        <f t="shared" si="10"/>
        <v>-4.6546175080740173E-4</v>
      </c>
      <c r="AK49" s="41">
        <f t="shared" si="11"/>
        <v>4.1676779310439359E-4</v>
      </c>
      <c r="AL49" s="41">
        <f t="shared" si="22"/>
        <v>2.0192293669697896E-5</v>
      </c>
      <c r="AM49" s="41">
        <f t="shared" si="12"/>
        <v>-2.8501664033310245E-5</v>
      </c>
      <c r="AN49" s="41">
        <f t="shared" si="13"/>
        <v>4.6546060260747353E-6</v>
      </c>
      <c r="AO49" s="41">
        <f t="shared" si="14"/>
        <v>-2.384705800723551E-5</v>
      </c>
      <c r="AP49" s="45"/>
      <c r="AQ49" s="45"/>
      <c r="AR49" s="48"/>
      <c r="AS49" s="48"/>
      <c r="AT49" s="51">
        <f t="shared" si="23"/>
        <v>45</v>
      </c>
      <c r="AU49" s="49">
        <f t="shared" si="24"/>
        <v>2.7865829843298245E-10</v>
      </c>
      <c r="AV49" s="49">
        <f t="shared" si="25"/>
        <v>2.3273030130373673E-10</v>
      </c>
      <c r="AW49" s="50">
        <f xml:space="preserve"> IF(ISERROR(ROUND((1000*NPV($AT$1,$AV50:$AV$124)-$AW$1*($AU50+NPV($AT$1,$AU51:$AU$124)))/AU50,3)), 0, ROUND((1000*NPV($AT$1,$AV50:$AV$124)-$AW$1*($AU50+NPV($AT$1,$AU51:$AU$124)))/AU50,3))</f>
        <v>897.779</v>
      </c>
      <c r="AX49" s="50">
        <f>IF(ISERROR(ROUND(MAX(0,1000*NPV($AT$2,$AV50:$AV$124)-$AW$2*($AU50+NPV($AT$2,$AU51:$AU$124)))/AU50,3)), 0, ROUND(MAX(0,1000*NPV($AT$2,$AV50:$AV$124)-$AW$2*($AU50+NPV($AT$2,$AU51:$AU$124)))/AU50,3))</f>
        <v>862.37400000000002</v>
      </c>
    </row>
    <row r="50" spans="1:50" ht="15" x14ac:dyDescent="0.25">
      <c r="A50">
        <v>25</v>
      </c>
      <c r="B50">
        <v>1.0571390307361199E-3</v>
      </c>
      <c r="C50">
        <f t="shared" si="30"/>
        <v>9.9371068889195268E-4</v>
      </c>
      <c r="D50" s="60">
        <v>60</v>
      </c>
      <c r="E50" s="5">
        <v>1836628.521104279</v>
      </c>
      <c r="F50" s="5">
        <v>71390.686830472783</v>
      </c>
      <c r="G50" s="8"/>
      <c r="I50" s="51">
        <v>46</v>
      </c>
      <c r="J50" s="41"/>
      <c r="K50" s="41" t="str">
        <f t="shared" si="26"/>
        <v/>
      </c>
      <c r="L50" s="42">
        <f t="shared" si="27"/>
        <v>25</v>
      </c>
      <c r="M50" s="41">
        <f t="shared" si="28"/>
        <v>2000000</v>
      </c>
      <c r="N50" s="43">
        <f t="shared" si="1"/>
        <v>864.65</v>
      </c>
      <c r="O50" s="44">
        <f t="shared" si="2"/>
        <v>899.505</v>
      </c>
      <c r="P50" s="41">
        <f t="shared" si="3"/>
        <v>1729300</v>
      </c>
      <c r="Q50" s="41">
        <f t="shared" si="4"/>
        <v>1799010</v>
      </c>
      <c r="R50" s="44"/>
      <c r="S50" s="44">
        <f>IF(I50&lt;&gt;"",_xlfn.XLOOKUP(D$4+I50,A$26:A$145,$C$26:$C$145,0) * 1000,"")</f>
        <v>853.01765495821428</v>
      </c>
      <c r="T50" s="52">
        <f t="shared" si="29"/>
        <v>0</v>
      </c>
      <c r="U50" s="53">
        <f t="shared" si="15"/>
        <v>4.5927997129245721E-11</v>
      </c>
      <c r="V50" s="53">
        <f t="shared" si="16"/>
        <v>3.9177392408116782E-11</v>
      </c>
      <c r="W50" s="53">
        <f t="shared" si="17"/>
        <v>0</v>
      </c>
      <c r="X50" s="46">
        <f t="shared" si="5"/>
        <v>6.7506047211289388E-12</v>
      </c>
      <c r="Y50" s="54"/>
      <c r="Z50" s="41">
        <f t="shared" si="18"/>
        <v>8.2466382669394185E-5</v>
      </c>
      <c r="AA50" s="41">
        <f t="shared" si="19"/>
        <v>9.1855994258491441E-7</v>
      </c>
      <c r="AB50" s="41">
        <f t="shared" si="6"/>
        <v>1.2144405399358173E-5</v>
      </c>
      <c r="AC50" s="41">
        <f t="shared" si="7"/>
        <v>1.3501209442257877E-7</v>
      </c>
      <c r="AD50" s="54"/>
      <c r="AE50" s="41">
        <f t="shared" si="8"/>
        <v>0</v>
      </c>
      <c r="AF50" s="41"/>
      <c r="AG50" s="41">
        <f t="shared" si="9"/>
        <v>-1.6876511802822347E-10</v>
      </c>
      <c r="AH50" s="41">
        <f t="shared" si="20"/>
        <v>-7.8354784816233569E-5</v>
      </c>
      <c r="AI50" s="41">
        <f t="shared" si="21"/>
        <v>0</v>
      </c>
      <c r="AJ50" s="41">
        <f t="shared" si="10"/>
        <v>-7.8354953581351593E-5</v>
      </c>
      <c r="AK50" s="41">
        <f t="shared" si="11"/>
        <v>7.0321977270036007E-5</v>
      </c>
      <c r="AL50" s="41">
        <f t="shared" si="22"/>
        <v>3.335397704479164E-6</v>
      </c>
      <c r="AM50" s="41">
        <f t="shared" si="12"/>
        <v>-4.6975786068364216E-6</v>
      </c>
      <c r="AN50" s="41">
        <f t="shared" si="13"/>
        <v>7.8354784816233569E-7</v>
      </c>
      <c r="AO50" s="41">
        <f t="shared" si="14"/>
        <v>-3.9140307586740859E-6</v>
      </c>
      <c r="AP50" s="45"/>
      <c r="AQ50" s="45"/>
      <c r="AR50" s="48"/>
      <c r="AS50" s="48"/>
      <c r="AT50" s="51">
        <f t="shared" si="23"/>
        <v>46</v>
      </c>
      <c r="AU50" s="49">
        <f t="shared" si="24"/>
        <v>4.5927997129245721E-11</v>
      </c>
      <c r="AV50" s="49">
        <f t="shared" si="25"/>
        <v>3.9177392408116782E-11</v>
      </c>
      <c r="AW50" s="50">
        <f xml:space="preserve"> IF(ISERROR(ROUND((1000*NPV($AT$1,$AV51:$AV$124)-$AW$1*($AU51+NPV($AT$1,$AU52:$AU$124)))/AU51,3)), 0, ROUND((1000*NPV($AT$1,$AV51:$AV$124)-$AW$1*($AU51+NPV($AT$1,$AU52:$AU$124)))/AU51,3))</f>
        <v>899.505</v>
      </c>
      <c r="AX50" s="50">
        <f>IF(ISERROR(ROUND(MAX(0,1000*NPV($AT$2,$AV51:$AV$124)-$AW$2*($AU51+NPV($AT$2,$AU52:$AU$124)))/AU51,3)), 0, ROUND(MAX(0,1000*NPV($AT$2,$AV51:$AV$124)-$AW$2*($AU51+NPV($AT$2,$AU52:$AU$124)))/AU51,3))</f>
        <v>864.65</v>
      </c>
    </row>
    <row r="51" spans="1:50" ht="15" x14ac:dyDescent="0.25">
      <c r="A51">
        <v>26</v>
      </c>
      <c r="B51">
        <v>9.93788837075682E-4</v>
      </c>
      <c r="C51">
        <f t="shared" si="30"/>
        <v>9.34161506851141E-4</v>
      </c>
      <c r="D51" s="60">
        <v>61</v>
      </c>
      <c r="E51" s="5">
        <v>1885522.9953620613</v>
      </c>
      <c r="F51" s="5">
        <v>72920.665546177188</v>
      </c>
      <c r="G51" s="8"/>
      <c r="I51" s="51">
        <v>47</v>
      </c>
      <c r="J51" s="41"/>
      <c r="K51" s="41" t="str">
        <f t="shared" si="26"/>
        <v/>
      </c>
      <c r="L51" s="42">
        <f t="shared" si="27"/>
        <v>25</v>
      </c>
      <c r="M51" s="41">
        <f t="shared" si="28"/>
        <v>2000000</v>
      </c>
      <c r="N51" s="43">
        <f t="shared" si="1"/>
        <v>866.60599999999999</v>
      </c>
      <c r="O51" s="44">
        <f t="shared" si="2"/>
        <v>900.98800000000006</v>
      </c>
      <c r="P51" s="41">
        <f t="shared" si="3"/>
        <v>1733212</v>
      </c>
      <c r="Q51" s="41">
        <f t="shared" si="4"/>
        <v>1801976</v>
      </c>
      <c r="R51" s="44"/>
      <c r="S51" s="44">
        <f>IF(I51&lt;&gt;"",_xlfn.XLOOKUP(D$4+I51,A$26:A$145,$C$26:$C$145,0) * 1000,"")</f>
        <v>868.94974762467587</v>
      </c>
      <c r="T51" s="52">
        <f t="shared" si="29"/>
        <v>0</v>
      </c>
      <c r="U51" s="53">
        <f t="shared" si="15"/>
        <v>6.7506047211289388E-12</v>
      </c>
      <c r="V51" s="53">
        <f t="shared" si="16"/>
        <v>5.8659362687389373E-12</v>
      </c>
      <c r="W51" s="53">
        <f t="shared" si="17"/>
        <v>0</v>
      </c>
      <c r="X51" s="46">
        <f t="shared" si="5"/>
        <v>8.8466845239000148E-13</v>
      </c>
      <c r="Y51" s="54"/>
      <c r="Z51" s="41">
        <f t="shared" si="18"/>
        <v>1.2144405399358173E-5</v>
      </c>
      <c r="AA51" s="41">
        <f t="shared" si="19"/>
        <v>1.3501209442257877E-7</v>
      </c>
      <c r="AB51" s="41">
        <f t="shared" si="6"/>
        <v>1.5941513191639253E-6</v>
      </c>
      <c r="AC51" s="41">
        <f t="shared" si="7"/>
        <v>1.7693369047800028E-8</v>
      </c>
      <c r="AD51" s="54"/>
      <c r="AE51" s="41">
        <f t="shared" si="8"/>
        <v>0</v>
      </c>
      <c r="AF51" s="41"/>
      <c r="AG51" s="41">
        <f t="shared" si="9"/>
        <v>-2.2116711309750038E-11</v>
      </c>
      <c r="AH51" s="41">
        <f t="shared" si="20"/>
        <v>-1.1731872537477874E-5</v>
      </c>
      <c r="AI51" s="41">
        <f t="shared" si="21"/>
        <v>0</v>
      </c>
      <c r="AJ51" s="41">
        <f t="shared" si="10"/>
        <v>-1.1731894654189184E-5</v>
      </c>
      <c r="AK51" s="41">
        <f t="shared" si="11"/>
        <v>1.0550254080194247E-5</v>
      </c>
      <c r="AL51" s="41">
        <f t="shared" si="22"/>
        <v>4.9117669975123005E-7</v>
      </c>
      <c r="AM51" s="41">
        <f t="shared" si="12"/>
        <v>-6.9046387424370623E-7</v>
      </c>
      <c r="AN51" s="41">
        <f t="shared" si="13"/>
        <v>1.1731872537477874E-7</v>
      </c>
      <c r="AO51" s="41">
        <f t="shared" si="14"/>
        <v>-5.7314514886892753E-7</v>
      </c>
      <c r="AP51" s="45"/>
      <c r="AQ51" s="45"/>
      <c r="AR51" s="48"/>
      <c r="AS51" s="48"/>
      <c r="AT51" s="51">
        <f t="shared" si="23"/>
        <v>47</v>
      </c>
      <c r="AU51" s="49">
        <f t="shared" si="24"/>
        <v>6.7506047211289388E-12</v>
      </c>
      <c r="AV51" s="49">
        <f t="shared" si="25"/>
        <v>5.8659362687389373E-12</v>
      </c>
      <c r="AW51" s="50">
        <f xml:space="preserve"> IF(ISERROR(ROUND((1000*NPV($AT$1,$AV52:$AV$124)-$AW$1*($AU52+NPV($AT$1,$AU53:$AU$124)))/AU52,3)), 0, ROUND((1000*NPV($AT$1,$AV52:$AV$124)-$AW$1*($AU52+NPV($AT$1,$AU53:$AU$124)))/AU52,3))</f>
        <v>900.98800000000006</v>
      </c>
      <c r="AX51" s="50">
        <f>IF(ISERROR(ROUND(MAX(0,1000*NPV($AT$2,$AV52:$AV$124)-$AW$2*($AU52+NPV($AT$2,$AU53:$AU$124)))/AU52,3)), 0, ROUND(MAX(0,1000*NPV($AT$2,$AV52:$AV$124)-$AW$2*($AU52+NPV($AT$2,$AU53:$AU$124)))/AU52,3))</f>
        <v>866.60599999999999</v>
      </c>
    </row>
    <row r="52" spans="1:50" ht="15" x14ac:dyDescent="0.25">
      <c r="A52">
        <v>27</v>
      </c>
      <c r="B52">
        <v>1.0159136652781999E-3</v>
      </c>
      <c r="C52">
        <f t="shared" si="30"/>
        <v>9.549588453615079E-4</v>
      </c>
      <c r="D52" s="60">
        <v>62</v>
      </c>
      <c r="E52" s="5">
        <v>1935135.5119413733</v>
      </c>
      <c r="F52" s="5">
        <v>74456.986885607592</v>
      </c>
      <c r="G52" s="8"/>
      <c r="I52" s="51">
        <v>48</v>
      </c>
      <c r="J52" s="41"/>
      <c r="K52" s="41" t="str">
        <f t="shared" si="26"/>
        <v/>
      </c>
      <c r="L52" s="42">
        <f t="shared" si="27"/>
        <v>25</v>
      </c>
      <c r="M52" s="41">
        <f t="shared" si="28"/>
        <v>2000000</v>
      </c>
      <c r="N52" s="43">
        <f t="shared" si="1"/>
        <v>868.27099999999996</v>
      </c>
      <c r="O52" s="44">
        <f t="shared" si="2"/>
        <v>902.25</v>
      </c>
      <c r="P52" s="41">
        <f t="shared" si="3"/>
        <v>1736542</v>
      </c>
      <c r="Q52" s="41">
        <f t="shared" si="4"/>
        <v>1804500</v>
      </c>
      <c r="R52" s="44"/>
      <c r="S52" s="44">
        <f>IF(I52&lt;&gt;"",_xlfn.XLOOKUP(D$4+I52,A$26:A$145,$C$26:$C$145,0) * 1000,"")</f>
        <v>883.02943526544482</v>
      </c>
      <c r="T52" s="52">
        <f t="shared" si="29"/>
        <v>0</v>
      </c>
      <c r="U52" s="53">
        <f t="shared" si="15"/>
        <v>8.8466845239000148E-13</v>
      </c>
      <c r="V52" s="53">
        <f t="shared" si="16"/>
        <v>7.8118828391109803E-13</v>
      </c>
      <c r="W52" s="53">
        <f t="shared" si="17"/>
        <v>0</v>
      </c>
      <c r="X52" s="46">
        <f t="shared" si="5"/>
        <v>1.0348016847890344E-13</v>
      </c>
      <c r="Y52" s="54"/>
      <c r="Z52" s="41">
        <f t="shared" si="18"/>
        <v>1.5941513191639253E-6</v>
      </c>
      <c r="AA52" s="41">
        <f t="shared" si="19"/>
        <v>1.7693369047800028E-8</v>
      </c>
      <c r="AB52" s="41">
        <f t="shared" si="6"/>
        <v>1.8672996402018126E-7</v>
      </c>
      <c r="AC52" s="41">
        <f t="shared" si="7"/>
        <v>2.0696033695780687E-9</v>
      </c>
      <c r="AD52" s="54"/>
      <c r="AE52" s="41">
        <f t="shared" si="8"/>
        <v>0</v>
      </c>
      <c r="AF52" s="41"/>
      <c r="AG52" s="41">
        <f t="shared" si="9"/>
        <v>-2.5870042119725861E-12</v>
      </c>
      <c r="AH52" s="41">
        <f t="shared" si="20"/>
        <v>-1.5623765678221961E-6</v>
      </c>
      <c r="AI52" s="41">
        <f t="shared" si="21"/>
        <v>0</v>
      </c>
      <c r="AJ52" s="41">
        <f t="shared" si="10"/>
        <v>-1.5623791548264082E-6</v>
      </c>
      <c r="AK52" s="41">
        <f t="shared" si="11"/>
        <v>1.407421355143744E-6</v>
      </c>
      <c r="AL52" s="41">
        <f t="shared" si="22"/>
        <v>6.4473787528469011E-8</v>
      </c>
      <c r="AM52" s="41">
        <f>SUM(AJ52:AL52)</f>
        <v>-9.0484012154195197E-8</v>
      </c>
      <c r="AN52" s="41">
        <f t="shared" si="13"/>
        <v>1.562376567822196E-8</v>
      </c>
      <c r="AO52" s="41">
        <f t="shared" si="14"/>
        <v>-7.486024647597324E-8</v>
      </c>
      <c r="AP52" s="45"/>
      <c r="AQ52" s="45"/>
      <c r="AR52" s="48"/>
      <c r="AS52" s="48"/>
      <c r="AT52" s="51">
        <f t="shared" si="23"/>
        <v>48</v>
      </c>
      <c r="AU52" s="49">
        <f t="shared" si="24"/>
        <v>8.8466845239000148E-13</v>
      </c>
      <c r="AV52" s="49">
        <f t="shared" si="25"/>
        <v>7.8118828391109803E-13</v>
      </c>
      <c r="AW52" s="50">
        <f xml:space="preserve"> IF(ISERROR(ROUND((1000*NPV($AT$1,$AV53:$AV$124)-$AW$1*($AU53+NPV($AT$1,$AU54:$AU$124)))/AU53,3)), 0, ROUND((1000*NPV($AT$1,$AV53:$AV$124)-$AW$1*($AU53+NPV($AT$1,$AU54:$AU$124)))/AU53,3))</f>
        <v>902.25</v>
      </c>
      <c r="AX52" s="50">
        <f>IF(ISERROR(ROUND(MAX(0,1000*NPV($AT$2,$AV53:$AV$124)-$AW$2*($AU53+NPV($AT$2,$AU54:$AU$124)))/AU53,3)), 0, ROUND(MAX(0,1000*NPV($AT$2,$AV53:$AV$124)-$AW$2*($AU53+NPV($AT$2,$AU54:$AU$124)))/AU53,3))</f>
        <v>868.27099999999996</v>
      </c>
    </row>
    <row r="53" spans="1:50" ht="15" x14ac:dyDescent="0.25">
      <c r="A53">
        <v>28</v>
      </c>
      <c r="B53">
        <v>1.0421876007215001E-3</v>
      </c>
      <c r="C53">
        <f t="shared" si="30"/>
        <v>9.7965634467820999E-4</v>
      </c>
      <c r="D53" s="60">
        <v>63</v>
      </c>
      <c r="E53" s="5">
        <v>1985472.9494777038</v>
      </c>
      <c r="F53" s="5">
        <v>76000.561660714098</v>
      </c>
      <c r="G53" s="8"/>
      <c r="I53" s="51">
        <v>49</v>
      </c>
      <c r="J53" s="41"/>
      <c r="K53" s="41" t="str">
        <f t="shared" si="26"/>
        <v/>
      </c>
      <c r="L53" s="42">
        <f t="shared" si="27"/>
        <v>25</v>
      </c>
      <c r="M53" s="41">
        <f t="shared" si="28"/>
        <v>2000000</v>
      </c>
      <c r="N53" s="43">
        <f t="shared" si="1"/>
        <v>869.67499999999995</v>
      </c>
      <c r="O53" s="44">
        <f t="shared" si="2"/>
        <v>903.31200000000001</v>
      </c>
      <c r="P53" s="41">
        <f t="shared" si="3"/>
        <v>1739350</v>
      </c>
      <c r="Q53" s="41">
        <f t="shared" si="4"/>
        <v>1806624</v>
      </c>
      <c r="R53" s="44"/>
      <c r="S53" s="44">
        <f>IF(I53&lt;&gt;"",_xlfn.XLOOKUP(D$4+I53,A$26:A$145,$C$26:$C$145,0) * 1000,"")</f>
        <v>895.31810981674687</v>
      </c>
      <c r="T53" s="52">
        <f t="shared" si="29"/>
        <v>0</v>
      </c>
      <c r="U53" s="53">
        <f t="shared" si="15"/>
        <v>1.0348016847890344E-13</v>
      </c>
      <c r="V53" s="53">
        <f t="shared" si="16"/>
        <v>9.2647668846050347E-14</v>
      </c>
      <c r="W53" s="53">
        <f t="shared" si="17"/>
        <v>0</v>
      </c>
      <c r="X53" s="46">
        <f t="shared" si="5"/>
        <v>1.0832499632853098E-14</v>
      </c>
      <c r="Y53" s="54"/>
      <c r="Z53" s="41">
        <f t="shared" si="18"/>
        <v>1.8672996402018126E-7</v>
      </c>
      <c r="AA53" s="41">
        <f t="shared" si="19"/>
        <v>2.0696033695780687E-9</v>
      </c>
      <c r="AB53" s="41">
        <f t="shared" si="6"/>
        <v>1.9570253816703596E-8</v>
      </c>
      <c r="AC53" s="41">
        <f t="shared" si="7"/>
        <v>2.1664999265706197E-10</v>
      </c>
      <c r="AD53" s="54"/>
      <c r="AE53" s="41">
        <f t="shared" si="8"/>
        <v>0</v>
      </c>
      <c r="AF53" s="41"/>
      <c r="AG53" s="41">
        <f t="shared" si="9"/>
        <v>-2.7081249082132742E-13</v>
      </c>
      <c r="AH53" s="41">
        <f t="shared" si="20"/>
        <v>-1.8529533769210069E-7</v>
      </c>
      <c r="AI53" s="41">
        <f t="shared" si="21"/>
        <v>0</v>
      </c>
      <c r="AJ53" s="41">
        <f t="shared" si="10"/>
        <v>-1.852956085045915E-7</v>
      </c>
      <c r="AK53" s="41">
        <f t="shared" si="11"/>
        <v>1.6715971020347767E-7</v>
      </c>
      <c r="AL53" s="41">
        <f t="shared" si="22"/>
        <v>7.5519826955903728E-9</v>
      </c>
      <c r="AM53" s="41">
        <f t="shared" si="12"/>
        <v>-1.0583915605523459E-8</v>
      </c>
      <c r="AN53" s="41">
        <f t="shared" si="13"/>
        <v>1.8529533769210068E-9</v>
      </c>
      <c r="AO53" s="41">
        <f t="shared" si="14"/>
        <v>-8.7309622286024515E-9</v>
      </c>
      <c r="AP53" s="45"/>
      <c r="AQ53" s="45"/>
      <c r="AR53" s="48"/>
      <c r="AS53" s="48"/>
      <c r="AT53" s="51">
        <f t="shared" si="23"/>
        <v>49</v>
      </c>
      <c r="AU53" s="49">
        <f t="shared" si="24"/>
        <v>1.0348016847890344E-13</v>
      </c>
      <c r="AV53" s="49">
        <f t="shared" si="25"/>
        <v>9.2647668846050347E-14</v>
      </c>
      <c r="AW53" s="50">
        <f xml:space="preserve"> IF(ISERROR(ROUND((1000*NPV($AT$1,$AV54:$AV$124)-$AW$1*($AU54+NPV($AT$1,$AU55:$AU$124)))/AU54,3)), 0, ROUND((1000*NPV($AT$1,$AV54:$AV$124)-$AW$1*($AU54+NPV($AT$1,$AU55:$AU$124)))/AU54,3))</f>
        <v>903.31200000000001</v>
      </c>
      <c r="AX53" s="50">
        <f>IF(ISERROR(ROUND(MAX(0,1000*NPV($AT$2,$AV54:$AV$124)-$AW$2*($AU54+NPV($AT$2,$AU55:$AU$124)))/AU54,3)), 0, ROUND(MAX(0,1000*NPV($AT$2,$AV54:$AV$124)-$AW$2*($AU54+NPV($AT$2,$AU55:$AU$124)))/AU54,3))</f>
        <v>869.67499999999995</v>
      </c>
    </row>
    <row r="54" spans="1:50" ht="15" x14ac:dyDescent="0.25">
      <c r="A54">
        <v>29</v>
      </c>
      <c r="B54">
        <v>1.0705469803867799E-3</v>
      </c>
      <c r="C54">
        <f t="shared" si="30"/>
        <v>1.006314161563573E-3</v>
      </c>
      <c r="D54" s="60">
        <v>64</v>
      </c>
      <c r="E54" s="5">
        <v>2036625.3040744946</v>
      </c>
      <c r="F54" s="5">
        <v>77557.395781977568</v>
      </c>
      <c r="G54" s="8"/>
      <c r="I54" s="51">
        <v>50</v>
      </c>
      <c r="J54" s="41"/>
      <c r="K54" s="41" t="str">
        <f t="shared" si="26"/>
        <v/>
      </c>
      <c r="L54" s="42">
        <f t="shared" si="27"/>
        <v>25</v>
      </c>
      <c r="M54" s="41">
        <f t="shared" si="28"/>
        <v>2000000</v>
      </c>
      <c r="N54" s="43">
        <f t="shared" si="1"/>
        <v>870.84500000000003</v>
      </c>
      <c r="O54" s="44">
        <f t="shared" si="2"/>
        <v>904.19899999999996</v>
      </c>
      <c r="P54" s="41">
        <f t="shared" si="3"/>
        <v>1741690</v>
      </c>
      <c r="Q54" s="41">
        <f t="shared" si="4"/>
        <v>1808398</v>
      </c>
      <c r="R54" s="44"/>
      <c r="S54" s="44">
        <f>IF(I54&lt;&gt;"",_xlfn.XLOOKUP(D$4+I54,A$26:A$145,$C$26:$C$145,0) * 1000,"")</f>
        <v>905.8863600852643</v>
      </c>
      <c r="T54" s="52">
        <f t="shared" si="29"/>
        <v>0</v>
      </c>
      <c r="U54" s="53">
        <f t="shared" si="15"/>
        <v>1.0832499632853098E-14</v>
      </c>
      <c r="V54" s="53">
        <f t="shared" si="16"/>
        <v>9.8130136630302544E-15</v>
      </c>
      <c r="W54" s="53">
        <f t="shared" si="17"/>
        <v>0</v>
      </c>
      <c r="X54" s="46">
        <f t="shared" si="5"/>
        <v>1.0194859698228434E-15</v>
      </c>
      <c r="Y54" s="54"/>
      <c r="Z54" s="41">
        <f t="shared" si="18"/>
        <v>1.9570253816703596E-8</v>
      </c>
      <c r="AA54" s="41">
        <f t="shared" si="19"/>
        <v>2.1664999265706197E-10</v>
      </c>
      <c r="AB54" s="41">
        <f t="shared" si="6"/>
        <v>1.8436363888556904E-9</v>
      </c>
      <c r="AC54" s="41">
        <f t="shared" si="7"/>
        <v>2.0389719396456869E-11</v>
      </c>
      <c r="AD54" s="54"/>
      <c r="AE54" s="41">
        <f t="shared" si="8"/>
        <v>0</v>
      </c>
      <c r="AF54" s="41"/>
      <c r="AG54" s="41">
        <f t="shared" si="9"/>
        <v>-2.5487149245571083E-14</v>
      </c>
      <c r="AH54" s="41">
        <f t="shared" si="20"/>
        <v>-1.9626027326060507E-8</v>
      </c>
      <c r="AI54" s="41">
        <f t="shared" si="21"/>
        <v>0</v>
      </c>
      <c r="AJ54" s="41">
        <f t="shared" si="10"/>
        <v>-1.9626052813209754E-8</v>
      </c>
      <c r="AK54" s="41">
        <f t="shared" si="11"/>
        <v>1.7726617427847906E-8</v>
      </c>
      <c r="AL54" s="41">
        <f t="shared" si="22"/>
        <v>7.9147615237442645E-10</v>
      </c>
      <c r="AM54" s="41">
        <f t="shared" si="12"/>
        <v>-1.1079592329874207E-9</v>
      </c>
      <c r="AN54" s="41">
        <f t="shared" si="13"/>
        <v>1.9626027326060511E-10</v>
      </c>
      <c r="AO54" s="41">
        <f t="shared" si="14"/>
        <v>-9.1169895972681563E-10</v>
      </c>
      <c r="AP54" s="45"/>
      <c r="AQ54" s="45"/>
      <c r="AR54" s="48"/>
      <c r="AS54" s="48"/>
      <c r="AT54" s="51">
        <f t="shared" si="23"/>
        <v>50</v>
      </c>
      <c r="AU54" s="49">
        <f t="shared" si="24"/>
        <v>1.0832499632853098E-14</v>
      </c>
      <c r="AV54" s="49">
        <f t="shared" si="25"/>
        <v>9.8130136630302544E-15</v>
      </c>
      <c r="AW54" s="50">
        <f xml:space="preserve"> IF(ISERROR(ROUND((1000*NPV($AT$1,$AV55:$AV$124)-$AW$1*($AU55+NPV($AT$1,$AU56:$AU$124)))/AU55,3)), 0, ROUND((1000*NPV($AT$1,$AV55:$AV$124)-$AW$1*($AU55+NPV($AT$1,$AU56:$AU$124)))/AU55,3))</f>
        <v>904.19899999999996</v>
      </c>
      <c r="AX54" s="50">
        <f>IF(ISERROR(ROUND(MAX(0,1000*NPV($AT$2,$AV55:$AV$124)-$AW$2*($AU55+NPV($AT$2,$AU56:$AU$124)))/AU55,3)), 0, ROUND(MAX(0,1000*NPV($AT$2,$AV55:$AV$124)-$AW$2*($AU55+NPV($AT$2,$AU56:$AU$124)))/AU55,3))</f>
        <v>870.84500000000003</v>
      </c>
    </row>
    <row r="55" spans="1:50" ht="15" x14ac:dyDescent="0.25">
      <c r="A55">
        <v>30</v>
      </c>
      <c r="B55">
        <v>1.1072377629296501E-3</v>
      </c>
      <c r="C55">
        <f t="shared" si="30"/>
        <v>1.0408034971538711E-3</v>
      </c>
      <c r="D55" s="60">
        <v>65</v>
      </c>
      <c r="E55" s="5">
        <v>2087538.11483767</v>
      </c>
      <c r="F55">
        <v>79071.190166260349</v>
      </c>
      <c r="G55" s="8"/>
      <c r="I55" s="51">
        <v>51</v>
      </c>
      <c r="J55" s="41"/>
      <c r="K55" s="41" t="str">
        <f t="shared" si="26"/>
        <v/>
      </c>
      <c r="L55" s="42">
        <f t="shared" si="27"/>
        <v>25</v>
      </c>
      <c r="M55" s="41">
        <f t="shared" si="28"/>
        <v>2000000</v>
      </c>
      <c r="N55" s="43">
        <f t="shared" si="1"/>
        <v>871.80899999999997</v>
      </c>
      <c r="O55" s="44">
        <f t="shared" si="2"/>
        <v>904.928</v>
      </c>
      <c r="P55" s="41">
        <f t="shared" si="3"/>
        <v>1743618</v>
      </c>
      <c r="Q55" s="41">
        <f t="shared" si="4"/>
        <v>1809856</v>
      </c>
      <c r="R55" s="44"/>
      <c r="S55" s="44">
        <f>IF(I55&lt;&gt;"",_xlfn.XLOOKUP(D$4+I55,A$26:A$145,$C$26:$C$145,0) * 1000,"")</f>
        <v>914.85943963191824</v>
      </c>
      <c r="T55" s="52">
        <f t="shared" si="29"/>
        <v>0</v>
      </c>
      <c r="U55" s="53">
        <f t="shared" si="15"/>
        <v>1.0194859698228434E-15</v>
      </c>
      <c r="V55" s="53">
        <f t="shared" si="16"/>
        <v>9.3268636306472919E-16</v>
      </c>
      <c r="W55" s="53">
        <f t="shared" si="17"/>
        <v>0</v>
      </c>
      <c r="X55" s="46">
        <f t="shared" si="5"/>
        <v>8.6799606758114206E-17</v>
      </c>
      <c r="Y55" s="54"/>
      <c r="Z55" s="41">
        <f t="shared" si="18"/>
        <v>1.8436363888556904E-9</v>
      </c>
      <c r="AA55" s="41">
        <f t="shared" si="19"/>
        <v>2.0389719396456869E-11</v>
      </c>
      <c r="AB55" s="41">
        <f t="shared" si="6"/>
        <v>1.5709478908881354E-10</v>
      </c>
      <c r="AC55" s="41">
        <f t="shared" si="7"/>
        <v>1.7359921351622842E-12</v>
      </c>
      <c r="AD55" s="54"/>
      <c r="AE55" s="41">
        <f t="shared" si="8"/>
        <v>0</v>
      </c>
      <c r="AF55" s="41"/>
      <c r="AG55" s="41">
        <f t="shared" si="9"/>
        <v>-2.1699901689528553E-15</v>
      </c>
      <c r="AH55" s="41">
        <f t="shared" si="20"/>
        <v>-1.8653727261294582E-9</v>
      </c>
      <c r="AI55" s="41">
        <f t="shared" si="21"/>
        <v>0</v>
      </c>
      <c r="AJ55" s="41">
        <f t="shared" si="10"/>
        <v>-1.8653748961196271E-9</v>
      </c>
      <c r="AK55" s="41">
        <f t="shared" si="11"/>
        <v>1.6865415997668769E-9</v>
      </c>
      <c r="AL55" s="41">
        <f t="shared" si="22"/>
        <v>7.4561044330085888E-11</v>
      </c>
      <c r="AM55" s="41">
        <f t="shared" si="12"/>
        <v>-1.0427225202266439E-10</v>
      </c>
      <c r="AN55" s="41">
        <f t="shared" si="13"/>
        <v>1.8653727261294585E-11</v>
      </c>
      <c r="AO55" s="41">
        <f t="shared" si="14"/>
        <v>-8.5618524761369798E-11</v>
      </c>
      <c r="AP55" s="45"/>
      <c r="AQ55" s="45"/>
      <c r="AR55" s="48"/>
      <c r="AS55" s="48"/>
      <c r="AT55" s="51">
        <f t="shared" si="23"/>
        <v>51</v>
      </c>
      <c r="AU55" s="49">
        <f t="shared" si="24"/>
        <v>1.0194859698228434E-15</v>
      </c>
      <c r="AV55" s="49">
        <f t="shared" si="25"/>
        <v>9.3268636306472919E-16</v>
      </c>
      <c r="AW55" s="50">
        <f xml:space="preserve"> IF(ISERROR(ROUND((1000*NPV($AT$1,$AV56:$AV$124)-$AW$1*($AU56+NPV($AT$1,$AU57:$AU$124)))/AU56,3)), 0, ROUND((1000*NPV($AT$1,$AV56:$AV$124)-$AW$1*($AU56+NPV($AT$1,$AU57:$AU$124)))/AU56,3))</f>
        <v>904.928</v>
      </c>
      <c r="AX55" s="50">
        <f>IF(ISERROR(ROUND(MAX(0,1000*NPV($AT$2,$AV56:$AV$124)-$AW$2*($AU56+NPV($AT$2,$AU57:$AU$124)))/AU56,3)), 0, ROUND(MAX(0,1000*NPV($AT$2,$AV56:$AV$124)-$AW$2*($AU56+NPV($AT$2,$AU57:$AU$124)))/AU56,3))</f>
        <v>871.80899999999997</v>
      </c>
    </row>
    <row r="56" spans="1:50" ht="15" x14ac:dyDescent="0.25">
      <c r="A56">
        <v>31</v>
      </c>
      <c r="B56">
        <v>1.1619355584235899E-3</v>
      </c>
      <c r="C56">
        <f t="shared" si="30"/>
        <v>1.0922194249181744E-3</v>
      </c>
      <c r="D56" s="60"/>
      <c r="E56" s="5"/>
      <c r="F56" s="5"/>
      <c r="G56" s="8"/>
      <c r="I56" s="51">
        <v>52</v>
      </c>
      <c r="J56" s="41"/>
      <c r="K56" s="41" t="str">
        <f t="shared" si="26"/>
        <v/>
      </c>
      <c r="L56" s="42">
        <f t="shared" si="27"/>
        <v>25</v>
      </c>
      <c r="M56" s="41">
        <f t="shared" si="28"/>
        <v>2000000</v>
      </c>
      <c r="N56" s="43">
        <f t="shared" si="1"/>
        <v>872.60599999999999</v>
      </c>
      <c r="O56" s="44">
        <f t="shared" si="2"/>
        <v>905.53200000000004</v>
      </c>
      <c r="P56" s="41">
        <f t="shared" si="3"/>
        <v>1745212</v>
      </c>
      <c r="Q56" s="41">
        <f t="shared" si="4"/>
        <v>1811064</v>
      </c>
      <c r="R56" s="44"/>
      <c r="S56" s="44">
        <f>IF(I56&lt;&gt;"",_xlfn.XLOOKUP(D$4+I56,A$26:A$145,$C$26:$C$145,0) * 1000,"")</f>
        <v>922.34488841171355</v>
      </c>
      <c r="T56" s="52">
        <f t="shared" si="29"/>
        <v>0</v>
      </c>
      <c r="U56" s="53">
        <f t="shared" si="15"/>
        <v>8.6799606758114206E-17</v>
      </c>
      <c r="V56" s="53">
        <f t="shared" si="16"/>
        <v>8.0059173609493471E-17</v>
      </c>
      <c r="W56" s="53">
        <f t="shared" si="17"/>
        <v>0</v>
      </c>
      <c r="X56" s="46">
        <f t="shared" si="5"/>
        <v>6.7404331486207344E-18</v>
      </c>
      <c r="Y56" s="54"/>
      <c r="Z56" s="41">
        <f t="shared" si="18"/>
        <v>1.5709478908881354E-10</v>
      </c>
      <c r="AA56" s="41">
        <f t="shared" si="19"/>
        <v>1.7359921351622842E-12</v>
      </c>
      <c r="AB56" s="41">
        <f t="shared" si="6"/>
        <v>1.2207355819873661E-11</v>
      </c>
      <c r="AC56" s="41">
        <f t="shared" si="7"/>
        <v>1.3480866297241469E-13</v>
      </c>
      <c r="AD56" s="54"/>
      <c r="AE56" s="41">
        <f t="shared" si="8"/>
        <v>0</v>
      </c>
      <c r="AF56" s="41"/>
      <c r="AG56" s="41">
        <f t="shared" si="9"/>
        <v>-1.6851082871551835E-16</v>
      </c>
      <c r="AH56" s="41">
        <f t="shared" si="20"/>
        <v>-1.6011834721898694E-10</v>
      </c>
      <c r="AI56" s="41">
        <f t="shared" si="21"/>
        <v>0</v>
      </c>
      <c r="AJ56" s="41">
        <f t="shared" si="10"/>
        <v>-1.6011851572981565E-10</v>
      </c>
      <c r="AK56" s="41">
        <f t="shared" si="11"/>
        <v>1.4488743326893988E-10</v>
      </c>
      <c r="AL56" s="41">
        <f t="shared" si="22"/>
        <v>6.3532312489590339E-12</v>
      </c>
      <c r="AM56" s="41">
        <f t="shared" si="12"/>
        <v>-8.8778512119167416E-12</v>
      </c>
      <c r="AN56" s="41">
        <f t="shared" si="13"/>
        <v>1.6011834721898694E-12</v>
      </c>
      <c r="AO56" s="41">
        <f t="shared" si="14"/>
        <v>-7.2766677397268726E-12</v>
      </c>
      <c r="AP56" s="45"/>
      <c r="AQ56" s="45"/>
      <c r="AR56" s="48"/>
      <c r="AS56" s="48"/>
      <c r="AT56" s="51">
        <f t="shared" si="23"/>
        <v>52</v>
      </c>
      <c r="AU56" s="49">
        <f t="shared" si="24"/>
        <v>8.6799606758114206E-17</v>
      </c>
      <c r="AV56" s="49">
        <f t="shared" si="25"/>
        <v>8.0059173609493471E-17</v>
      </c>
      <c r="AW56" s="50">
        <f xml:space="preserve"> IF(ISERROR(ROUND((1000*NPV($AT$1,$AV57:$AV$124)-$AW$1*($AU57+NPV($AT$1,$AU58:$AU$124)))/AU57,3)), 0, ROUND((1000*NPV($AT$1,$AV57:$AV$124)-$AW$1*($AU57+NPV($AT$1,$AU58:$AU$124)))/AU57,3))</f>
        <v>905.53200000000004</v>
      </c>
      <c r="AX56" s="50">
        <f>IF(ISERROR(ROUND(MAX(0,1000*NPV($AT$2,$AV57:$AV$124)-$AW$2*($AU57+NPV($AT$2,$AU58:$AU$124)))/AU57,3)), 0, ROUND(MAX(0,1000*NPV($AT$2,$AV57:$AV$124)-$AW$2*($AU57+NPV($AT$2,$AU58:$AU$124)))/AU57,3))</f>
        <v>872.60599999999999</v>
      </c>
    </row>
    <row r="57" spans="1:50" ht="15" x14ac:dyDescent="0.25">
      <c r="A57">
        <v>32</v>
      </c>
      <c r="B57">
        <v>1.2277321335205601E-3</v>
      </c>
      <c r="C57">
        <f t="shared" si="30"/>
        <v>1.1540682055093264E-3</v>
      </c>
      <c r="D57" s="60"/>
      <c r="E57" s="5"/>
      <c r="F57" s="5"/>
      <c r="I57" s="51">
        <v>53</v>
      </c>
      <c r="J57" s="41"/>
      <c r="K57" s="41" t="str">
        <f t="shared" si="26"/>
        <v/>
      </c>
      <c r="L57" s="42">
        <f t="shared" si="27"/>
        <v>25</v>
      </c>
      <c r="M57" s="41">
        <f t="shared" si="28"/>
        <v>2000000</v>
      </c>
      <c r="N57" s="43">
        <f t="shared" si="1"/>
        <v>873.63800000000003</v>
      </c>
      <c r="O57" s="44">
        <f t="shared" si="2"/>
        <v>906.31799999999998</v>
      </c>
      <c r="P57" s="41">
        <f t="shared" si="3"/>
        <v>1747276</v>
      </c>
      <c r="Q57" s="41">
        <f t="shared" si="4"/>
        <v>1812636</v>
      </c>
      <c r="R57" s="44"/>
      <c r="S57" s="44">
        <f>IF(I57&lt;&gt;"",_xlfn.XLOOKUP(D$4+I57,A$26:A$145,$C$26:$C$145,0) * 1000,"")</f>
        <v>928.39820951664444</v>
      </c>
      <c r="T57" s="52">
        <f t="shared" si="29"/>
        <v>0</v>
      </c>
      <c r="U57" s="53">
        <f t="shared" si="15"/>
        <v>6.7404331486207344E-18</v>
      </c>
      <c r="V57" s="53">
        <f t="shared" si="16"/>
        <v>6.2578060665461274E-18</v>
      </c>
      <c r="W57" s="53">
        <f t="shared" si="17"/>
        <v>0</v>
      </c>
      <c r="X57" s="46">
        <f t="shared" si="5"/>
        <v>4.8262708207460693E-19</v>
      </c>
      <c r="Y57" s="54"/>
      <c r="Z57" s="41">
        <f t="shared" si="18"/>
        <v>1.2207355819873661E-11</v>
      </c>
      <c r="AA57" s="41">
        <f t="shared" si="19"/>
        <v>1.3480866297241469E-13</v>
      </c>
      <c r="AB57" s="41">
        <f t="shared" si="6"/>
        <v>8.7482722354338718E-13</v>
      </c>
      <c r="AC57" s="41">
        <f t="shared" si="7"/>
        <v>9.6525416414921384E-15</v>
      </c>
      <c r="AD57" s="54"/>
      <c r="AE57" s="41">
        <f t="shared" si="8"/>
        <v>0</v>
      </c>
      <c r="AF57" s="41"/>
      <c r="AG57" s="41">
        <f t="shared" si="9"/>
        <v>-1.2065677051865173E-17</v>
      </c>
      <c r="AH57" s="41">
        <f t="shared" si="20"/>
        <v>-1.2515612133092255E-11</v>
      </c>
      <c r="AI57" s="41">
        <f t="shared" si="21"/>
        <v>0</v>
      </c>
      <c r="AJ57" s="41">
        <f t="shared" si="10"/>
        <v>-1.2515624198769307E-11</v>
      </c>
      <c r="AK57" s="41">
        <f t="shared" si="11"/>
        <v>1.1332528596330275E-11</v>
      </c>
      <c r="AL57" s="41">
        <f t="shared" si="22"/>
        <v>4.9368657931384305E-13</v>
      </c>
      <c r="AM57" s="41">
        <f t="shared" si="12"/>
        <v>-6.8940902312518901E-13</v>
      </c>
      <c r="AN57" s="41">
        <f t="shared" si="13"/>
        <v>1.2515612133092253E-13</v>
      </c>
      <c r="AO57" s="41">
        <f t="shared" si="14"/>
        <v>-5.6425290179426643E-13</v>
      </c>
      <c r="AP57" s="45"/>
      <c r="AQ57" s="45"/>
      <c r="AR57" s="48"/>
      <c r="AS57" s="48"/>
      <c r="AT57" s="51">
        <f t="shared" si="23"/>
        <v>53</v>
      </c>
      <c r="AU57" s="49">
        <f t="shared" si="24"/>
        <v>6.7404331486207344E-18</v>
      </c>
      <c r="AV57" s="49">
        <f t="shared" si="25"/>
        <v>6.2578060665461274E-18</v>
      </c>
      <c r="AW57" s="50">
        <f xml:space="preserve"> IF(ISERROR(ROUND((1000*NPV($AT$1,$AV58:$AV$124)-$AW$1*($AU58+NPV($AT$1,$AU59:$AU$124)))/AU58,3)), 0, ROUND((1000*NPV($AT$1,$AV58:$AV$124)-$AW$1*($AU58+NPV($AT$1,$AU59:$AU$124)))/AU58,3))</f>
        <v>906.31799999999998</v>
      </c>
      <c r="AX57" s="50">
        <f>IF(ISERROR(ROUND(MAX(0,1000*NPV($AT$2,$AV58:$AV$124)-$AW$2*($AU58+NPV($AT$2,$AU59:$AU$124)))/AU58,3)), 0, ROUND(MAX(0,1000*NPV($AT$2,$AV58:$AV$124)-$AW$2*($AU58+NPV($AT$2,$AU59:$AU$124)))/AU58,3))</f>
        <v>873.63800000000003</v>
      </c>
    </row>
    <row r="58" spans="1:50" ht="15" x14ac:dyDescent="0.25">
      <c r="A58">
        <v>33</v>
      </c>
      <c r="B58">
        <v>1.29341474181388E-3</v>
      </c>
      <c r="C58">
        <f t="shared" si="30"/>
        <v>1.215809857305047E-3</v>
      </c>
      <c r="D58" s="60"/>
      <c r="E58" s="5"/>
      <c r="F58" s="5"/>
      <c r="G58" s="11"/>
      <c r="I58" s="51">
        <v>54</v>
      </c>
      <c r="J58" s="41"/>
      <c r="K58" s="41" t="str">
        <f t="shared" si="26"/>
        <v/>
      </c>
      <c r="L58" s="42">
        <f t="shared" si="27"/>
        <v>25</v>
      </c>
      <c r="M58" s="41">
        <f t="shared" si="28"/>
        <v>2000000</v>
      </c>
      <c r="N58" s="43">
        <f t="shared" si="1"/>
        <v>881.14200000000005</v>
      </c>
      <c r="O58" s="44">
        <f t="shared" si="2"/>
        <v>911.98199999999997</v>
      </c>
      <c r="P58" s="41">
        <f t="shared" si="3"/>
        <v>1762284</v>
      </c>
      <c r="Q58" s="41">
        <f t="shared" si="4"/>
        <v>1823964</v>
      </c>
      <c r="R58" s="44"/>
      <c r="S58" s="44">
        <f>IF(I58&lt;&gt;"",_xlfn.XLOOKUP(D$4+I58,A$26:A$145,$C$26:$C$145,0) * 1000,"")</f>
        <v>933.08273231998146</v>
      </c>
      <c r="T58" s="52">
        <f t="shared" si="29"/>
        <v>0</v>
      </c>
      <c r="U58" s="53">
        <f t="shared" si="15"/>
        <v>4.8262708207460693E-19</v>
      </c>
      <c r="V58" s="53">
        <f t="shared" si="16"/>
        <v>4.5033099643379424E-19</v>
      </c>
      <c r="W58" s="53">
        <f t="shared" si="17"/>
        <v>0</v>
      </c>
      <c r="X58" s="46">
        <f t="shared" si="5"/>
        <v>3.2296085640812693E-20</v>
      </c>
      <c r="Y58" s="54"/>
      <c r="Z58" s="41">
        <f t="shared" si="18"/>
        <v>8.7482722354338718E-13</v>
      </c>
      <c r="AA58" s="41">
        <f t="shared" si="19"/>
        <v>9.6525416414921384E-15</v>
      </c>
      <c r="AB58" s="41">
        <f t="shared" si="6"/>
        <v>5.8906897549759281E-14</v>
      </c>
      <c r="AC58" s="41">
        <f t="shared" si="7"/>
        <v>6.4592171281625388E-16</v>
      </c>
      <c r="AD58" s="54"/>
      <c r="AE58" s="41">
        <f t="shared" si="8"/>
        <v>0</v>
      </c>
      <c r="AF58" s="41"/>
      <c r="AG58" s="41">
        <f t="shared" si="9"/>
        <v>-8.0740214102031732E-19</v>
      </c>
      <c r="AH58" s="41">
        <f t="shared" si="20"/>
        <v>-9.0066199286758848E-13</v>
      </c>
      <c r="AI58" s="41">
        <f t="shared" si="21"/>
        <v>0</v>
      </c>
      <c r="AJ58" s="41">
        <f t="shared" si="10"/>
        <v>-9.0066280026972946E-13</v>
      </c>
      <c r="AK58" s="41">
        <f t="shared" si="11"/>
        <v>8.159203259936279E-13</v>
      </c>
      <c r="AL58" s="41">
        <f t="shared" si="22"/>
        <v>3.5379190607395171E-14</v>
      </c>
      <c r="AM58" s="41">
        <f t="shared" si="12"/>
        <v>-4.9363283668706395E-14</v>
      </c>
      <c r="AN58" s="41">
        <f t="shared" si="13"/>
        <v>9.0066199286758848E-15</v>
      </c>
      <c r="AO58" s="41">
        <f t="shared" si="14"/>
        <v>-4.0356663740030509E-14</v>
      </c>
      <c r="AP58" s="45"/>
      <c r="AQ58" s="45"/>
      <c r="AR58" s="48"/>
      <c r="AS58" s="48"/>
      <c r="AT58" s="51">
        <f t="shared" si="23"/>
        <v>54</v>
      </c>
      <c r="AU58" s="49">
        <f t="shared" si="24"/>
        <v>4.8262708207460693E-19</v>
      </c>
      <c r="AV58" s="49">
        <f t="shared" si="25"/>
        <v>4.5033099643379424E-19</v>
      </c>
      <c r="AW58" s="50">
        <f xml:space="preserve"> IF(ISERROR(ROUND((1000*NPV($AT$1,$AV59:$AV$124)-$AW$1*($AU59+NPV($AT$1,$AU60:$AU$124)))/AU59,3)), 0, ROUND((1000*NPV($AT$1,$AV59:$AV$124)-$AW$1*($AU59+NPV($AT$1,$AU60:$AU$124)))/AU59,3))</f>
        <v>911.98199999999997</v>
      </c>
      <c r="AX58" s="50">
        <f>IF(ISERROR(ROUND(MAX(0,1000*NPV($AT$2,$AV59:$AV$124)-$AW$2*($AU59+NPV($AT$2,$AU60:$AU$124)))/AU59,3)), 0, ROUND(MAX(0,1000*NPV($AT$2,$AV59:$AV$124)-$AW$2*($AU59+NPV($AT$2,$AU60:$AU$124)))/AU59,3))</f>
        <v>881.14200000000005</v>
      </c>
    </row>
    <row r="59" spans="1:50" ht="15" x14ac:dyDescent="0.25">
      <c r="A59">
        <v>34</v>
      </c>
      <c r="B59">
        <v>1.3751733051196001E-3</v>
      </c>
      <c r="C59">
        <f t="shared" si="30"/>
        <v>1.292662906812424E-3</v>
      </c>
      <c r="D59" s="60"/>
      <c r="E59" s="5"/>
      <c r="F59" s="5"/>
      <c r="I59" s="51">
        <v>55</v>
      </c>
      <c r="J59" s="41"/>
      <c r="K59" s="41" t="str">
        <f t="shared" si="26"/>
        <v/>
      </c>
      <c r="L59" s="42">
        <f t="shared" si="27"/>
        <v>25</v>
      </c>
      <c r="M59" s="41">
        <f t="shared" si="28"/>
        <v>2000000</v>
      </c>
      <c r="N59" s="43">
        <f t="shared" si="1"/>
        <v>0</v>
      </c>
      <c r="O59" s="44">
        <f t="shared" si="2"/>
        <v>0</v>
      </c>
      <c r="P59" s="41">
        <f t="shared" si="3"/>
        <v>0</v>
      </c>
      <c r="Q59" s="41">
        <f t="shared" si="4"/>
        <v>0</v>
      </c>
      <c r="R59" s="44"/>
      <c r="S59" s="44">
        <f>IF(I59&lt;&gt;"",_xlfn.XLOOKUP(D$4+I59,A$26:A$145,$C$26:$C$145,0) * 1000,"")</f>
        <v>1000</v>
      </c>
      <c r="T59" s="52">
        <f t="shared" si="29"/>
        <v>0</v>
      </c>
      <c r="U59" s="53">
        <f t="shared" si="15"/>
        <v>3.2296085640812693E-20</v>
      </c>
      <c r="V59" s="53">
        <f t="shared" si="16"/>
        <v>3.2296085640812693E-20</v>
      </c>
      <c r="W59" s="53">
        <f t="shared" si="17"/>
        <v>0</v>
      </c>
      <c r="X59" s="46">
        <f t="shared" si="5"/>
        <v>0</v>
      </c>
      <c r="Y59" s="54"/>
      <c r="Z59" s="41">
        <f t="shared" si="18"/>
        <v>5.8906897549759281E-14</v>
      </c>
      <c r="AA59" s="41">
        <f t="shared" si="19"/>
        <v>6.4592171281625388E-16</v>
      </c>
      <c r="AB59" s="41">
        <f t="shared" si="6"/>
        <v>0</v>
      </c>
      <c r="AC59" s="41">
        <f t="shared" si="7"/>
        <v>0</v>
      </c>
      <c r="AD59" s="54"/>
      <c r="AE59" s="41">
        <f t="shared" si="8"/>
        <v>0</v>
      </c>
      <c r="AF59" s="41"/>
      <c r="AG59" s="41">
        <f t="shared" si="9"/>
        <v>0</v>
      </c>
      <c r="AH59" s="41">
        <f t="shared" si="20"/>
        <v>-6.4592171281625387E-14</v>
      </c>
      <c r="AI59" s="41">
        <f t="shared" si="21"/>
        <v>0</v>
      </c>
      <c r="AJ59" s="41">
        <f t="shared" si="10"/>
        <v>-6.4592171281625387E-14</v>
      </c>
      <c r="AK59" s="41">
        <f t="shared" si="11"/>
        <v>5.8906897549759281E-14</v>
      </c>
      <c r="AL59" s="41">
        <f t="shared" si="22"/>
        <v>2.3821127705030214E-15</v>
      </c>
      <c r="AM59" s="41">
        <f t="shared" si="12"/>
        <v>-3.3031609613630854E-15</v>
      </c>
      <c r="AN59" s="41">
        <f t="shared" si="13"/>
        <v>6.4592171281625388E-16</v>
      </c>
      <c r="AO59" s="41">
        <f t="shared" si="14"/>
        <v>-2.6572392485468313E-15</v>
      </c>
      <c r="AP59" s="45"/>
      <c r="AQ59" s="45"/>
      <c r="AR59" s="48"/>
      <c r="AS59" s="48"/>
      <c r="AT59" s="51">
        <f t="shared" si="23"/>
        <v>55</v>
      </c>
      <c r="AU59" s="49">
        <f t="shared" si="24"/>
        <v>3.2296085640812693E-20</v>
      </c>
      <c r="AV59" s="49">
        <f t="shared" si="25"/>
        <v>3.2296085640812693E-20</v>
      </c>
      <c r="AW59" s="50">
        <f xml:space="preserve"> IF(ISERROR(ROUND((1000*NPV($AT$1,$AV60:$AV$124)-$AW$1*($AU60+NPV($AT$1,$AU61:$AU$124)))/AU60,3)), 0, ROUND((1000*NPV($AT$1,$AV60:$AV$124)-$AW$1*($AU60+NPV($AT$1,$AU61:$AU$124)))/AU60,3))</f>
        <v>0</v>
      </c>
      <c r="AX59" s="50">
        <f>IF(ISERROR(ROUND(MAX(0,1000*NPV($AT$2,$AV60:$AV$124)-$AW$2*($AU60+NPV($AT$2,$AU61:$AU$124)))/AU60,3)), 0, ROUND(MAX(0,1000*NPV($AT$2,$AV60:$AV$124)-$AW$2*($AU60+NPV($AT$2,$AU61:$AU$124)))/AU60,3))</f>
        <v>0</v>
      </c>
    </row>
    <row r="60" spans="1:50" ht="15" x14ac:dyDescent="0.25">
      <c r="A60">
        <v>35</v>
      </c>
      <c r="B60">
        <v>1.46076355471925E-3</v>
      </c>
      <c r="C60">
        <f t="shared" si="30"/>
        <v>1.3731177414360949E-3</v>
      </c>
      <c r="D60" s="60"/>
      <c r="E60" s="5"/>
      <c r="F60" s="5"/>
      <c r="I60" s="51"/>
      <c r="J60" s="41"/>
      <c r="K60" s="41" t="str">
        <f t="shared" si="26"/>
        <v/>
      </c>
      <c r="L60" s="42" t="str">
        <f t="shared" si="27"/>
        <v/>
      </c>
      <c r="M60" s="41" t="str">
        <f t="shared" si="28"/>
        <v/>
      </c>
      <c r="N60" s="43">
        <f t="shared" si="1"/>
        <v>0</v>
      </c>
      <c r="O60" s="44">
        <f t="shared" si="2"/>
        <v>0</v>
      </c>
      <c r="P60" s="41" t="str">
        <f t="shared" si="3"/>
        <v/>
      </c>
      <c r="Q60" s="41" t="str">
        <f t="shared" si="4"/>
        <v/>
      </c>
      <c r="R60" s="44"/>
      <c r="S60" s="44" t="str">
        <f>IF(I60&lt;&gt;"",_xlfn.XLOOKUP(D$4+I60,A$26:A$145,$C$26:$C$145,0) * 1000,"")</f>
        <v/>
      </c>
      <c r="T60" s="52">
        <f t="shared" si="29"/>
        <v>0</v>
      </c>
      <c r="U60" s="53" t="str">
        <f t="shared" si="15"/>
        <v/>
      </c>
      <c r="V60" s="53" t="str">
        <f t="shared" si="16"/>
        <v/>
      </c>
      <c r="W60" s="53" t="str">
        <f t="shared" si="17"/>
        <v/>
      </c>
      <c r="X60" s="46" t="str">
        <f t="shared" si="5"/>
        <v/>
      </c>
      <c r="Y60" s="54"/>
      <c r="Z60" s="41" t="str">
        <f t="shared" si="18"/>
        <v/>
      </c>
      <c r="AA60" s="41" t="str">
        <f t="shared" si="19"/>
        <v/>
      </c>
      <c r="AB60" s="41" t="str">
        <f t="shared" si="6"/>
        <v/>
      </c>
      <c r="AC60" s="41" t="str">
        <f t="shared" si="7"/>
        <v/>
      </c>
      <c r="AD60" s="54"/>
      <c r="AE60" s="41" t="str">
        <f t="shared" si="8"/>
        <v/>
      </c>
      <c r="AF60" s="41"/>
      <c r="AG60" s="41" t="str">
        <f t="shared" si="9"/>
        <v/>
      </c>
      <c r="AH60" s="41" t="str">
        <f t="shared" si="20"/>
        <v/>
      </c>
      <c r="AI60" s="41" t="str">
        <f t="shared" si="21"/>
        <v/>
      </c>
      <c r="AJ60" s="41">
        <f t="shared" si="10"/>
        <v>0</v>
      </c>
      <c r="AK60" s="41" t="str">
        <f t="shared" si="11"/>
        <v/>
      </c>
      <c r="AL60" s="41">
        <f t="shared" si="22"/>
        <v>0</v>
      </c>
      <c r="AM60" s="41">
        <f t="shared" si="12"/>
        <v>0</v>
      </c>
      <c r="AN60" s="41" t="str">
        <f t="shared" si="13"/>
        <v/>
      </c>
      <c r="AO60" s="41">
        <f t="shared" si="14"/>
        <v>0</v>
      </c>
      <c r="AP60" s="45"/>
      <c r="AQ60" s="45"/>
      <c r="AR60" s="48"/>
      <c r="AS60" s="48"/>
      <c r="AT60" s="51">
        <f t="shared" si="23"/>
        <v>56</v>
      </c>
      <c r="AU60" s="49" t="str">
        <f t="shared" si="24"/>
        <v/>
      </c>
      <c r="AV60" s="49" t="str">
        <f t="shared" si="25"/>
        <v/>
      </c>
      <c r="AW60" s="50">
        <f xml:space="preserve"> IF(ISERROR(ROUND((1000*NPV($AT$1,$AV61:$AV$124)-$AW$1*($AU61+NPV($AT$1,$AU62:$AU$124)))/AU61,3)), 0, ROUND((1000*NPV($AT$1,$AV61:$AV$124)-$AW$1*($AU61+NPV($AT$1,$AU62:$AU$124)))/AU61,3))</f>
        <v>0</v>
      </c>
      <c r="AX60" s="50">
        <f>IF(ISERROR(ROUND(MAX(0,1000*NPV($AT$2,$AV61:$AV$124)-$AW$2*($AU61+NPV($AT$2,$AU62:$AU$124)))/AU61,3)), 0, ROUND(MAX(0,1000*NPV($AT$2,$AV61:$AV$124)-$AW$2*($AU61+NPV($AT$2,$AU62:$AU$124)))/AU61,3))</f>
        <v>0</v>
      </c>
    </row>
    <row r="61" spans="1:50" ht="15" x14ac:dyDescent="0.25">
      <c r="A61">
        <v>36</v>
      </c>
      <c r="B61">
        <v>1.5218973874801E-3</v>
      </c>
      <c r="C61">
        <f t="shared" si="30"/>
        <v>1.430583544231294E-3</v>
      </c>
      <c r="D61" s="60"/>
      <c r="E61" s="5"/>
      <c r="F61" s="5"/>
      <c r="I61" s="51"/>
      <c r="J61" s="41"/>
      <c r="K61" s="41" t="str">
        <f t="shared" si="26"/>
        <v/>
      </c>
      <c r="L61" s="42" t="str">
        <f t="shared" si="27"/>
        <v/>
      </c>
      <c r="M61" s="41" t="str">
        <f t="shared" si="28"/>
        <v/>
      </c>
      <c r="N61" s="43">
        <f t="shared" si="1"/>
        <v>0</v>
      </c>
      <c r="O61" s="44">
        <f t="shared" si="2"/>
        <v>0</v>
      </c>
      <c r="P61" s="41" t="str">
        <f t="shared" si="3"/>
        <v/>
      </c>
      <c r="Q61" s="41" t="str">
        <f t="shared" si="4"/>
        <v/>
      </c>
      <c r="R61" s="44"/>
      <c r="S61" s="44" t="str">
        <f>IF(I61&lt;&gt;"",_xlfn.XLOOKUP(D$4+I61,A$26:A$145,$C$26:$C$145,0) * 1000,"")</f>
        <v/>
      </c>
      <c r="T61" s="52">
        <f t="shared" si="29"/>
        <v>0</v>
      </c>
      <c r="U61" s="53" t="str">
        <f t="shared" si="15"/>
        <v/>
      </c>
      <c r="V61" s="53" t="str">
        <f t="shared" si="16"/>
        <v/>
      </c>
      <c r="W61" s="53" t="str">
        <f t="shared" si="17"/>
        <v/>
      </c>
      <c r="X61" s="46" t="str">
        <f t="shared" si="5"/>
        <v/>
      </c>
      <c r="Y61" s="54"/>
      <c r="Z61" s="41" t="str">
        <f t="shared" si="18"/>
        <v/>
      </c>
      <c r="AA61" s="41" t="str">
        <f t="shared" si="19"/>
        <v/>
      </c>
      <c r="AB61" s="41" t="str">
        <f t="shared" si="6"/>
        <v/>
      </c>
      <c r="AC61" s="41" t="str">
        <f t="shared" si="7"/>
        <v/>
      </c>
      <c r="AD61" s="54"/>
      <c r="AE61" s="41" t="str">
        <f t="shared" si="8"/>
        <v/>
      </c>
      <c r="AF61" s="41"/>
      <c r="AG61" s="41" t="str">
        <f t="shared" si="9"/>
        <v/>
      </c>
      <c r="AH61" s="41" t="str">
        <f t="shared" si="20"/>
        <v/>
      </c>
      <c r="AI61" s="41" t="str">
        <f t="shared" si="21"/>
        <v/>
      </c>
      <c r="AJ61" s="41">
        <f t="shared" si="10"/>
        <v>0</v>
      </c>
      <c r="AK61" s="41" t="str">
        <f t="shared" si="11"/>
        <v/>
      </c>
      <c r="AL61" s="41">
        <f t="shared" si="22"/>
        <v>0</v>
      </c>
      <c r="AM61" s="41">
        <f t="shared" si="12"/>
        <v>0</v>
      </c>
      <c r="AN61" s="41" t="str">
        <f t="shared" si="13"/>
        <v/>
      </c>
      <c r="AO61" s="41">
        <f t="shared" si="14"/>
        <v>0</v>
      </c>
      <c r="AP61" s="45"/>
      <c r="AQ61" s="45"/>
      <c r="AR61" s="48"/>
      <c r="AS61" s="48"/>
      <c r="AT61" s="51">
        <f t="shared" si="23"/>
        <v>57</v>
      </c>
      <c r="AU61" s="49" t="str">
        <f t="shared" si="24"/>
        <v/>
      </c>
      <c r="AV61" s="49" t="str">
        <f t="shared" si="25"/>
        <v/>
      </c>
      <c r="AW61" s="50">
        <f xml:space="preserve"> IF(ISERROR(ROUND((1000*NPV($AT$1,$AV62:$AV$124)-$AW$1*($AU62+NPV($AT$1,$AU63:$AU$124)))/AU62,3)), 0, ROUND((1000*NPV($AT$1,$AV62:$AV$124)-$AW$1*($AU62+NPV($AT$1,$AU63:$AU$124)))/AU62,3))</f>
        <v>0</v>
      </c>
      <c r="AX61" s="50">
        <f>IF(ISERROR(ROUND(MAX(0,1000*NPV($AT$2,$AV62:$AV$124)-$AW$2*($AU62+NPV($AT$2,$AU63:$AU$124)))/AU62,3)), 0, ROUND(MAX(0,1000*NPV($AT$2,$AV62:$AV$124)-$AW$2*($AU62+NPV($AT$2,$AU63:$AU$124)))/AU62,3))</f>
        <v>0</v>
      </c>
    </row>
    <row r="62" spans="1:50" ht="15" x14ac:dyDescent="0.25">
      <c r="A62">
        <v>37</v>
      </c>
      <c r="B62">
        <v>1.6551642099937899E-3</v>
      </c>
      <c r="C62">
        <f t="shared" si="30"/>
        <v>1.5558543573941624E-3</v>
      </c>
      <c r="D62" s="60"/>
      <c r="E62" s="5"/>
      <c r="F62" s="5"/>
      <c r="I62" s="51"/>
      <c r="J62" s="41"/>
      <c r="K62" s="41" t="str">
        <f t="shared" si="26"/>
        <v/>
      </c>
      <c r="L62" s="42" t="str">
        <f t="shared" si="27"/>
        <v/>
      </c>
      <c r="M62" s="41" t="str">
        <f t="shared" si="28"/>
        <v/>
      </c>
      <c r="N62" s="43">
        <f t="shared" si="1"/>
        <v>0</v>
      </c>
      <c r="O62" s="44">
        <f t="shared" si="2"/>
        <v>0</v>
      </c>
      <c r="P62" s="41" t="str">
        <f t="shared" si="3"/>
        <v/>
      </c>
      <c r="Q62" s="41" t="str">
        <f t="shared" si="4"/>
        <v/>
      </c>
      <c r="R62" s="44"/>
      <c r="S62" s="44" t="str">
        <f>IF(I62&lt;&gt;"",_xlfn.XLOOKUP(D$4+I62,A$26:A$145,$C$26:$C$145,0) * 1000,"")</f>
        <v/>
      </c>
      <c r="T62" s="52">
        <f t="shared" si="29"/>
        <v>0</v>
      </c>
      <c r="U62" s="53" t="str">
        <f t="shared" si="15"/>
        <v/>
      </c>
      <c r="V62" s="53" t="str">
        <f t="shared" si="16"/>
        <v/>
      </c>
      <c r="W62" s="53" t="str">
        <f t="shared" si="17"/>
        <v/>
      </c>
      <c r="X62" s="46" t="str">
        <f t="shared" si="5"/>
        <v/>
      </c>
      <c r="Y62" s="54"/>
      <c r="Z62" s="41" t="str">
        <f t="shared" si="18"/>
        <v/>
      </c>
      <c r="AA62" s="41" t="str">
        <f t="shared" si="19"/>
        <v/>
      </c>
      <c r="AB62" s="41" t="str">
        <f t="shared" si="6"/>
        <v/>
      </c>
      <c r="AC62" s="41" t="str">
        <f t="shared" si="7"/>
        <v/>
      </c>
      <c r="AD62" s="54"/>
      <c r="AE62" s="41" t="str">
        <f t="shared" si="8"/>
        <v/>
      </c>
      <c r="AF62" s="41"/>
      <c r="AG62" s="41" t="str">
        <f t="shared" si="9"/>
        <v/>
      </c>
      <c r="AH62" s="41" t="str">
        <f t="shared" si="20"/>
        <v/>
      </c>
      <c r="AI62" s="41" t="str">
        <f t="shared" si="21"/>
        <v/>
      </c>
      <c r="AJ62" s="41">
        <f t="shared" si="10"/>
        <v>0</v>
      </c>
      <c r="AK62" s="41" t="str">
        <f t="shared" si="11"/>
        <v/>
      </c>
      <c r="AL62" s="41">
        <f t="shared" si="22"/>
        <v>0</v>
      </c>
      <c r="AM62" s="41">
        <f t="shared" si="12"/>
        <v>0</v>
      </c>
      <c r="AN62" s="41" t="str">
        <f t="shared" si="13"/>
        <v/>
      </c>
      <c r="AO62" s="41">
        <f t="shared" si="14"/>
        <v>0</v>
      </c>
      <c r="AP62" s="45"/>
      <c r="AQ62" s="45"/>
      <c r="AR62" s="48"/>
      <c r="AS62" s="48"/>
      <c r="AT62" s="51">
        <f t="shared" si="23"/>
        <v>58</v>
      </c>
      <c r="AU62" s="49" t="str">
        <f t="shared" si="24"/>
        <v/>
      </c>
      <c r="AV62" s="49" t="str">
        <f t="shared" si="25"/>
        <v/>
      </c>
      <c r="AW62" s="50">
        <f xml:space="preserve"> IF(ISERROR(ROUND((1000*NPV($AT$1,$AV63:$AV$124)-$AW$1*($AU63+NPV($AT$1,$AU64:$AU$124)))/AU63,3)), 0, ROUND((1000*NPV($AT$1,$AV63:$AV$124)-$AW$1*($AU63+NPV($AT$1,$AU64:$AU$124)))/AU63,3))</f>
        <v>0</v>
      </c>
      <c r="AX62" s="50">
        <f>IF(ISERROR(ROUND(MAX(0,1000*NPV($AT$2,$AV63:$AV$124)-$AW$2*($AU63+NPV($AT$2,$AU64:$AU$124)))/AU63,3)), 0, ROUND(MAX(0,1000*NPV($AT$2,$AV63:$AV$124)-$AW$2*($AU63+NPV($AT$2,$AU64:$AU$124)))/AU63,3))</f>
        <v>0</v>
      </c>
    </row>
    <row r="63" spans="1:50" ht="15" x14ac:dyDescent="0.25">
      <c r="A63">
        <v>38</v>
      </c>
      <c r="B63">
        <v>1.81023332466046E-3</v>
      </c>
      <c r="C63">
        <f t="shared" si="30"/>
        <v>1.7016193251808323E-3</v>
      </c>
      <c r="D63" s="60"/>
      <c r="E63" s="5"/>
      <c r="F63" s="5"/>
      <c r="I63" s="51"/>
      <c r="J63" s="41"/>
      <c r="K63" s="41" t="str">
        <f t="shared" si="26"/>
        <v/>
      </c>
      <c r="L63" s="42" t="str">
        <f t="shared" si="27"/>
        <v/>
      </c>
      <c r="M63" s="41" t="str">
        <f t="shared" si="28"/>
        <v/>
      </c>
      <c r="N63" s="43">
        <f t="shared" si="1"/>
        <v>0</v>
      </c>
      <c r="O63" s="44">
        <f t="shared" si="2"/>
        <v>0</v>
      </c>
      <c r="P63" s="41" t="str">
        <f t="shared" si="3"/>
        <v/>
      </c>
      <c r="Q63" s="41" t="str">
        <f t="shared" si="4"/>
        <v/>
      </c>
      <c r="R63" s="44"/>
      <c r="S63" s="44" t="str">
        <f>IF(I63&lt;&gt;"",_xlfn.XLOOKUP(D$4+I63,A$26:A$145,$C$26:$C$145,0) * 1000,"")</f>
        <v/>
      </c>
      <c r="T63" s="52">
        <f t="shared" si="29"/>
        <v>0</v>
      </c>
      <c r="U63" s="53" t="str">
        <f t="shared" si="15"/>
        <v/>
      </c>
      <c r="V63" s="53" t="str">
        <f t="shared" si="16"/>
        <v/>
      </c>
      <c r="W63" s="53" t="str">
        <f t="shared" si="17"/>
        <v/>
      </c>
      <c r="X63" s="46" t="str">
        <f t="shared" si="5"/>
        <v/>
      </c>
      <c r="Y63" s="54"/>
      <c r="Z63" s="41" t="str">
        <f t="shared" si="18"/>
        <v/>
      </c>
      <c r="AA63" s="41" t="str">
        <f t="shared" si="19"/>
        <v/>
      </c>
      <c r="AB63" s="41" t="str">
        <f t="shared" si="6"/>
        <v/>
      </c>
      <c r="AC63" s="41" t="str">
        <f t="shared" si="7"/>
        <v/>
      </c>
      <c r="AD63" s="54"/>
      <c r="AE63" s="41" t="str">
        <f t="shared" si="8"/>
        <v/>
      </c>
      <c r="AF63" s="41"/>
      <c r="AG63" s="41" t="str">
        <f t="shared" si="9"/>
        <v/>
      </c>
      <c r="AH63" s="41" t="str">
        <f t="shared" si="20"/>
        <v/>
      </c>
      <c r="AI63" s="41" t="str">
        <f t="shared" si="21"/>
        <v/>
      </c>
      <c r="AJ63" s="41">
        <f t="shared" si="10"/>
        <v>0</v>
      </c>
      <c r="AK63" s="41" t="str">
        <f t="shared" si="11"/>
        <v/>
      </c>
      <c r="AL63" s="41">
        <f t="shared" si="22"/>
        <v>0</v>
      </c>
      <c r="AM63" s="41">
        <f t="shared" si="12"/>
        <v>0</v>
      </c>
      <c r="AN63" s="41" t="str">
        <f t="shared" si="13"/>
        <v/>
      </c>
      <c r="AO63" s="41">
        <f t="shared" si="14"/>
        <v>0</v>
      </c>
      <c r="AP63" s="45"/>
      <c r="AQ63" s="45"/>
      <c r="AR63" s="48"/>
      <c r="AS63" s="48"/>
      <c r="AT63" s="51">
        <f t="shared" si="23"/>
        <v>59</v>
      </c>
      <c r="AU63" s="49" t="str">
        <f t="shared" si="24"/>
        <v/>
      </c>
      <c r="AV63" s="49" t="str">
        <f t="shared" si="25"/>
        <v/>
      </c>
      <c r="AW63" s="50">
        <f xml:space="preserve"> IF(ISERROR(ROUND((1000*NPV($AT$1,$AV64:$AV$124)-$AW$1*($AU64+NPV($AT$1,$AU65:$AU$124)))/AU64,3)), 0, ROUND((1000*NPV($AT$1,$AV64:$AV$124)-$AW$1*($AU64+NPV($AT$1,$AU65:$AU$124)))/AU64,3))</f>
        <v>0</v>
      </c>
      <c r="AX63" s="50">
        <f>IF(ISERROR(ROUND(MAX(0,1000*NPV($AT$2,$AV64:$AV$124)-$AW$2*($AU64+NPV($AT$2,$AU65:$AU$124)))/AU64,3)), 0, ROUND(MAX(0,1000*NPV($AT$2,$AV64:$AV$124)-$AW$2*($AU64+NPV($AT$2,$AU65:$AU$124)))/AU64,3))</f>
        <v>0</v>
      </c>
    </row>
    <row r="64" spans="1:50" ht="15" x14ac:dyDescent="0.25">
      <c r="A64">
        <v>39</v>
      </c>
      <c r="B64">
        <v>1.9695319363742798E-3</v>
      </c>
      <c r="C64">
        <f t="shared" si="30"/>
        <v>1.8513600201918229E-3</v>
      </c>
      <c r="D64" s="60"/>
      <c r="E64" s="5"/>
      <c r="F64" s="5"/>
      <c r="I64" s="51"/>
      <c r="J64" s="41"/>
      <c r="K64" s="41" t="str">
        <f t="shared" si="26"/>
        <v/>
      </c>
      <c r="L64" s="42" t="str">
        <f t="shared" si="27"/>
        <v/>
      </c>
      <c r="M64" s="41" t="str">
        <f t="shared" si="28"/>
        <v/>
      </c>
      <c r="N64" s="43">
        <f t="shared" si="1"/>
        <v>0</v>
      </c>
      <c r="O64" s="44">
        <f t="shared" si="2"/>
        <v>0</v>
      </c>
      <c r="P64" s="41" t="str">
        <f t="shared" si="3"/>
        <v/>
      </c>
      <c r="Q64" s="41" t="str">
        <f t="shared" si="4"/>
        <v/>
      </c>
      <c r="R64" s="44"/>
      <c r="S64" s="44" t="str">
        <f>IF(I64&lt;&gt;"",_xlfn.XLOOKUP(D$4+I64,A$26:A$145,$C$26:$C$145,0) * 1000,"")</f>
        <v/>
      </c>
      <c r="T64" s="52">
        <f t="shared" si="29"/>
        <v>0</v>
      </c>
      <c r="U64" s="53" t="str">
        <f t="shared" si="15"/>
        <v/>
      </c>
      <c r="V64" s="53" t="str">
        <f t="shared" si="16"/>
        <v/>
      </c>
      <c r="W64" s="53" t="str">
        <f t="shared" si="17"/>
        <v/>
      </c>
      <c r="X64" s="46" t="str">
        <f t="shared" si="5"/>
        <v/>
      </c>
      <c r="Y64" s="54"/>
      <c r="Z64" s="41" t="str">
        <f t="shared" si="18"/>
        <v/>
      </c>
      <c r="AA64" s="41" t="str">
        <f t="shared" si="19"/>
        <v/>
      </c>
      <c r="AB64" s="41" t="str">
        <f t="shared" si="6"/>
        <v/>
      </c>
      <c r="AC64" s="41" t="str">
        <f t="shared" si="7"/>
        <v/>
      </c>
      <c r="AD64" s="54"/>
      <c r="AE64" s="41" t="str">
        <f t="shared" si="8"/>
        <v/>
      </c>
      <c r="AF64" s="41"/>
      <c r="AG64" s="41" t="str">
        <f t="shared" si="9"/>
        <v/>
      </c>
      <c r="AH64" s="41" t="str">
        <f t="shared" si="20"/>
        <v/>
      </c>
      <c r="AI64" s="41" t="str">
        <f t="shared" si="21"/>
        <v/>
      </c>
      <c r="AJ64" s="41">
        <f t="shared" si="10"/>
        <v>0</v>
      </c>
      <c r="AK64" s="41" t="str">
        <f t="shared" si="11"/>
        <v/>
      </c>
      <c r="AL64" s="41">
        <f t="shared" si="22"/>
        <v>0</v>
      </c>
      <c r="AM64" s="41">
        <f t="shared" si="12"/>
        <v>0</v>
      </c>
      <c r="AN64" s="41" t="str">
        <f t="shared" si="13"/>
        <v/>
      </c>
      <c r="AO64" s="41">
        <f t="shared" si="14"/>
        <v>0</v>
      </c>
      <c r="AP64" s="45"/>
      <c r="AQ64" s="45"/>
      <c r="AR64" s="48"/>
      <c r="AS64" s="48"/>
      <c r="AT64" s="51">
        <f t="shared" si="23"/>
        <v>60</v>
      </c>
      <c r="AU64" s="49" t="str">
        <f t="shared" si="24"/>
        <v/>
      </c>
      <c r="AV64" s="49" t="str">
        <f t="shared" si="25"/>
        <v/>
      </c>
      <c r="AW64" s="50">
        <f xml:space="preserve"> IF(ISERROR(ROUND((1000*NPV($AT$1,$AV65:$AV$124)-$AW$1*($AU65+NPV($AT$1,$AU66:$AU$124)))/AU65,3)), 0, ROUND((1000*NPV($AT$1,$AV65:$AV$124)-$AW$1*($AU65+NPV($AT$1,$AU66:$AU$124)))/AU65,3))</f>
        <v>0</v>
      </c>
      <c r="AX64" s="50">
        <f>IF(ISERROR(ROUND(MAX(0,1000*NPV($AT$2,$AV65:$AV$124)-$AW$2*($AU65+NPV($AT$2,$AU66:$AU$124)))/AU65,3)), 0, ROUND(MAX(0,1000*NPV($AT$2,$AV65:$AV$124)-$AW$2*($AU65+NPV($AT$2,$AU66:$AU$124)))/AU65,3))</f>
        <v>0</v>
      </c>
    </row>
    <row r="65" spans="1:50" ht="15" x14ac:dyDescent="0.25">
      <c r="A65">
        <v>40</v>
      </c>
      <c r="B65">
        <v>2.1357140330629E-3</v>
      </c>
      <c r="C65">
        <f t="shared" si="30"/>
        <v>2.0075711910791257E-3</v>
      </c>
      <c r="D65" s="60"/>
      <c r="E65" s="5"/>
      <c r="F65" s="5"/>
      <c r="I65" s="51"/>
      <c r="J65" s="41"/>
      <c r="K65" s="41" t="str">
        <f t="shared" si="26"/>
        <v/>
      </c>
      <c r="L65" s="42" t="str">
        <f t="shared" si="27"/>
        <v/>
      </c>
      <c r="M65" s="41" t="str">
        <f t="shared" si="28"/>
        <v/>
      </c>
      <c r="N65" s="43">
        <f t="shared" si="1"/>
        <v>0</v>
      </c>
      <c r="O65" s="44">
        <f t="shared" si="2"/>
        <v>0</v>
      </c>
      <c r="P65" s="41" t="str">
        <f t="shared" si="3"/>
        <v/>
      </c>
      <c r="Q65" s="41" t="str">
        <f t="shared" si="4"/>
        <v/>
      </c>
      <c r="R65" s="44"/>
      <c r="S65" s="44" t="str">
        <f>IF(I65&lt;&gt;"",_xlfn.XLOOKUP(D$4+I65,A$26:A$145,$C$26:$C$145,0) * 1000,"")</f>
        <v/>
      </c>
      <c r="T65" s="52">
        <f t="shared" si="29"/>
        <v>0</v>
      </c>
      <c r="U65" s="53" t="str">
        <f t="shared" si="15"/>
        <v/>
      </c>
      <c r="V65" s="53" t="str">
        <f t="shared" si="16"/>
        <v/>
      </c>
      <c r="W65" s="53" t="str">
        <f t="shared" si="17"/>
        <v/>
      </c>
      <c r="X65" s="46" t="str">
        <f t="shared" si="5"/>
        <v/>
      </c>
      <c r="Y65" s="54"/>
      <c r="Z65" s="41" t="str">
        <f t="shared" si="18"/>
        <v/>
      </c>
      <c r="AA65" s="41" t="str">
        <f t="shared" si="19"/>
        <v/>
      </c>
      <c r="AB65" s="41" t="str">
        <f t="shared" si="6"/>
        <v/>
      </c>
      <c r="AC65" s="41" t="str">
        <f t="shared" si="7"/>
        <v/>
      </c>
      <c r="AD65" s="54"/>
      <c r="AE65" s="41" t="str">
        <f t="shared" si="8"/>
        <v/>
      </c>
      <c r="AF65" s="41"/>
      <c r="AG65" s="41" t="str">
        <f t="shared" si="9"/>
        <v/>
      </c>
      <c r="AH65" s="41" t="str">
        <f t="shared" si="20"/>
        <v/>
      </c>
      <c r="AI65" s="41" t="str">
        <f t="shared" si="21"/>
        <v/>
      </c>
      <c r="AJ65" s="41">
        <f t="shared" si="10"/>
        <v>0</v>
      </c>
      <c r="AK65" s="41" t="str">
        <f t="shared" si="11"/>
        <v/>
      </c>
      <c r="AL65" s="41">
        <f t="shared" si="22"/>
        <v>0</v>
      </c>
      <c r="AM65" s="41">
        <f t="shared" si="12"/>
        <v>0</v>
      </c>
      <c r="AN65" s="41" t="str">
        <f t="shared" si="13"/>
        <v/>
      </c>
      <c r="AO65" s="41">
        <f t="shared" si="14"/>
        <v>0</v>
      </c>
      <c r="AP65" s="45"/>
      <c r="AQ65" s="45"/>
      <c r="AR65" s="48"/>
      <c r="AS65" s="48"/>
      <c r="AT65" s="51">
        <f t="shared" si="23"/>
        <v>61</v>
      </c>
      <c r="AU65" s="49" t="str">
        <f t="shared" si="24"/>
        <v/>
      </c>
      <c r="AV65" s="49" t="str">
        <f t="shared" si="25"/>
        <v/>
      </c>
      <c r="AW65" s="50">
        <f xml:space="preserve"> IF(ISERROR(ROUND((1000*NPV($AT$1,$AV66:$AV$124)-$AW$1*($AU66+NPV($AT$1,$AU67:$AU$124)))/AU66,3)), 0, ROUND((1000*NPV($AT$1,$AV66:$AV$124)-$AW$1*($AU66+NPV($AT$1,$AU67:$AU$124)))/AU66,3))</f>
        <v>0</v>
      </c>
      <c r="AX65" s="50">
        <f>IF(ISERROR(ROUND(MAX(0,1000*NPV($AT$2,$AV66:$AV$124)-$AW$2*($AU66+NPV($AT$2,$AU67:$AU$124)))/AU66,3)), 0, ROUND(MAX(0,1000*NPV($AT$2,$AV66:$AV$124)-$AW$2*($AU66+NPV($AT$2,$AU67:$AU$124)))/AU66,3))</f>
        <v>0</v>
      </c>
    </row>
    <row r="66" spans="1:50" ht="15" x14ac:dyDescent="0.25">
      <c r="A66">
        <v>41</v>
      </c>
      <c r="B66">
        <v>2.3293921088438601E-3</v>
      </c>
      <c r="C66">
        <f t="shared" si="30"/>
        <v>2.1896285823132283E-3</v>
      </c>
      <c r="D66" s="60"/>
      <c r="E66" s="5"/>
      <c r="F66" s="5"/>
      <c r="I66" s="51"/>
      <c r="J66" s="41"/>
      <c r="K66" s="41" t="str">
        <f t="shared" si="26"/>
        <v/>
      </c>
      <c r="L66" s="42" t="str">
        <f t="shared" si="27"/>
        <v/>
      </c>
      <c r="M66" s="41" t="str">
        <f t="shared" si="28"/>
        <v/>
      </c>
      <c r="N66" s="43">
        <f t="shared" si="1"/>
        <v>0</v>
      </c>
      <c r="O66" s="44">
        <f t="shared" si="2"/>
        <v>0</v>
      </c>
      <c r="P66" s="41" t="str">
        <f t="shared" si="3"/>
        <v/>
      </c>
      <c r="Q66" s="41" t="str">
        <f t="shared" si="4"/>
        <v/>
      </c>
      <c r="R66" s="44"/>
      <c r="S66" s="44" t="str">
        <f>IF(I66&lt;&gt;"",_xlfn.XLOOKUP(D$4+I66,A$26:A$145,$C$26:$C$145,0) * 1000,"")</f>
        <v/>
      </c>
      <c r="T66" s="52">
        <f t="shared" si="29"/>
        <v>0</v>
      </c>
      <c r="U66" s="53" t="str">
        <f t="shared" si="15"/>
        <v/>
      </c>
      <c r="V66" s="53" t="str">
        <f t="shared" si="16"/>
        <v/>
      </c>
      <c r="W66" s="53" t="str">
        <f t="shared" si="17"/>
        <v/>
      </c>
      <c r="X66" s="46" t="str">
        <f t="shared" si="5"/>
        <v/>
      </c>
      <c r="Y66" s="54"/>
      <c r="Z66" s="41" t="str">
        <f t="shared" si="18"/>
        <v/>
      </c>
      <c r="AA66" s="41" t="str">
        <f t="shared" si="19"/>
        <v/>
      </c>
      <c r="AB66" s="41" t="str">
        <f t="shared" si="6"/>
        <v/>
      </c>
      <c r="AC66" s="41" t="str">
        <f t="shared" si="7"/>
        <v/>
      </c>
      <c r="AD66" s="54"/>
      <c r="AE66" s="41" t="str">
        <f t="shared" si="8"/>
        <v/>
      </c>
      <c r="AF66" s="41"/>
      <c r="AG66" s="41" t="str">
        <f t="shared" si="9"/>
        <v/>
      </c>
      <c r="AH66" s="41" t="str">
        <f t="shared" si="20"/>
        <v/>
      </c>
      <c r="AI66" s="41" t="str">
        <f t="shared" si="21"/>
        <v/>
      </c>
      <c r="AJ66" s="41">
        <f t="shared" si="10"/>
        <v>0</v>
      </c>
      <c r="AK66" s="41" t="str">
        <f t="shared" si="11"/>
        <v/>
      </c>
      <c r="AL66" s="41">
        <f t="shared" si="22"/>
        <v>0</v>
      </c>
      <c r="AM66" s="41">
        <f t="shared" si="12"/>
        <v>0</v>
      </c>
      <c r="AN66" s="41" t="str">
        <f t="shared" si="13"/>
        <v/>
      </c>
      <c r="AO66" s="41">
        <f t="shared" si="14"/>
        <v>0</v>
      </c>
      <c r="AP66" s="45"/>
      <c r="AQ66" s="45"/>
      <c r="AR66" s="48"/>
      <c r="AS66" s="48"/>
      <c r="AT66" s="51">
        <f t="shared" si="23"/>
        <v>62</v>
      </c>
      <c r="AU66" s="49" t="str">
        <f t="shared" si="24"/>
        <v/>
      </c>
      <c r="AV66" s="49" t="str">
        <f t="shared" si="25"/>
        <v/>
      </c>
      <c r="AW66" s="50">
        <f xml:space="preserve"> IF(ISERROR(ROUND((1000*NPV($AT$1,$AV67:$AV$124)-$AW$1*($AU67+NPV($AT$1,$AU68:$AU$124)))/AU67,3)), 0, ROUND((1000*NPV($AT$1,$AV67:$AV$124)-$AW$1*($AU67+NPV($AT$1,$AU68:$AU$124)))/AU67,3))</f>
        <v>0</v>
      </c>
      <c r="AX66" s="50">
        <f>IF(ISERROR(ROUND(MAX(0,1000*NPV($AT$2,$AV67:$AV$124)-$AW$2*($AU67+NPV($AT$2,$AU68:$AU$124)))/AU67,3)), 0, ROUND(MAX(0,1000*NPV($AT$2,$AV67:$AV$124)-$AW$2*($AU67+NPV($AT$2,$AU68:$AU$124)))/AU67,3))</f>
        <v>0</v>
      </c>
    </row>
    <row r="67" spans="1:50" ht="15" x14ac:dyDescent="0.25">
      <c r="A67">
        <v>42</v>
      </c>
      <c r="B67">
        <v>2.5216556729444899E-3</v>
      </c>
      <c r="C67">
        <f t="shared" si="30"/>
        <v>2.3703563325678202E-3</v>
      </c>
      <c r="D67" s="60"/>
      <c r="E67" s="5"/>
      <c r="F67" s="5"/>
      <c r="I67" s="51"/>
      <c r="J67" s="41"/>
      <c r="K67" s="41" t="str">
        <f t="shared" si="26"/>
        <v/>
      </c>
      <c r="L67" s="42" t="str">
        <f t="shared" si="27"/>
        <v/>
      </c>
      <c r="M67" s="41" t="str">
        <f t="shared" si="28"/>
        <v/>
      </c>
      <c r="N67" s="43">
        <f t="shared" si="1"/>
        <v>0</v>
      </c>
      <c r="O67" s="44">
        <f t="shared" si="2"/>
        <v>0</v>
      </c>
      <c r="P67" s="41" t="str">
        <f t="shared" si="3"/>
        <v/>
      </c>
      <c r="Q67" s="41" t="str">
        <f t="shared" si="4"/>
        <v/>
      </c>
      <c r="R67" s="44"/>
      <c r="S67" s="44" t="str">
        <f>IF(I67&lt;&gt;"",_xlfn.XLOOKUP(D$4+I67,A$26:A$145,$C$26:$C$145,0) * 1000,"")</f>
        <v/>
      </c>
      <c r="T67" s="52">
        <f t="shared" si="29"/>
        <v>0</v>
      </c>
      <c r="U67" s="53" t="str">
        <f t="shared" si="15"/>
        <v/>
      </c>
      <c r="V67" s="53" t="str">
        <f t="shared" si="16"/>
        <v/>
      </c>
      <c r="W67" s="53" t="str">
        <f t="shared" si="17"/>
        <v/>
      </c>
      <c r="X67" s="46" t="str">
        <f t="shared" si="5"/>
        <v/>
      </c>
      <c r="Y67" s="54"/>
      <c r="Z67" s="41" t="str">
        <f t="shared" si="18"/>
        <v/>
      </c>
      <c r="AA67" s="41" t="str">
        <f t="shared" si="19"/>
        <v/>
      </c>
      <c r="AB67" s="41" t="str">
        <f t="shared" si="6"/>
        <v/>
      </c>
      <c r="AC67" s="41" t="str">
        <f t="shared" si="7"/>
        <v/>
      </c>
      <c r="AD67" s="54"/>
      <c r="AE67" s="41" t="str">
        <f t="shared" si="8"/>
        <v/>
      </c>
      <c r="AF67" s="41"/>
      <c r="AG67" s="41" t="str">
        <f t="shared" si="9"/>
        <v/>
      </c>
      <c r="AH67" s="41" t="str">
        <f t="shared" si="20"/>
        <v/>
      </c>
      <c r="AI67" s="41" t="str">
        <f t="shared" si="21"/>
        <v/>
      </c>
      <c r="AJ67" s="41">
        <f t="shared" si="10"/>
        <v>0</v>
      </c>
      <c r="AK67" s="41" t="str">
        <f t="shared" si="11"/>
        <v/>
      </c>
      <c r="AL67" s="41">
        <f t="shared" si="22"/>
        <v>0</v>
      </c>
      <c r="AM67" s="41">
        <f t="shared" si="12"/>
        <v>0</v>
      </c>
      <c r="AN67" s="41" t="str">
        <f t="shared" si="13"/>
        <v/>
      </c>
      <c r="AO67" s="41">
        <f t="shared" si="14"/>
        <v>0</v>
      </c>
      <c r="AP67" s="45"/>
      <c r="AQ67" s="45"/>
      <c r="AR67" s="48"/>
      <c r="AS67" s="48"/>
      <c r="AT67" s="51">
        <f t="shared" si="23"/>
        <v>63</v>
      </c>
      <c r="AU67" s="49" t="str">
        <f t="shared" si="24"/>
        <v/>
      </c>
      <c r="AV67" s="49" t="str">
        <f t="shared" si="25"/>
        <v/>
      </c>
      <c r="AW67" s="50">
        <f xml:space="preserve"> IF(ISERROR(ROUND((1000*NPV($AT$1,$AV68:$AV$124)-$AW$1*($AU68+NPV($AT$1,$AU69:$AU$124)))/AU68,3)), 0, ROUND((1000*NPV($AT$1,$AV68:$AV$124)-$AW$1*($AU68+NPV($AT$1,$AU69:$AU$124)))/AU68,3))</f>
        <v>0</v>
      </c>
      <c r="AX67" s="50">
        <f>IF(ISERROR(ROUND(MAX(0,1000*NPV($AT$2,$AV68:$AV$124)-$AW$2*($AU68+NPV($AT$2,$AU69:$AU$124)))/AU68,3)), 0, ROUND(MAX(0,1000*NPV($AT$2,$AV68:$AV$124)-$AW$2*($AU68+NPV($AT$2,$AU69:$AU$124)))/AU68,3))</f>
        <v>0</v>
      </c>
    </row>
    <row r="68" spans="1:50" ht="15" x14ac:dyDescent="0.25">
      <c r="A68">
        <v>43</v>
      </c>
      <c r="B68">
        <v>2.7409038679577801E-3</v>
      </c>
      <c r="C68">
        <f t="shared" si="30"/>
        <v>2.576449635880313E-3</v>
      </c>
      <c r="D68" s="60"/>
      <c r="E68" s="5"/>
      <c r="F68" s="5"/>
      <c r="I68" s="51"/>
      <c r="J68" s="41"/>
      <c r="K68" s="41" t="str">
        <f t="shared" si="26"/>
        <v/>
      </c>
      <c r="L68" s="42" t="str">
        <f t="shared" si="27"/>
        <v/>
      </c>
      <c r="M68" s="41" t="str">
        <f t="shared" si="28"/>
        <v/>
      </c>
      <c r="N68" s="43">
        <f t="shared" si="1"/>
        <v>0</v>
      </c>
      <c r="O68" s="44">
        <f t="shared" si="2"/>
        <v>0</v>
      </c>
      <c r="P68" s="41" t="str">
        <f t="shared" si="3"/>
        <v/>
      </c>
      <c r="Q68" s="41" t="str">
        <f t="shared" si="4"/>
        <v/>
      </c>
      <c r="R68" s="44"/>
      <c r="S68" s="44" t="str">
        <f>IF(I68&lt;&gt;"",_xlfn.XLOOKUP(D$4+I68,A$26:A$145,$C$26:$C$145,0) * 1000,"")</f>
        <v/>
      </c>
      <c r="T68" s="52">
        <f t="shared" si="29"/>
        <v>0</v>
      </c>
      <c r="U68" s="53" t="str">
        <f t="shared" si="15"/>
        <v/>
      </c>
      <c r="V68" s="53" t="str">
        <f t="shared" si="16"/>
        <v/>
      </c>
      <c r="W68" s="53" t="str">
        <f t="shared" si="17"/>
        <v/>
      </c>
      <c r="X68" s="46" t="str">
        <f t="shared" si="5"/>
        <v/>
      </c>
      <c r="Y68" s="54"/>
      <c r="Z68" s="41" t="str">
        <f t="shared" si="18"/>
        <v/>
      </c>
      <c r="AA68" s="41" t="str">
        <f t="shared" si="19"/>
        <v/>
      </c>
      <c r="AB68" s="41" t="str">
        <f t="shared" si="6"/>
        <v/>
      </c>
      <c r="AC68" s="41" t="str">
        <f t="shared" si="7"/>
        <v/>
      </c>
      <c r="AD68" s="54"/>
      <c r="AE68" s="41" t="str">
        <f t="shared" si="8"/>
        <v/>
      </c>
      <c r="AF68" s="41"/>
      <c r="AG68" s="41" t="str">
        <f t="shared" si="9"/>
        <v/>
      </c>
      <c r="AH68" s="41" t="str">
        <f t="shared" si="20"/>
        <v/>
      </c>
      <c r="AI68" s="41" t="str">
        <f t="shared" si="21"/>
        <v/>
      </c>
      <c r="AJ68" s="41">
        <f t="shared" si="10"/>
        <v>0</v>
      </c>
      <c r="AK68" s="41" t="str">
        <f t="shared" si="11"/>
        <v/>
      </c>
      <c r="AL68" s="41">
        <f t="shared" si="22"/>
        <v>0</v>
      </c>
      <c r="AM68" s="41">
        <f t="shared" si="12"/>
        <v>0</v>
      </c>
      <c r="AN68" s="41" t="str">
        <f t="shared" si="13"/>
        <v/>
      </c>
      <c r="AO68" s="41">
        <f t="shared" si="14"/>
        <v>0</v>
      </c>
      <c r="AP68" s="45"/>
      <c r="AQ68" s="45"/>
      <c r="AR68" s="48"/>
      <c r="AS68" s="48"/>
      <c r="AT68" s="51">
        <f t="shared" si="23"/>
        <v>64</v>
      </c>
      <c r="AU68" s="49" t="str">
        <f t="shared" si="24"/>
        <v/>
      </c>
      <c r="AV68" s="49" t="str">
        <f t="shared" si="25"/>
        <v/>
      </c>
      <c r="AW68" s="50">
        <f xml:space="preserve"> IF(ISERROR(ROUND((1000*NPV($AT$1,$AV69:$AV$124)-$AW$1*($AU69+NPV($AT$1,$AU70:$AU$124)))/AU69,3)), 0, ROUND((1000*NPV($AT$1,$AV69:$AV$124)-$AW$1*($AU69+NPV($AT$1,$AU70:$AU$124)))/AU69,3))</f>
        <v>0</v>
      </c>
      <c r="AX68" s="50">
        <f>IF(ISERROR(ROUND(MAX(0,1000*NPV($AT$2,$AV69:$AV$124)-$AW$2*($AU69+NPV($AT$2,$AU70:$AU$124)))/AU69,3)), 0, ROUND(MAX(0,1000*NPV($AT$2,$AV69:$AV$124)-$AW$2*($AU69+NPV($AT$2,$AU70:$AU$124)))/AU69,3))</f>
        <v>0</v>
      </c>
    </row>
    <row r="69" spans="1:50" ht="15" x14ac:dyDescent="0.25">
      <c r="A69">
        <v>44</v>
      </c>
      <c r="B69">
        <v>2.9769287789749299E-3</v>
      </c>
      <c r="C69">
        <f t="shared" si="30"/>
        <v>2.7983130522364341E-3</v>
      </c>
      <c r="D69" s="60"/>
      <c r="E69" s="5"/>
      <c r="F69" s="5"/>
      <c r="I69" s="51"/>
      <c r="J69" s="41"/>
      <c r="K69" s="41" t="str">
        <f t="shared" si="26"/>
        <v/>
      </c>
      <c r="L69" s="42" t="str">
        <f t="shared" si="27"/>
        <v/>
      </c>
      <c r="M69" s="41" t="str">
        <f t="shared" si="28"/>
        <v/>
      </c>
      <c r="N69" s="43">
        <f t="shared" ref="N69:N123" si="31">AX69</f>
        <v>0</v>
      </c>
      <c r="O69" s="44">
        <f t="shared" ref="O69:O123" si="32">AW69</f>
        <v>0</v>
      </c>
      <c r="P69" s="41" t="str">
        <f t="shared" ref="P69:P124" si="33">IF(I69&lt;&gt;"", M69*N69/1000, "")</f>
        <v/>
      </c>
      <c r="Q69" s="41" t="str">
        <f t="shared" ref="Q69:Q124" si="34">IF(I69&lt;&gt;"", M69*O69/1000, "")</f>
        <v/>
      </c>
      <c r="R69" s="44"/>
      <c r="S69" s="44" t="str">
        <f>IF(I69&lt;&gt;"",_xlfn.XLOOKUP(D$4+I69,A$26:A$145,$C$26:$C$145,0) * 1000,"")</f>
        <v/>
      </c>
      <c r="T69" s="52">
        <f t="shared" si="29"/>
        <v>0</v>
      </c>
      <c r="U69" s="53" t="str">
        <f t="shared" si="15"/>
        <v/>
      </c>
      <c r="V69" s="53" t="str">
        <f t="shared" si="16"/>
        <v/>
      </c>
      <c r="W69" s="53" t="str">
        <f t="shared" si="17"/>
        <v/>
      </c>
      <c r="X69" s="46" t="str">
        <f t="shared" ref="X69:X124" si="35">IF(I69&lt;&gt;"", U69-SUM(V69:W69), "")</f>
        <v/>
      </c>
      <c r="Y69" s="54"/>
      <c r="Z69" s="41" t="str">
        <f t="shared" si="18"/>
        <v/>
      </c>
      <c r="AA69" s="41" t="str">
        <f t="shared" si="19"/>
        <v/>
      </c>
      <c r="AB69" s="41" t="str">
        <f t="shared" ref="AB69:AB124" si="36">IF(I69&lt;&gt;"", Q69*X69, "" )</f>
        <v/>
      </c>
      <c r="AC69" s="41" t="str">
        <f t="shared" ref="AC69:AC124" si="37">IF(I69&lt;&gt;"", $H$14*M69*X69, "")</f>
        <v/>
      </c>
      <c r="AD69" s="54"/>
      <c r="AE69" s="41" t="str">
        <f t="shared" ref="AE69:AE124" si="38">IF(I69&lt;&gt;"", $X69*J69, "")</f>
        <v/>
      </c>
      <c r="AF69" s="41"/>
      <c r="AG69" s="41" t="str">
        <f t="shared" ref="AG69:AG124" si="39">IF(I69&lt;&gt;"", -$X69*L69, "")</f>
        <v/>
      </c>
      <c r="AH69" s="41" t="str">
        <f t="shared" si="20"/>
        <v/>
      </c>
      <c r="AI69" s="41" t="str">
        <f t="shared" si="21"/>
        <v/>
      </c>
      <c r="AJ69" s="41">
        <f t="shared" ref="AJ69:AJ124" si="40">SUM(AE69:AI69)</f>
        <v>0</v>
      </c>
      <c r="AK69" s="41" t="str">
        <f t="shared" ref="AK69:AK124" si="41">IF(I69&lt;&gt;"", Z69-AB69, "")</f>
        <v/>
      </c>
      <c r="AL69" s="41">
        <f t="shared" si="22"/>
        <v>0</v>
      </c>
      <c r="AM69" s="41">
        <f t="shared" ref="AM69:AM124" si="42">SUM(AJ69:AL69)</f>
        <v>0</v>
      </c>
      <c r="AN69" s="41" t="str">
        <f t="shared" ref="AN69:AN124" si="43">IF(I69&lt;&gt;"", AA69-AC69, "")</f>
        <v/>
      </c>
      <c r="AO69" s="41">
        <f t="shared" ref="AO69:AO78" si="44">SUM(AM69:AN69)</f>
        <v>0</v>
      </c>
      <c r="AP69" s="45"/>
      <c r="AQ69" s="45"/>
      <c r="AR69" s="48"/>
      <c r="AS69" s="48"/>
      <c r="AT69" s="51">
        <f t="shared" si="23"/>
        <v>65</v>
      </c>
      <c r="AU69" s="49" t="str">
        <f t="shared" si="24"/>
        <v/>
      </c>
      <c r="AV69" s="49" t="str">
        <f t="shared" si="25"/>
        <v/>
      </c>
      <c r="AW69" s="50">
        <f xml:space="preserve"> IF(ISERROR(ROUND((1000*NPV($AT$1,$AV70:$AV$124)-$AW$1*($AU70+NPV($AT$1,$AU71:$AU$124)))/AU70,3)), 0, ROUND((1000*NPV($AT$1,$AV70:$AV$124)-$AW$1*($AU70+NPV($AT$1,$AU71:$AU$124)))/AU70,3))</f>
        <v>0</v>
      </c>
      <c r="AX69" s="50">
        <f>IF(ISERROR(ROUND(MAX(0,1000*NPV($AT$2,$AV70:$AV$124)-$AW$2*($AU70+NPV($AT$2,$AU71:$AU$124)))/AU70,3)), 0, ROUND(MAX(0,1000*NPV($AT$2,$AV70:$AV$124)-$AW$2*($AU70+NPV($AT$2,$AU71:$AU$124)))/AU70,3))</f>
        <v>0</v>
      </c>
    </row>
    <row r="70" spans="1:50" ht="15" x14ac:dyDescent="0.25">
      <c r="A70">
        <v>45</v>
      </c>
      <c r="B70">
        <v>3.2342348989919901E-3</v>
      </c>
      <c r="C70">
        <f t="shared" si="30"/>
        <v>3.0401808050524704E-3</v>
      </c>
      <c r="D70" s="60"/>
      <c r="E70" s="5"/>
      <c r="F70" s="5"/>
      <c r="I70" s="51"/>
      <c r="J70" s="41"/>
      <c r="K70" s="41" t="str">
        <f t="shared" si="26"/>
        <v/>
      </c>
      <c r="L70" s="42" t="str">
        <f t="shared" si="27"/>
        <v/>
      </c>
      <c r="M70" s="41" t="str">
        <f t="shared" si="28"/>
        <v/>
      </c>
      <c r="N70" s="43">
        <f t="shared" si="31"/>
        <v>0</v>
      </c>
      <c r="O70" s="44">
        <f t="shared" si="32"/>
        <v>0</v>
      </c>
      <c r="P70" s="41" t="str">
        <f t="shared" si="33"/>
        <v/>
      </c>
      <c r="Q70" s="41" t="str">
        <f t="shared" si="34"/>
        <v/>
      </c>
      <c r="R70" s="44"/>
      <c r="S70" s="44" t="str">
        <f>IF(I70&lt;&gt;"",_xlfn.XLOOKUP(D$4+I70,A$26:A$145,$C$26:$C$145,0) * 1000,"")</f>
        <v/>
      </c>
      <c r="T70" s="52">
        <f t="shared" si="29"/>
        <v>0</v>
      </c>
      <c r="U70" s="53" t="str">
        <f t="shared" ref="U70:U124" si="45">IF(I70&lt;&gt;"", X69, "")</f>
        <v/>
      </c>
      <c r="V70" s="53" t="str">
        <f t="shared" ref="V70:V124" si="46">IF(I70&lt;&gt;"", S70*U70/1000, "")</f>
        <v/>
      </c>
      <c r="W70" s="53" t="str">
        <f t="shared" ref="W70:W124" si="47">IF(I70&lt;&gt;"", MIN(T70*U70,U70-V70), "")</f>
        <v/>
      </c>
      <c r="X70" s="46" t="str">
        <f t="shared" si="35"/>
        <v/>
      </c>
      <c r="Y70" s="54"/>
      <c r="Z70" s="41" t="str">
        <f t="shared" ref="Z70:Z124" si="48">IF(I70&lt;&gt;"",AB69,"")</f>
        <v/>
      </c>
      <c r="AA70" s="41" t="str">
        <f t="shared" ref="AA70:AA124" si="49">IF(I70&lt;&gt;"", AC69, "")</f>
        <v/>
      </c>
      <c r="AB70" s="41" t="str">
        <f t="shared" si="36"/>
        <v/>
      </c>
      <c r="AC70" s="41" t="str">
        <f t="shared" si="37"/>
        <v/>
      </c>
      <c r="AD70" s="54"/>
      <c r="AE70" s="41" t="str">
        <f t="shared" si="38"/>
        <v/>
      </c>
      <c r="AF70" s="41"/>
      <c r="AG70" s="41" t="str">
        <f t="shared" si="39"/>
        <v/>
      </c>
      <c r="AH70" s="41" t="str">
        <f t="shared" ref="AH70:AH124" si="50">IF(I70&lt;&gt;"",-M70*V70,"")</f>
        <v/>
      </c>
      <c r="AI70" s="41" t="str">
        <f t="shared" ref="AI70:AI124" si="51">IF(I70 &lt;&gt; "", -P70*W70, "")</f>
        <v/>
      </c>
      <c r="AJ70" s="41">
        <f t="shared" si="40"/>
        <v>0</v>
      </c>
      <c r="AK70" s="41" t="str">
        <f t="shared" si="41"/>
        <v/>
      </c>
      <c r="AL70" s="41">
        <f t="shared" ref="AL70:AL124" si="52">$D$6*SUM(Z70:AA70,AE70:AF70)</f>
        <v>0</v>
      </c>
      <c r="AM70" s="41">
        <f t="shared" si="42"/>
        <v>0</v>
      </c>
      <c r="AN70" s="41" t="str">
        <f t="shared" si="43"/>
        <v/>
      </c>
      <c r="AO70" s="41">
        <f>SUM(AM70:AN70)</f>
        <v>0</v>
      </c>
      <c r="AP70" s="45"/>
      <c r="AQ70" s="45"/>
      <c r="AR70" s="48"/>
      <c r="AS70" s="48"/>
      <c r="AT70" s="51">
        <f t="shared" ref="AT70:AT124" si="53">AT69+1</f>
        <v>66</v>
      </c>
      <c r="AU70" s="49" t="str">
        <f t="shared" ref="AU70:AU124" si="54">IF(I70&lt;&gt;"", AU69-AV69, "")</f>
        <v/>
      </c>
      <c r="AV70" s="49" t="str">
        <f t="shared" ref="AV70:AV124" si="55">IF(I70&lt;&gt;"", S70*AU70/1000, "")</f>
        <v/>
      </c>
      <c r="AW70" s="50">
        <f xml:space="preserve"> IF(ISERROR(ROUND((1000*NPV($AT$1,$AV71:$AV$124)-$AW$1*($AU71+NPV($AT$1,$AU72:$AU$124)))/AU71,3)), 0, ROUND((1000*NPV($AT$1,$AV71:$AV$124)-$AW$1*($AU71+NPV($AT$1,$AU72:$AU$124)))/AU71,3))</f>
        <v>0</v>
      </c>
      <c r="AX70" s="50">
        <f>IF(ISERROR(ROUND(MAX(0,1000*NPV($AT$2,$AV71:$AV$124)-$AW$2*($AU71+NPV($AT$2,$AU72:$AU$124)))/AU71,3)), 0, ROUND(MAX(0,1000*NPV($AT$2,$AV71:$AV$124)-$AW$2*($AU71+NPV($AT$2,$AU72:$AU$124)))/AU71,3))</f>
        <v>0</v>
      </c>
    </row>
    <row r="71" spans="1:50" ht="15" x14ac:dyDescent="0.25">
      <c r="A71">
        <v>46</v>
      </c>
      <c r="B71">
        <v>3.42204336616136E-3</v>
      </c>
      <c r="C71">
        <f t="shared" si="30"/>
        <v>3.216720764191678E-3</v>
      </c>
      <c r="D71" s="60"/>
      <c r="E71" s="5"/>
      <c r="F71" s="5"/>
      <c r="I71" s="51"/>
      <c r="J71" s="41"/>
      <c r="K71" s="41" t="str">
        <f t="shared" ref="K71:K124" si="56">IF(J71&lt;&gt;"",J71*$C$17,"")</f>
        <v/>
      </c>
      <c r="L71" s="42" t="str">
        <f t="shared" ref="L71:L124" si="57">IF(I71&lt;&gt;"",$C$21,"")</f>
        <v/>
      </c>
      <c r="M71" s="41" t="str">
        <f t="shared" ref="M71:M124" si="58">IF(I71&lt;&gt;"",$E$11,"")</f>
        <v/>
      </c>
      <c r="N71" s="43">
        <f t="shared" si="31"/>
        <v>0</v>
      </c>
      <c r="O71" s="44">
        <f t="shared" si="32"/>
        <v>0</v>
      </c>
      <c r="P71" s="41" t="str">
        <f t="shared" si="33"/>
        <v/>
      </c>
      <c r="Q71" s="41" t="str">
        <f t="shared" si="34"/>
        <v/>
      </c>
      <c r="R71" s="44"/>
      <c r="S71" s="44" t="str">
        <f>IF(I71&lt;&gt;"",_xlfn.XLOOKUP(D$4+I71,A$26:A$145,$C$26:$C$145,0) * 1000,"")</f>
        <v/>
      </c>
      <c r="T71" s="52">
        <f t="shared" si="29"/>
        <v>0</v>
      </c>
      <c r="U71" s="53" t="str">
        <f t="shared" si="45"/>
        <v/>
      </c>
      <c r="V71" s="53" t="str">
        <f t="shared" si="46"/>
        <v/>
      </c>
      <c r="W71" s="53" t="str">
        <f t="shared" si="47"/>
        <v/>
      </c>
      <c r="X71" s="46" t="str">
        <f t="shared" si="35"/>
        <v/>
      </c>
      <c r="Y71" s="54"/>
      <c r="Z71" s="41" t="str">
        <f t="shared" si="48"/>
        <v/>
      </c>
      <c r="AA71" s="41" t="str">
        <f t="shared" si="49"/>
        <v/>
      </c>
      <c r="AB71" s="41" t="str">
        <f t="shared" si="36"/>
        <v/>
      </c>
      <c r="AC71" s="41" t="str">
        <f t="shared" si="37"/>
        <v/>
      </c>
      <c r="AD71" s="54"/>
      <c r="AE71" s="41" t="str">
        <f t="shared" si="38"/>
        <v/>
      </c>
      <c r="AF71" s="41"/>
      <c r="AG71" s="41" t="str">
        <f t="shared" si="39"/>
        <v/>
      </c>
      <c r="AH71" s="41" t="str">
        <f t="shared" si="50"/>
        <v/>
      </c>
      <c r="AI71" s="41" t="str">
        <f t="shared" si="51"/>
        <v/>
      </c>
      <c r="AJ71" s="41">
        <f t="shared" si="40"/>
        <v>0</v>
      </c>
      <c r="AK71" s="41" t="str">
        <f t="shared" si="41"/>
        <v/>
      </c>
      <c r="AL71" s="41">
        <f t="shared" si="52"/>
        <v>0</v>
      </c>
      <c r="AM71" s="41">
        <f t="shared" si="42"/>
        <v>0</v>
      </c>
      <c r="AN71" s="41" t="str">
        <f t="shared" si="43"/>
        <v/>
      </c>
      <c r="AO71" s="41">
        <f t="shared" si="44"/>
        <v>0</v>
      </c>
      <c r="AP71" s="45"/>
      <c r="AQ71" s="45"/>
      <c r="AR71" s="48"/>
      <c r="AS71" s="48"/>
      <c r="AT71" s="51">
        <f t="shared" si="53"/>
        <v>67</v>
      </c>
      <c r="AU71" s="49" t="str">
        <f t="shared" si="54"/>
        <v/>
      </c>
      <c r="AV71" s="49" t="str">
        <f t="shared" si="55"/>
        <v/>
      </c>
      <c r="AW71" s="50">
        <f xml:space="preserve"> IF(ISERROR(ROUND((1000*NPV($AT$1,$AV72:$AV$124)-$AW$1*($AU72+NPV($AT$1,$AU73:$AU$124)))/AU72,3)), 0, ROUND((1000*NPV($AT$1,$AV72:$AV$124)-$AW$1*($AU72+NPV($AT$1,$AU73:$AU$124)))/AU72,3))</f>
        <v>0</v>
      </c>
      <c r="AX71" s="50">
        <f>IF(ISERROR(ROUND(MAX(0,1000*NPV($AT$2,$AV72:$AV$124)-$AW$2*($AU72+NPV($AT$2,$AU73:$AU$124)))/AU72,3)), 0, ROUND(MAX(0,1000*NPV($AT$2,$AV72:$AV$124)-$AW$2*($AU72+NPV($AT$2,$AU73:$AU$124)))/AU72,3))</f>
        <v>0</v>
      </c>
    </row>
    <row r="72" spans="1:50" ht="15" x14ac:dyDescent="0.25">
      <c r="A72">
        <v>47</v>
      </c>
      <c r="B72">
        <v>3.7350770317632299E-3</v>
      </c>
      <c r="C72">
        <f t="shared" si="30"/>
        <v>3.510972409857436E-3</v>
      </c>
      <c r="D72" s="60"/>
      <c r="E72" s="5"/>
      <c r="F72" s="5"/>
      <c r="I72" s="51"/>
      <c r="J72" s="41"/>
      <c r="K72" s="41" t="str">
        <f t="shared" si="56"/>
        <v/>
      </c>
      <c r="L72" s="42" t="str">
        <f t="shared" si="57"/>
        <v/>
      </c>
      <c r="M72" s="41" t="str">
        <f t="shared" si="58"/>
        <v/>
      </c>
      <c r="N72" s="43">
        <f>AX72</f>
        <v>0</v>
      </c>
      <c r="O72" s="44">
        <f t="shared" si="32"/>
        <v>0</v>
      </c>
      <c r="P72" s="41" t="str">
        <f t="shared" si="33"/>
        <v/>
      </c>
      <c r="Q72" s="41" t="str">
        <f t="shared" si="34"/>
        <v/>
      </c>
      <c r="R72" s="44"/>
      <c r="S72" s="44" t="str">
        <f>IF(I72&lt;&gt;"",_xlfn.XLOOKUP(D$4+I72,A$26:A$145,$C$26:$C$145,0) * 1000,"")</f>
        <v/>
      </c>
      <c r="T72" s="52">
        <f t="shared" si="29"/>
        <v>0</v>
      </c>
      <c r="U72" s="53" t="str">
        <f t="shared" si="45"/>
        <v/>
      </c>
      <c r="V72" s="53" t="str">
        <f t="shared" si="46"/>
        <v/>
      </c>
      <c r="W72" s="53" t="str">
        <f t="shared" si="47"/>
        <v/>
      </c>
      <c r="X72" s="46" t="str">
        <f t="shared" si="35"/>
        <v/>
      </c>
      <c r="Y72" s="54"/>
      <c r="Z72" s="41" t="str">
        <f t="shared" si="48"/>
        <v/>
      </c>
      <c r="AA72" s="41" t="str">
        <f t="shared" si="49"/>
        <v/>
      </c>
      <c r="AB72" s="41" t="str">
        <f t="shared" si="36"/>
        <v/>
      </c>
      <c r="AC72" s="41" t="str">
        <f t="shared" si="37"/>
        <v/>
      </c>
      <c r="AD72" s="54"/>
      <c r="AE72" s="41" t="str">
        <f t="shared" si="38"/>
        <v/>
      </c>
      <c r="AF72" s="41"/>
      <c r="AG72" s="41" t="str">
        <f t="shared" si="39"/>
        <v/>
      </c>
      <c r="AH72" s="41" t="str">
        <f t="shared" si="50"/>
        <v/>
      </c>
      <c r="AI72" s="41" t="str">
        <f t="shared" si="51"/>
        <v/>
      </c>
      <c r="AJ72" s="41">
        <f t="shared" si="40"/>
        <v>0</v>
      </c>
      <c r="AK72" s="41" t="str">
        <f t="shared" si="41"/>
        <v/>
      </c>
      <c r="AL72" s="41">
        <f t="shared" si="52"/>
        <v>0</v>
      </c>
      <c r="AM72" s="41">
        <f t="shared" si="42"/>
        <v>0</v>
      </c>
      <c r="AN72" s="41" t="str">
        <f t="shared" si="43"/>
        <v/>
      </c>
      <c r="AO72" s="41">
        <f t="shared" si="44"/>
        <v>0</v>
      </c>
      <c r="AP72" s="45"/>
      <c r="AQ72" s="45"/>
      <c r="AR72" s="48"/>
      <c r="AS72" s="48"/>
      <c r="AT72" s="51">
        <f t="shared" si="53"/>
        <v>68</v>
      </c>
      <c r="AU72" s="49" t="str">
        <f t="shared" si="54"/>
        <v/>
      </c>
      <c r="AV72" s="49" t="str">
        <f t="shared" si="55"/>
        <v/>
      </c>
      <c r="AW72" s="50">
        <f xml:space="preserve"> IF(ISERROR(ROUND((1000*NPV($AT$1,$AV73:$AV$124)-$AW$1*($AU73+NPV($AT$1,$AU74:$AU$124)))/AU73,3)), 0, ROUND((1000*NPV($AT$1,$AV73:$AV$124)-$AW$1*($AU73+NPV($AT$1,$AU74:$AU$124)))/AU73,3))</f>
        <v>0</v>
      </c>
      <c r="AX72" s="50">
        <f>IF(ISERROR(ROUND(MAX(0,1000*NPV($AT$2,$AV73:$AV$124)-$AW$2*($AU73+NPV($AT$2,$AU74:$AU$124)))/AU73,3)), 0, ROUND(MAX(0,1000*NPV($AT$2,$AV73:$AV$124)-$AW$2*($AU73+NPV($AT$2,$AU74:$AU$124)))/AU73,3))</f>
        <v>0</v>
      </c>
    </row>
    <row r="73" spans="1:50" ht="15" x14ac:dyDescent="0.25">
      <c r="A73">
        <v>48</v>
      </c>
      <c r="B73">
        <v>4.0948156353121101E-3</v>
      </c>
      <c r="C73">
        <f t="shared" si="30"/>
        <v>3.8491266971933833E-3</v>
      </c>
      <c r="D73" s="60"/>
      <c r="E73" s="5"/>
      <c r="F73" s="5"/>
      <c r="I73" s="51"/>
      <c r="J73" s="41"/>
      <c r="K73" s="41" t="str">
        <f t="shared" si="56"/>
        <v/>
      </c>
      <c r="L73" s="42" t="str">
        <f t="shared" si="57"/>
        <v/>
      </c>
      <c r="M73" s="41" t="str">
        <f t="shared" si="58"/>
        <v/>
      </c>
      <c r="N73" s="43">
        <f t="shared" si="31"/>
        <v>0</v>
      </c>
      <c r="O73" s="44">
        <f t="shared" si="32"/>
        <v>0</v>
      </c>
      <c r="P73" s="41" t="str">
        <f t="shared" si="33"/>
        <v/>
      </c>
      <c r="Q73" s="41" t="str">
        <f t="shared" si="34"/>
        <v/>
      </c>
      <c r="R73" s="44"/>
      <c r="S73" s="44" t="str">
        <f>IF(I73&lt;&gt;"",_xlfn.XLOOKUP(D$4+I73,A$26:A$145,$C$26:$C$145,0) * 1000,"")</f>
        <v/>
      </c>
      <c r="T73" s="52">
        <f t="shared" si="29"/>
        <v>0</v>
      </c>
      <c r="U73" s="53" t="str">
        <f t="shared" si="45"/>
        <v/>
      </c>
      <c r="V73" s="53" t="str">
        <f t="shared" si="46"/>
        <v/>
      </c>
      <c r="W73" s="53" t="str">
        <f t="shared" si="47"/>
        <v/>
      </c>
      <c r="X73" s="46" t="str">
        <f t="shared" si="35"/>
        <v/>
      </c>
      <c r="Y73" s="54"/>
      <c r="Z73" s="41" t="str">
        <f t="shared" si="48"/>
        <v/>
      </c>
      <c r="AA73" s="41" t="str">
        <f t="shared" si="49"/>
        <v/>
      </c>
      <c r="AB73" s="41" t="str">
        <f t="shared" si="36"/>
        <v/>
      </c>
      <c r="AC73" s="41" t="str">
        <f t="shared" si="37"/>
        <v/>
      </c>
      <c r="AD73" s="54"/>
      <c r="AE73" s="41" t="str">
        <f t="shared" si="38"/>
        <v/>
      </c>
      <c r="AF73" s="41"/>
      <c r="AG73" s="41" t="str">
        <f t="shared" si="39"/>
        <v/>
      </c>
      <c r="AH73" s="41" t="str">
        <f t="shared" si="50"/>
        <v/>
      </c>
      <c r="AI73" s="41" t="str">
        <f t="shared" si="51"/>
        <v/>
      </c>
      <c r="AJ73" s="41">
        <f t="shared" si="40"/>
        <v>0</v>
      </c>
      <c r="AK73" s="41" t="str">
        <f t="shared" si="41"/>
        <v/>
      </c>
      <c r="AL73" s="41">
        <f t="shared" si="52"/>
        <v>0</v>
      </c>
      <c r="AM73" s="41">
        <f t="shared" si="42"/>
        <v>0</v>
      </c>
      <c r="AN73" s="41" t="str">
        <f t="shared" si="43"/>
        <v/>
      </c>
      <c r="AO73" s="41">
        <f t="shared" si="44"/>
        <v>0</v>
      </c>
      <c r="AP73" s="45"/>
      <c r="AQ73" s="45"/>
      <c r="AR73" s="48"/>
      <c r="AS73" s="48"/>
      <c r="AT73" s="51">
        <f t="shared" si="53"/>
        <v>69</v>
      </c>
      <c r="AU73" s="49" t="str">
        <f t="shared" si="54"/>
        <v/>
      </c>
      <c r="AV73" s="49" t="str">
        <f t="shared" si="55"/>
        <v/>
      </c>
      <c r="AW73" s="50">
        <f xml:space="preserve"> IF(ISERROR(ROUND((1000*NPV($AT$1,$AV74:$AV$124)-$AW$1*($AU74+NPV($AT$1,$AU75:$AU$124)))/AU74,3)), 0, ROUND((1000*NPV($AT$1,$AV74:$AV$124)-$AW$1*($AU74+NPV($AT$1,$AU75:$AU$124)))/AU74,3))</f>
        <v>0</v>
      </c>
      <c r="AX73" s="50">
        <f>IF(ISERROR(ROUND(MAX(0,1000*NPV($AT$2,$AV74:$AV$124)-$AW$2*($AU74+NPV($AT$2,$AU75:$AU$124)))/AU74,3)), 0, ROUND(MAX(0,1000*NPV($AT$2,$AV74:$AV$124)-$AW$2*($AU74+NPV($AT$2,$AU75:$AU$124)))/AU74,3))</f>
        <v>0</v>
      </c>
    </row>
    <row r="74" spans="1:50" ht="15" x14ac:dyDescent="0.25">
      <c r="A74">
        <v>49</v>
      </c>
      <c r="B74">
        <v>4.47599631895734E-3</v>
      </c>
      <c r="C74">
        <f t="shared" si="30"/>
        <v>4.207436539819899E-3</v>
      </c>
      <c r="D74" s="60"/>
      <c r="E74" s="5"/>
      <c r="F74" s="5"/>
      <c r="I74" s="51"/>
      <c r="J74" s="41"/>
      <c r="K74" s="41" t="str">
        <f t="shared" si="56"/>
        <v/>
      </c>
      <c r="L74" s="42" t="str">
        <f t="shared" si="57"/>
        <v/>
      </c>
      <c r="M74" s="41" t="str">
        <f t="shared" si="58"/>
        <v/>
      </c>
      <c r="N74" s="43">
        <f t="shared" si="31"/>
        <v>0</v>
      </c>
      <c r="O74" s="44">
        <f t="shared" si="32"/>
        <v>0</v>
      </c>
      <c r="P74" s="41" t="str">
        <f t="shared" si="33"/>
        <v/>
      </c>
      <c r="Q74" s="41" t="str">
        <f t="shared" si="34"/>
        <v/>
      </c>
      <c r="R74" s="44"/>
      <c r="S74" s="44" t="str">
        <f>IF(I74&lt;&gt;"",_xlfn.XLOOKUP(D$4+I74,A$26:A$145,$C$26:$C$145,0) * 1000,"")</f>
        <v/>
      </c>
      <c r="T74" s="52">
        <f t="shared" si="29"/>
        <v>0</v>
      </c>
      <c r="U74" s="53" t="str">
        <f t="shared" si="45"/>
        <v/>
      </c>
      <c r="V74" s="53" t="str">
        <f t="shared" si="46"/>
        <v/>
      </c>
      <c r="W74" s="53" t="str">
        <f t="shared" si="47"/>
        <v/>
      </c>
      <c r="X74" s="46" t="str">
        <f t="shared" si="35"/>
        <v/>
      </c>
      <c r="Y74" s="54"/>
      <c r="Z74" s="41" t="str">
        <f t="shared" si="48"/>
        <v/>
      </c>
      <c r="AA74" s="41" t="str">
        <f t="shared" si="49"/>
        <v/>
      </c>
      <c r="AB74" s="41" t="str">
        <f t="shared" si="36"/>
        <v/>
      </c>
      <c r="AC74" s="41" t="str">
        <f t="shared" si="37"/>
        <v/>
      </c>
      <c r="AD74" s="54"/>
      <c r="AE74" s="41" t="str">
        <f t="shared" si="38"/>
        <v/>
      </c>
      <c r="AF74" s="41"/>
      <c r="AG74" s="41" t="str">
        <f t="shared" si="39"/>
        <v/>
      </c>
      <c r="AH74" s="41" t="str">
        <f t="shared" si="50"/>
        <v/>
      </c>
      <c r="AI74" s="41" t="str">
        <f t="shared" si="51"/>
        <v/>
      </c>
      <c r="AJ74" s="41">
        <f t="shared" si="40"/>
        <v>0</v>
      </c>
      <c r="AK74" s="41" t="str">
        <f t="shared" si="41"/>
        <v/>
      </c>
      <c r="AL74" s="41">
        <f t="shared" si="52"/>
        <v>0</v>
      </c>
      <c r="AM74" s="41">
        <f t="shared" si="42"/>
        <v>0</v>
      </c>
      <c r="AN74" s="41" t="str">
        <f t="shared" si="43"/>
        <v/>
      </c>
      <c r="AO74" s="41">
        <f t="shared" si="44"/>
        <v>0</v>
      </c>
      <c r="AP74" s="45"/>
      <c r="AQ74" s="45"/>
      <c r="AR74" s="48"/>
      <c r="AS74" s="48"/>
      <c r="AT74" s="51">
        <f t="shared" si="53"/>
        <v>70</v>
      </c>
      <c r="AU74" s="49" t="str">
        <f t="shared" si="54"/>
        <v/>
      </c>
      <c r="AV74" s="49" t="str">
        <f t="shared" si="55"/>
        <v/>
      </c>
      <c r="AW74" s="50">
        <f xml:space="preserve"> IF(ISERROR(ROUND((1000*NPV($AT$1,$AV75:$AV$124)-$AW$1*($AU75+NPV($AT$1,$AU76:$AU$124)))/AU75,3)), 0, ROUND((1000*NPV($AT$1,$AV75:$AV$124)-$AW$1*($AU75+NPV($AT$1,$AU76:$AU$124)))/AU75,3))</f>
        <v>0</v>
      </c>
      <c r="AX74" s="50">
        <f>IF(ISERROR(ROUND(MAX(0,1000*NPV($AT$2,$AV75:$AV$124)-$AW$2*($AU75+NPV($AT$2,$AU76:$AU$124)))/AU75,3)), 0, ROUND(MAX(0,1000*NPV($AT$2,$AV75:$AV$124)-$AW$2*($AU75+NPV($AT$2,$AU76:$AU$124)))/AU75,3))</f>
        <v>0</v>
      </c>
    </row>
    <row r="75" spans="1:50" ht="15" x14ac:dyDescent="0.25">
      <c r="A75">
        <v>50</v>
      </c>
      <c r="B75">
        <v>4.8936175083202898E-3</v>
      </c>
      <c r="C75">
        <f t="shared" si="30"/>
        <v>4.6000004578210718E-3</v>
      </c>
      <c r="D75" s="60"/>
      <c r="E75" s="5"/>
      <c r="F75" s="5"/>
      <c r="I75" s="51"/>
      <c r="J75" s="41"/>
      <c r="K75" s="41" t="str">
        <f t="shared" si="56"/>
        <v/>
      </c>
      <c r="L75" s="42" t="str">
        <f t="shared" si="57"/>
        <v/>
      </c>
      <c r="M75" s="41" t="str">
        <f t="shared" si="58"/>
        <v/>
      </c>
      <c r="N75" s="43">
        <f t="shared" si="31"/>
        <v>0</v>
      </c>
      <c r="O75" s="44">
        <f t="shared" si="32"/>
        <v>0</v>
      </c>
      <c r="P75" s="41" t="str">
        <f t="shared" si="33"/>
        <v/>
      </c>
      <c r="Q75" s="41" t="str">
        <f t="shared" si="34"/>
        <v/>
      </c>
      <c r="R75" s="44"/>
      <c r="S75" s="44" t="str">
        <f>IF(I75&lt;&gt;"",_xlfn.XLOOKUP(D$4+I75,A$26:A$145,$C$26:$C$145,0) * 1000,"")</f>
        <v/>
      </c>
      <c r="T75" s="52">
        <f t="shared" si="29"/>
        <v>0</v>
      </c>
      <c r="U75" s="53" t="str">
        <f t="shared" si="45"/>
        <v/>
      </c>
      <c r="V75" s="53" t="str">
        <f t="shared" si="46"/>
        <v/>
      </c>
      <c r="W75" s="53" t="str">
        <f t="shared" si="47"/>
        <v/>
      </c>
      <c r="X75" s="46" t="str">
        <f t="shared" si="35"/>
        <v/>
      </c>
      <c r="Y75" s="54"/>
      <c r="Z75" s="41" t="str">
        <f t="shared" si="48"/>
        <v/>
      </c>
      <c r="AA75" s="41" t="str">
        <f t="shared" si="49"/>
        <v/>
      </c>
      <c r="AB75" s="41" t="str">
        <f t="shared" si="36"/>
        <v/>
      </c>
      <c r="AC75" s="41" t="str">
        <f t="shared" si="37"/>
        <v/>
      </c>
      <c r="AD75" s="54"/>
      <c r="AE75" s="41" t="str">
        <f t="shared" si="38"/>
        <v/>
      </c>
      <c r="AF75" s="41"/>
      <c r="AG75" s="41" t="str">
        <f t="shared" si="39"/>
        <v/>
      </c>
      <c r="AH75" s="41" t="str">
        <f t="shared" si="50"/>
        <v/>
      </c>
      <c r="AI75" s="41" t="str">
        <f t="shared" si="51"/>
        <v/>
      </c>
      <c r="AJ75" s="41">
        <f t="shared" si="40"/>
        <v>0</v>
      </c>
      <c r="AK75" s="41" t="str">
        <f t="shared" si="41"/>
        <v/>
      </c>
      <c r="AL75" s="41">
        <f t="shared" si="52"/>
        <v>0</v>
      </c>
      <c r="AM75" s="41">
        <f t="shared" si="42"/>
        <v>0</v>
      </c>
      <c r="AN75" s="41" t="str">
        <f t="shared" si="43"/>
        <v/>
      </c>
      <c r="AO75" s="41">
        <f t="shared" si="44"/>
        <v>0</v>
      </c>
      <c r="AP75" s="45"/>
      <c r="AQ75" s="45"/>
      <c r="AR75" s="48"/>
      <c r="AS75" s="48"/>
      <c r="AT75" s="51">
        <f t="shared" si="53"/>
        <v>71</v>
      </c>
      <c r="AU75" s="49" t="str">
        <f t="shared" si="54"/>
        <v/>
      </c>
      <c r="AV75" s="49" t="str">
        <f t="shared" si="55"/>
        <v/>
      </c>
      <c r="AW75" s="50">
        <f xml:space="preserve"> IF(ISERROR(ROUND((1000*NPV($AT$1,$AV76:$AV$124)-$AW$1*($AU76+NPV($AT$1,$AU77:$AU$124)))/AU76,3)), 0, ROUND((1000*NPV($AT$1,$AV76:$AV$124)-$AW$1*($AU76+NPV($AT$1,$AU77:$AU$124)))/AU76,3))</f>
        <v>0</v>
      </c>
      <c r="AX75" s="50">
        <f>IF(ISERROR(ROUND(MAX(0,1000*NPV($AT$2,$AV76:$AV$124)-$AW$2*($AU76+NPV($AT$2,$AU77:$AU$124)))/AU76,3)), 0, ROUND(MAX(0,1000*NPV($AT$2,$AV76:$AV$124)-$AW$2*($AU76+NPV($AT$2,$AU77:$AU$124)))/AU76,3))</f>
        <v>0</v>
      </c>
    </row>
    <row r="76" spans="1:50" ht="15" x14ac:dyDescent="0.25">
      <c r="A76">
        <v>51</v>
      </c>
      <c r="B76">
        <v>5.3411896860906501E-3</v>
      </c>
      <c r="C76">
        <f t="shared" si="30"/>
        <v>5.0207183049252105E-3</v>
      </c>
      <c r="D76" s="60"/>
      <c r="E76" s="5"/>
      <c r="F76" s="5"/>
      <c r="I76" s="51"/>
      <c r="J76" s="41"/>
      <c r="K76" s="41" t="str">
        <f t="shared" si="56"/>
        <v/>
      </c>
      <c r="L76" s="42" t="str">
        <f t="shared" si="57"/>
        <v/>
      </c>
      <c r="M76" s="41" t="str">
        <f t="shared" si="58"/>
        <v/>
      </c>
      <c r="N76" s="43">
        <f t="shared" si="31"/>
        <v>0</v>
      </c>
      <c r="O76" s="44">
        <f t="shared" si="32"/>
        <v>0</v>
      </c>
      <c r="P76" s="41" t="str">
        <f t="shared" si="33"/>
        <v/>
      </c>
      <c r="Q76" s="41" t="str">
        <f t="shared" si="34"/>
        <v/>
      </c>
      <c r="R76" s="44"/>
      <c r="S76" s="44" t="str">
        <f>IF(I76&lt;&gt;"",_xlfn.XLOOKUP(D$4+I76,A$26:A$145,$C$26:$C$145,0) * 1000,"")</f>
        <v/>
      </c>
      <c r="T76" s="52">
        <f t="shared" si="29"/>
        <v>0</v>
      </c>
      <c r="U76" s="53" t="str">
        <f t="shared" si="45"/>
        <v/>
      </c>
      <c r="V76" s="53" t="str">
        <f t="shared" si="46"/>
        <v/>
      </c>
      <c r="W76" s="53" t="str">
        <f t="shared" si="47"/>
        <v/>
      </c>
      <c r="X76" s="46" t="str">
        <f t="shared" si="35"/>
        <v/>
      </c>
      <c r="Y76" s="54"/>
      <c r="Z76" s="41" t="str">
        <f t="shared" si="48"/>
        <v/>
      </c>
      <c r="AA76" s="41" t="str">
        <f t="shared" si="49"/>
        <v/>
      </c>
      <c r="AB76" s="41" t="str">
        <f t="shared" si="36"/>
        <v/>
      </c>
      <c r="AC76" s="41" t="str">
        <f t="shared" si="37"/>
        <v/>
      </c>
      <c r="AD76" s="54"/>
      <c r="AE76" s="41" t="str">
        <f t="shared" si="38"/>
        <v/>
      </c>
      <c r="AF76" s="41"/>
      <c r="AG76" s="41" t="str">
        <f t="shared" si="39"/>
        <v/>
      </c>
      <c r="AH76" s="41" t="str">
        <f t="shared" si="50"/>
        <v/>
      </c>
      <c r="AI76" s="41" t="str">
        <f t="shared" si="51"/>
        <v/>
      </c>
      <c r="AJ76" s="41">
        <f t="shared" si="40"/>
        <v>0</v>
      </c>
      <c r="AK76" s="41" t="str">
        <f t="shared" si="41"/>
        <v/>
      </c>
      <c r="AL76" s="41">
        <f t="shared" si="52"/>
        <v>0</v>
      </c>
      <c r="AM76" s="41">
        <f t="shared" si="42"/>
        <v>0</v>
      </c>
      <c r="AN76" s="41" t="str">
        <f t="shared" si="43"/>
        <v/>
      </c>
      <c r="AO76" s="41">
        <f t="shared" si="44"/>
        <v>0</v>
      </c>
      <c r="AP76" s="45"/>
      <c r="AQ76" s="45"/>
      <c r="AR76" s="48"/>
      <c r="AS76" s="48"/>
      <c r="AT76" s="51">
        <f t="shared" si="53"/>
        <v>72</v>
      </c>
      <c r="AU76" s="49" t="str">
        <f t="shared" si="54"/>
        <v/>
      </c>
      <c r="AV76" s="49" t="str">
        <f t="shared" si="55"/>
        <v/>
      </c>
      <c r="AW76" s="50">
        <f xml:space="preserve"> IF(ISERROR(ROUND((1000*NPV($AT$1,$AV77:$AV$124)-$AW$1*($AU77+NPV($AT$1,$AU78:$AU$124)))/AU77,3)), 0, ROUND((1000*NPV($AT$1,$AV77:$AV$124)-$AW$1*($AU77+NPV($AT$1,$AU78:$AU$124)))/AU77,3))</f>
        <v>0</v>
      </c>
      <c r="AX76" s="50">
        <f>IF(ISERROR(ROUND(MAX(0,1000*NPV($AT$2,$AV77:$AV$124)-$AW$2*($AU77+NPV($AT$2,$AU78:$AU$124)))/AU77,3)), 0, ROUND(MAX(0,1000*NPV($AT$2,$AV77:$AV$124)-$AW$2*($AU77+NPV($AT$2,$AU78:$AU$124)))/AU77,3))</f>
        <v>0</v>
      </c>
    </row>
    <row r="77" spans="1:50" ht="15" x14ac:dyDescent="0.25">
      <c r="A77">
        <v>52</v>
      </c>
      <c r="B77">
        <v>5.8563414346521903E-3</v>
      </c>
      <c r="C77">
        <f t="shared" si="30"/>
        <v>5.5049609485730584E-3</v>
      </c>
      <c r="D77" s="60"/>
      <c r="E77" s="5"/>
      <c r="F77" s="5"/>
      <c r="I77" s="51"/>
      <c r="J77" s="41"/>
      <c r="K77" s="41" t="str">
        <f t="shared" si="56"/>
        <v/>
      </c>
      <c r="L77" s="42" t="str">
        <f t="shared" si="57"/>
        <v/>
      </c>
      <c r="M77" s="41" t="str">
        <f t="shared" si="58"/>
        <v/>
      </c>
      <c r="N77" s="43">
        <f t="shared" si="31"/>
        <v>0</v>
      </c>
      <c r="O77" s="44">
        <f t="shared" si="32"/>
        <v>0</v>
      </c>
      <c r="P77" s="41" t="str">
        <f t="shared" si="33"/>
        <v/>
      </c>
      <c r="Q77" s="41" t="str">
        <f t="shared" si="34"/>
        <v/>
      </c>
      <c r="R77" s="44"/>
      <c r="S77" s="44" t="str">
        <f>IF(I77&lt;&gt;"",_xlfn.XLOOKUP(D$4+I77,A$26:A$145,$C$26:$C$145,0) * 1000,"")</f>
        <v/>
      </c>
      <c r="T77" s="52">
        <f t="shared" si="29"/>
        <v>0</v>
      </c>
      <c r="U77" s="53" t="str">
        <f t="shared" si="45"/>
        <v/>
      </c>
      <c r="V77" s="53" t="str">
        <f t="shared" si="46"/>
        <v/>
      </c>
      <c r="W77" s="53" t="str">
        <f t="shared" si="47"/>
        <v/>
      </c>
      <c r="X77" s="46" t="str">
        <f t="shared" si="35"/>
        <v/>
      </c>
      <c r="Y77" s="54"/>
      <c r="Z77" s="41" t="str">
        <f t="shared" si="48"/>
        <v/>
      </c>
      <c r="AA77" s="41" t="str">
        <f t="shared" si="49"/>
        <v/>
      </c>
      <c r="AB77" s="41" t="str">
        <f t="shared" si="36"/>
        <v/>
      </c>
      <c r="AC77" s="41" t="str">
        <f t="shared" si="37"/>
        <v/>
      </c>
      <c r="AD77" s="54"/>
      <c r="AE77" s="41" t="str">
        <f t="shared" si="38"/>
        <v/>
      </c>
      <c r="AF77" s="41"/>
      <c r="AG77" s="41" t="str">
        <f t="shared" si="39"/>
        <v/>
      </c>
      <c r="AH77" s="41" t="str">
        <f t="shared" si="50"/>
        <v/>
      </c>
      <c r="AI77" s="41" t="str">
        <f t="shared" si="51"/>
        <v/>
      </c>
      <c r="AJ77" s="41">
        <f t="shared" si="40"/>
        <v>0</v>
      </c>
      <c r="AK77" s="41" t="str">
        <f t="shared" si="41"/>
        <v/>
      </c>
      <c r="AL77" s="41">
        <f t="shared" si="52"/>
        <v>0</v>
      </c>
      <c r="AM77" s="41">
        <f t="shared" si="42"/>
        <v>0</v>
      </c>
      <c r="AN77" s="41" t="str">
        <f t="shared" si="43"/>
        <v/>
      </c>
      <c r="AO77" s="41">
        <f t="shared" si="44"/>
        <v>0</v>
      </c>
      <c r="AP77" s="45"/>
      <c r="AQ77" s="45"/>
      <c r="AR77" s="48"/>
      <c r="AS77" s="48"/>
      <c r="AT77" s="51">
        <f t="shared" si="53"/>
        <v>73</v>
      </c>
      <c r="AU77" s="49" t="str">
        <f t="shared" si="54"/>
        <v/>
      </c>
      <c r="AV77" s="49" t="str">
        <f t="shared" si="55"/>
        <v/>
      </c>
      <c r="AW77" s="50">
        <f xml:space="preserve"> IF(ISERROR(ROUND((1000*NPV($AT$1,$AV78:$AV$124)-$AW$1*($AU78+NPV($AT$1,$AU79:$AU$124)))/AU78,3)), 0, ROUND((1000*NPV($AT$1,$AV78:$AV$124)-$AW$1*($AU78+NPV($AT$1,$AU79:$AU$124)))/AU78,3))</f>
        <v>0</v>
      </c>
      <c r="AX77" s="50">
        <f>IF(ISERROR(ROUND(MAX(0,1000*NPV($AT$2,$AV78:$AV$124)-$AW$2*($AU78+NPV($AT$2,$AU79:$AU$124)))/AU78,3)), 0, ROUND(MAX(0,1000*NPV($AT$2,$AV78:$AV$124)-$AW$2*($AU78+NPV($AT$2,$AU79:$AU$124)))/AU78,3))</f>
        <v>0</v>
      </c>
    </row>
    <row r="78" spans="1:50" ht="15" x14ac:dyDescent="0.25">
      <c r="A78">
        <v>53</v>
      </c>
      <c r="B78">
        <v>6.4442529312064298E-3</v>
      </c>
      <c r="C78">
        <f t="shared" si="30"/>
        <v>6.0575977553340441E-3</v>
      </c>
      <c r="D78" s="60"/>
      <c r="E78" s="5"/>
      <c r="F78" s="5"/>
      <c r="I78" s="51"/>
      <c r="J78" s="41"/>
      <c r="K78" s="41" t="str">
        <f t="shared" si="56"/>
        <v/>
      </c>
      <c r="L78" s="42" t="str">
        <f t="shared" si="57"/>
        <v/>
      </c>
      <c r="M78" s="41" t="str">
        <f t="shared" si="58"/>
        <v/>
      </c>
      <c r="N78" s="43">
        <f>AX78</f>
        <v>0</v>
      </c>
      <c r="O78" s="44">
        <f t="shared" si="32"/>
        <v>0</v>
      </c>
      <c r="P78" s="41" t="str">
        <f t="shared" si="33"/>
        <v/>
      </c>
      <c r="Q78" s="41" t="str">
        <f t="shared" si="34"/>
        <v/>
      </c>
      <c r="R78" s="44"/>
      <c r="S78" s="44" t="str">
        <f>IF(I78&lt;&gt;"",_xlfn.XLOOKUP(D$4+I78,A$26:A$145,$C$26:$C$145,0) * 1000,"")</f>
        <v/>
      </c>
      <c r="T78" s="52">
        <f t="shared" si="29"/>
        <v>0</v>
      </c>
      <c r="U78" s="53" t="str">
        <f t="shared" si="45"/>
        <v/>
      </c>
      <c r="V78" s="53" t="str">
        <f t="shared" si="46"/>
        <v/>
      </c>
      <c r="W78" s="53" t="str">
        <f t="shared" si="47"/>
        <v/>
      </c>
      <c r="X78" s="46" t="str">
        <f t="shared" si="35"/>
        <v/>
      </c>
      <c r="Y78" s="54"/>
      <c r="Z78" s="41" t="str">
        <f t="shared" si="48"/>
        <v/>
      </c>
      <c r="AA78" s="41" t="str">
        <f t="shared" si="49"/>
        <v/>
      </c>
      <c r="AB78" s="41" t="str">
        <f t="shared" si="36"/>
        <v/>
      </c>
      <c r="AC78" s="41" t="str">
        <f t="shared" si="37"/>
        <v/>
      </c>
      <c r="AD78" s="54"/>
      <c r="AE78" s="41" t="str">
        <f t="shared" si="38"/>
        <v/>
      </c>
      <c r="AF78" s="41"/>
      <c r="AG78" s="41" t="str">
        <f t="shared" si="39"/>
        <v/>
      </c>
      <c r="AH78" s="41" t="str">
        <f t="shared" si="50"/>
        <v/>
      </c>
      <c r="AI78" s="41" t="str">
        <f t="shared" si="51"/>
        <v/>
      </c>
      <c r="AJ78" s="41">
        <f t="shared" si="40"/>
        <v>0</v>
      </c>
      <c r="AK78" s="41" t="str">
        <f t="shared" si="41"/>
        <v/>
      </c>
      <c r="AL78" s="41">
        <f t="shared" si="52"/>
        <v>0</v>
      </c>
      <c r="AM78" s="41">
        <f t="shared" si="42"/>
        <v>0</v>
      </c>
      <c r="AN78" s="41" t="str">
        <f t="shared" si="43"/>
        <v/>
      </c>
      <c r="AO78" s="41">
        <f t="shared" si="44"/>
        <v>0</v>
      </c>
      <c r="AP78" s="45"/>
      <c r="AQ78" s="45"/>
      <c r="AR78" s="48"/>
      <c r="AS78" s="48"/>
      <c r="AT78" s="51">
        <f t="shared" si="53"/>
        <v>74</v>
      </c>
      <c r="AU78" s="49" t="str">
        <f t="shared" si="54"/>
        <v/>
      </c>
      <c r="AV78" s="49" t="str">
        <f t="shared" si="55"/>
        <v/>
      </c>
      <c r="AW78" s="50">
        <f xml:space="preserve"> IF(ISERROR(ROUND((1000*NPV($AT$1,$AV79:$AV$124)-$AW$1*($AU79+NPV($AT$1,$AU80:$AU$124)))/AU79,3)), 0, ROUND((1000*NPV($AT$1,$AV79:$AV$124)-$AW$1*($AU79+NPV($AT$1,$AU80:$AU$124)))/AU79,3))</f>
        <v>0</v>
      </c>
      <c r="AX78" s="50">
        <f>IF(ISERROR(ROUND(MAX(0,1000*NPV($AT$2,$AV79:$AV$124)-$AW$2*($AU79+NPV($AT$2,$AU80:$AU$124)))/AU79,3)), 0, ROUND(MAX(0,1000*NPV($AT$2,$AV79:$AV$124)-$AW$2*($AU79+NPV($AT$2,$AU80:$AU$124)))/AU79,3))</f>
        <v>0</v>
      </c>
    </row>
    <row r="79" spans="1:50" ht="15" x14ac:dyDescent="0.25">
      <c r="A79">
        <v>54</v>
      </c>
      <c r="B79">
        <v>7.0924275140461504E-3</v>
      </c>
      <c r="C79">
        <f t="shared" si="30"/>
        <v>6.6668818632033807E-3</v>
      </c>
      <c r="D79" s="60"/>
      <c r="E79" s="5"/>
      <c r="F79" s="5"/>
      <c r="I79" s="51"/>
      <c r="J79" s="41"/>
      <c r="K79" s="41" t="str">
        <f t="shared" si="56"/>
        <v/>
      </c>
      <c r="L79" s="42" t="str">
        <f t="shared" si="57"/>
        <v/>
      </c>
      <c r="M79" s="41" t="str">
        <f t="shared" si="58"/>
        <v/>
      </c>
      <c r="N79" s="43">
        <f t="shared" si="31"/>
        <v>0</v>
      </c>
      <c r="O79" s="44">
        <f t="shared" si="32"/>
        <v>0</v>
      </c>
      <c r="P79" s="41" t="str">
        <f t="shared" si="33"/>
        <v/>
      </c>
      <c r="Q79" s="41" t="str">
        <f t="shared" si="34"/>
        <v/>
      </c>
      <c r="R79" s="44"/>
      <c r="S79" s="44" t="str">
        <f>IF(I79&lt;&gt;"",_xlfn.XLOOKUP(D$4+I79,A$26:A$145,$C$26:$C$145,0) * 1000,"")</f>
        <v/>
      </c>
      <c r="T79" s="52">
        <f t="shared" si="29"/>
        <v>0</v>
      </c>
      <c r="U79" s="53" t="str">
        <f t="shared" si="45"/>
        <v/>
      </c>
      <c r="V79" s="53" t="str">
        <f t="shared" si="46"/>
        <v/>
      </c>
      <c r="W79" s="53" t="str">
        <f t="shared" si="47"/>
        <v/>
      </c>
      <c r="X79" s="46" t="str">
        <f t="shared" si="35"/>
        <v/>
      </c>
      <c r="Y79" s="54"/>
      <c r="Z79" s="41" t="str">
        <f t="shared" si="48"/>
        <v/>
      </c>
      <c r="AA79" s="41" t="str">
        <f t="shared" si="49"/>
        <v/>
      </c>
      <c r="AB79" s="41" t="str">
        <f t="shared" si="36"/>
        <v/>
      </c>
      <c r="AC79" s="41" t="str">
        <f t="shared" si="37"/>
        <v/>
      </c>
      <c r="AD79" s="54"/>
      <c r="AE79" s="41" t="str">
        <f t="shared" si="38"/>
        <v/>
      </c>
      <c r="AF79" s="41"/>
      <c r="AG79" s="41" t="str">
        <f t="shared" si="39"/>
        <v/>
      </c>
      <c r="AH79" s="41" t="str">
        <f t="shared" si="50"/>
        <v/>
      </c>
      <c r="AI79" s="41" t="str">
        <f t="shared" si="51"/>
        <v/>
      </c>
      <c r="AJ79" s="41">
        <f t="shared" si="40"/>
        <v>0</v>
      </c>
      <c r="AK79" s="41" t="str">
        <f t="shared" si="41"/>
        <v/>
      </c>
      <c r="AL79" s="41">
        <f t="shared" si="52"/>
        <v>0</v>
      </c>
      <c r="AM79" s="41">
        <f t="shared" si="42"/>
        <v>0</v>
      </c>
      <c r="AN79" s="41" t="str">
        <f t="shared" si="43"/>
        <v/>
      </c>
      <c r="AO79" s="41">
        <f>SUM(AM79:AN79)</f>
        <v>0</v>
      </c>
      <c r="AP79" s="45"/>
      <c r="AQ79" s="45"/>
      <c r="AR79" s="48"/>
      <c r="AS79" s="48"/>
      <c r="AT79" s="51">
        <f t="shared" si="53"/>
        <v>75</v>
      </c>
      <c r="AU79" s="49" t="str">
        <f t="shared" si="54"/>
        <v/>
      </c>
      <c r="AV79" s="49" t="str">
        <f t="shared" si="55"/>
        <v/>
      </c>
      <c r="AW79" s="50">
        <f xml:space="preserve"> IF(ISERROR(ROUND((1000*NPV($AT$1,$AV80:$AV$124)-$AW$1*($AU80+NPV($AT$1,$AU81:$AU$124)))/AU80,3)), 0, ROUND((1000*NPV($AT$1,$AV80:$AV$124)-$AW$1*($AU80+NPV($AT$1,$AU81:$AU$124)))/AU80,3))</f>
        <v>0</v>
      </c>
      <c r="AX79" s="50">
        <f>IF(ISERROR(ROUND(MAX(0,1000*NPV($AT$2,$AV80:$AV$124)-$AW$2*($AU80+NPV($AT$2,$AU81:$AU$124)))/AU80,3)), 0, ROUND(MAX(0,1000*NPV($AT$2,$AV80:$AV$124)-$AW$2*($AU80+NPV($AT$2,$AU81:$AU$124)))/AU80,3))</f>
        <v>0</v>
      </c>
    </row>
    <row r="80" spans="1:50" ht="15" x14ac:dyDescent="0.25">
      <c r="A80">
        <v>55</v>
      </c>
      <c r="B80">
        <v>7.83038331374852E-3</v>
      </c>
      <c r="C80">
        <f t="shared" si="30"/>
        <v>7.3605603149236084E-3</v>
      </c>
      <c r="D80" s="60"/>
      <c r="E80" s="5"/>
      <c r="F80" s="5"/>
      <c r="I80" s="51"/>
      <c r="J80" s="41"/>
      <c r="K80" s="41" t="str">
        <f t="shared" si="56"/>
        <v/>
      </c>
      <c r="L80" s="42" t="str">
        <f t="shared" si="57"/>
        <v/>
      </c>
      <c r="M80" s="41" t="str">
        <f t="shared" si="58"/>
        <v/>
      </c>
      <c r="N80" s="43">
        <f t="shared" si="31"/>
        <v>0</v>
      </c>
      <c r="O80" s="44">
        <f t="shared" si="32"/>
        <v>0</v>
      </c>
      <c r="P80" s="41" t="str">
        <f t="shared" si="33"/>
        <v/>
      </c>
      <c r="Q80" s="41" t="str">
        <f t="shared" si="34"/>
        <v/>
      </c>
      <c r="R80" s="45"/>
      <c r="S80" s="44" t="str">
        <f>IF(I80&lt;&gt;"",_xlfn.XLOOKUP(D$4+I80,A$26:A$145,$C$26:$C$145,0) * 1000,"")</f>
        <v/>
      </c>
      <c r="T80" s="52">
        <f t="shared" si="29"/>
        <v>0</v>
      </c>
      <c r="U80" s="53" t="str">
        <f t="shared" si="45"/>
        <v/>
      </c>
      <c r="V80" s="53" t="str">
        <f t="shared" si="46"/>
        <v/>
      </c>
      <c r="W80" s="53" t="str">
        <f t="shared" si="47"/>
        <v/>
      </c>
      <c r="X80" s="46" t="str">
        <f t="shared" si="35"/>
        <v/>
      </c>
      <c r="Y80" s="45"/>
      <c r="Z80" s="41" t="str">
        <f t="shared" si="48"/>
        <v/>
      </c>
      <c r="AA80" s="41" t="str">
        <f t="shared" si="49"/>
        <v/>
      </c>
      <c r="AB80" s="41" t="str">
        <f t="shared" si="36"/>
        <v/>
      </c>
      <c r="AC80" s="41" t="str">
        <f t="shared" si="37"/>
        <v/>
      </c>
      <c r="AD80" s="45"/>
      <c r="AE80" s="41" t="str">
        <f t="shared" si="38"/>
        <v/>
      </c>
      <c r="AF80" s="41"/>
      <c r="AG80" s="41" t="str">
        <f t="shared" si="39"/>
        <v/>
      </c>
      <c r="AH80" s="41" t="str">
        <f t="shared" si="50"/>
        <v/>
      </c>
      <c r="AI80" s="41" t="str">
        <f t="shared" si="51"/>
        <v/>
      </c>
      <c r="AJ80" s="41">
        <f t="shared" si="40"/>
        <v>0</v>
      </c>
      <c r="AK80" s="41" t="str">
        <f t="shared" si="41"/>
        <v/>
      </c>
      <c r="AL80" s="41">
        <f t="shared" si="52"/>
        <v>0</v>
      </c>
      <c r="AM80" s="41">
        <f t="shared" si="42"/>
        <v>0</v>
      </c>
      <c r="AN80" s="41" t="str">
        <f t="shared" si="43"/>
        <v/>
      </c>
      <c r="AO80" s="41">
        <f t="shared" ref="AO80:AO124" si="59">SUM(AM80:AN80)</f>
        <v>0</v>
      </c>
      <c r="AP80" s="45"/>
      <c r="AQ80" s="48"/>
      <c r="AR80" s="48"/>
      <c r="AS80" s="48"/>
      <c r="AT80" s="51">
        <f t="shared" si="53"/>
        <v>76</v>
      </c>
      <c r="AU80" s="49" t="str">
        <f t="shared" si="54"/>
        <v/>
      </c>
      <c r="AV80" s="49" t="str">
        <f t="shared" si="55"/>
        <v/>
      </c>
      <c r="AW80" s="50">
        <f xml:space="preserve"> IF(ISERROR(ROUND((1000*NPV($AT$1,$AV81:$AV$124)-$AW$1*($AU81+NPV($AT$1,$AU82:$AU$124)))/AU81,3)), 0, ROUND((1000*NPV($AT$1,$AV81:$AV$124)-$AW$1*($AU81+NPV($AT$1,$AU82:$AU$124)))/AU81,3))</f>
        <v>0</v>
      </c>
      <c r="AX80" s="50">
        <f>IF(ISERROR(ROUND(MAX(0,1000*NPV($AT$2,$AV81:$AV$124)-$AW$2*($AU81+NPV($AT$2,$AU82:$AU$124)))/AU81,3)), 0, ROUND(MAX(0,1000*NPV($AT$2,$AV81:$AV$124)-$AW$2*($AU81+NPV($AT$2,$AU82:$AU$124)))/AU81,3))</f>
        <v>0</v>
      </c>
    </row>
    <row r="81" spans="1:50" ht="15" x14ac:dyDescent="0.25">
      <c r="A81">
        <v>56</v>
      </c>
      <c r="B81">
        <v>8.2598621689084998E-3</v>
      </c>
      <c r="C81">
        <f t="shared" si="30"/>
        <v>7.7642704387739896E-3</v>
      </c>
      <c r="D81" s="60"/>
      <c r="E81" s="5"/>
      <c r="F81" s="5"/>
      <c r="I81" s="51"/>
      <c r="J81" s="41"/>
      <c r="K81" s="41" t="str">
        <f t="shared" si="56"/>
        <v/>
      </c>
      <c r="L81" s="42" t="str">
        <f t="shared" si="57"/>
        <v/>
      </c>
      <c r="M81" s="41" t="str">
        <f t="shared" si="58"/>
        <v/>
      </c>
      <c r="N81" s="43">
        <f t="shared" si="31"/>
        <v>0</v>
      </c>
      <c r="O81" s="44">
        <f t="shared" si="32"/>
        <v>0</v>
      </c>
      <c r="P81" s="41" t="str">
        <f t="shared" si="33"/>
        <v/>
      </c>
      <c r="Q81" s="41" t="str">
        <f t="shared" si="34"/>
        <v/>
      </c>
      <c r="R81" s="45"/>
      <c r="S81" s="44" t="str">
        <f>IF(I81&lt;&gt;"",_xlfn.XLOOKUP(D$4+I81,A$26:A$145,$C$26:$C$145,0) * 1000,"")</f>
        <v/>
      </c>
      <c r="T81" s="52">
        <f t="shared" ref="T81:T124" si="60">$C$13</f>
        <v>0</v>
      </c>
      <c r="U81" s="53" t="str">
        <f t="shared" si="45"/>
        <v/>
      </c>
      <c r="V81" s="53" t="str">
        <f t="shared" si="46"/>
        <v/>
      </c>
      <c r="W81" s="53" t="str">
        <f t="shared" si="47"/>
        <v/>
      </c>
      <c r="X81" s="46" t="str">
        <f t="shared" si="35"/>
        <v/>
      </c>
      <c r="Y81" s="45"/>
      <c r="Z81" s="41" t="str">
        <f t="shared" si="48"/>
        <v/>
      </c>
      <c r="AA81" s="41" t="str">
        <f t="shared" si="49"/>
        <v/>
      </c>
      <c r="AB81" s="41" t="str">
        <f t="shared" si="36"/>
        <v/>
      </c>
      <c r="AC81" s="41" t="str">
        <f t="shared" si="37"/>
        <v/>
      </c>
      <c r="AD81" s="48"/>
      <c r="AE81" s="41" t="str">
        <f t="shared" si="38"/>
        <v/>
      </c>
      <c r="AF81" s="41"/>
      <c r="AG81" s="41" t="str">
        <f t="shared" si="39"/>
        <v/>
      </c>
      <c r="AH81" s="41" t="str">
        <f t="shared" si="50"/>
        <v/>
      </c>
      <c r="AI81" s="41" t="str">
        <f t="shared" si="51"/>
        <v/>
      </c>
      <c r="AJ81" s="41">
        <f t="shared" si="40"/>
        <v>0</v>
      </c>
      <c r="AK81" s="41" t="str">
        <f t="shared" si="41"/>
        <v/>
      </c>
      <c r="AL81" s="41">
        <f t="shared" si="52"/>
        <v>0</v>
      </c>
      <c r="AM81" s="41">
        <f t="shared" si="42"/>
        <v>0</v>
      </c>
      <c r="AN81" s="41" t="str">
        <f t="shared" si="43"/>
        <v/>
      </c>
      <c r="AO81" s="41">
        <f t="shared" si="59"/>
        <v>0</v>
      </c>
      <c r="AP81" s="45"/>
      <c r="AQ81" s="48"/>
      <c r="AR81" s="48"/>
      <c r="AS81" s="48"/>
      <c r="AT81" s="51">
        <f t="shared" si="53"/>
        <v>77</v>
      </c>
      <c r="AU81" s="49" t="str">
        <f t="shared" si="54"/>
        <v/>
      </c>
      <c r="AV81" s="49" t="str">
        <f t="shared" si="55"/>
        <v/>
      </c>
      <c r="AW81" s="50">
        <f xml:space="preserve"> IF(ISERROR(ROUND((1000*NPV($AT$1,$AV82:$AV$124)-$AW$1*($AU82+NPV($AT$1,$AU83:$AU$124)))/AU82,3)), 0, ROUND((1000*NPV($AT$1,$AV82:$AV$124)-$AW$1*($AU82+NPV($AT$1,$AU83:$AU$124)))/AU82,3))</f>
        <v>0</v>
      </c>
      <c r="AX81" s="50">
        <f>IF(ISERROR(ROUND(MAX(0,1000*NPV($AT$2,$AV82:$AV$124)-$AW$2*($AU82+NPV($AT$2,$AU83:$AU$124)))/AU82,3)), 0, ROUND(MAX(0,1000*NPV($AT$2,$AV82:$AV$124)-$AW$2*($AU82+NPV($AT$2,$AU83:$AU$124)))/AU82,3))</f>
        <v>0</v>
      </c>
    </row>
    <row r="82" spans="1:50" ht="15" x14ac:dyDescent="0.25">
      <c r="A82">
        <v>57</v>
      </c>
      <c r="B82">
        <v>9.0905806376133692E-3</v>
      </c>
      <c r="C82">
        <f t="shared" si="30"/>
        <v>8.5451457993565658E-3</v>
      </c>
      <c r="D82" s="60"/>
      <c r="E82" s="5"/>
      <c r="F82" s="5"/>
      <c r="I82" s="51"/>
      <c r="J82" s="41"/>
      <c r="K82" s="41" t="str">
        <f t="shared" si="56"/>
        <v/>
      </c>
      <c r="L82" s="42" t="str">
        <f t="shared" si="57"/>
        <v/>
      </c>
      <c r="M82" s="41" t="str">
        <f t="shared" si="58"/>
        <v/>
      </c>
      <c r="N82" s="43">
        <f t="shared" si="31"/>
        <v>0</v>
      </c>
      <c r="O82" s="44">
        <f t="shared" si="32"/>
        <v>0</v>
      </c>
      <c r="P82" s="41" t="str">
        <f t="shared" si="33"/>
        <v/>
      </c>
      <c r="Q82" s="41" t="str">
        <f t="shared" si="34"/>
        <v/>
      </c>
      <c r="R82" s="45"/>
      <c r="S82" s="44" t="str">
        <f>IF(I82&lt;&gt;"",_xlfn.XLOOKUP(D$4+I82,A$26:A$145,$C$26:$C$145,0) * 1000,"")</f>
        <v/>
      </c>
      <c r="T82" s="52">
        <f t="shared" si="60"/>
        <v>0</v>
      </c>
      <c r="U82" s="53" t="str">
        <f t="shared" si="45"/>
        <v/>
      </c>
      <c r="V82" s="53" t="str">
        <f t="shared" si="46"/>
        <v/>
      </c>
      <c r="W82" s="53" t="str">
        <f t="shared" si="47"/>
        <v/>
      </c>
      <c r="X82" s="46" t="str">
        <f t="shared" si="35"/>
        <v/>
      </c>
      <c r="Y82" s="45"/>
      <c r="Z82" s="41" t="str">
        <f t="shared" si="48"/>
        <v/>
      </c>
      <c r="AA82" s="41" t="str">
        <f t="shared" si="49"/>
        <v/>
      </c>
      <c r="AB82" s="41" t="str">
        <f t="shared" si="36"/>
        <v/>
      </c>
      <c r="AC82" s="41" t="str">
        <f t="shared" si="37"/>
        <v/>
      </c>
      <c r="AD82" s="48"/>
      <c r="AE82" s="41" t="str">
        <f t="shared" si="38"/>
        <v/>
      </c>
      <c r="AF82" s="41"/>
      <c r="AG82" s="41" t="str">
        <f t="shared" si="39"/>
        <v/>
      </c>
      <c r="AH82" s="41" t="str">
        <f t="shared" si="50"/>
        <v/>
      </c>
      <c r="AI82" s="41" t="str">
        <f t="shared" si="51"/>
        <v/>
      </c>
      <c r="AJ82" s="41">
        <f t="shared" si="40"/>
        <v>0</v>
      </c>
      <c r="AK82" s="41" t="str">
        <f t="shared" si="41"/>
        <v/>
      </c>
      <c r="AL82" s="41">
        <f t="shared" si="52"/>
        <v>0</v>
      </c>
      <c r="AM82" s="41">
        <f t="shared" si="42"/>
        <v>0</v>
      </c>
      <c r="AN82" s="41" t="str">
        <f t="shared" si="43"/>
        <v/>
      </c>
      <c r="AO82" s="41">
        <f t="shared" si="59"/>
        <v>0</v>
      </c>
      <c r="AP82" s="45"/>
      <c r="AQ82" s="48"/>
      <c r="AR82" s="48"/>
      <c r="AS82" s="48"/>
      <c r="AT82" s="51">
        <f t="shared" si="53"/>
        <v>78</v>
      </c>
      <c r="AU82" s="49" t="str">
        <f t="shared" si="54"/>
        <v/>
      </c>
      <c r="AV82" s="49" t="str">
        <f t="shared" si="55"/>
        <v/>
      </c>
      <c r="AW82" s="50">
        <f xml:space="preserve"> IF(ISERROR(ROUND((1000*NPV($AT$1,$AV83:$AV$124)-$AW$1*($AU83+NPV($AT$1,$AU84:$AU$124)))/AU83,3)), 0, ROUND((1000*NPV($AT$1,$AV83:$AV$124)-$AW$1*($AU83+NPV($AT$1,$AU84:$AU$124)))/AU83,3))</f>
        <v>0</v>
      </c>
      <c r="AX82" s="50">
        <f>IF(ISERROR(ROUND(MAX(0,1000*NPV($AT$2,$AV83:$AV$124)-$AW$2*($AU83+NPV($AT$2,$AU84:$AU$124)))/AU83,3)), 0, ROUND(MAX(0,1000*NPV($AT$2,$AV83:$AV$124)-$AW$2*($AU83+NPV($AT$2,$AU84:$AU$124)))/AU83,3))</f>
        <v>0</v>
      </c>
    </row>
    <row r="83" spans="1:50" ht="15" x14ac:dyDescent="0.25">
      <c r="A83">
        <v>58</v>
      </c>
      <c r="B83">
        <v>9.9790081853315896E-3</v>
      </c>
      <c r="C83">
        <f t="shared" si="30"/>
        <v>9.3802676942116945E-3</v>
      </c>
      <c r="D83" s="60"/>
      <c r="E83" s="5"/>
      <c r="F83" s="5"/>
      <c r="I83" s="51"/>
      <c r="J83" s="41"/>
      <c r="K83" s="41" t="str">
        <f t="shared" si="56"/>
        <v/>
      </c>
      <c r="L83" s="42" t="str">
        <f t="shared" si="57"/>
        <v/>
      </c>
      <c r="M83" s="41" t="str">
        <f t="shared" si="58"/>
        <v/>
      </c>
      <c r="N83" s="43">
        <f t="shared" si="31"/>
        <v>0</v>
      </c>
      <c r="O83" s="44">
        <f t="shared" si="32"/>
        <v>0</v>
      </c>
      <c r="P83" s="41" t="str">
        <f t="shared" si="33"/>
        <v/>
      </c>
      <c r="Q83" s="41" t="str">
        <f t="shared" si="34"/>
        <v/>
      </c>
      <c r="R83" s="45"/>
      <c r="S83" s="44" t="str">
        <f>IF(I83&lt;&gt;"",_xlfn.XLOOKUP(D$4+I83,A$26:A$145,$C$26:$C$145,0) * 1000,"")</f>
        <v/>
      </c>
      <c r="T83" s="52">
        <f t="shared" si="60"/>
        <v>0</v>
      </c>
      <c r="U83" s="53" t="str">
        <f t="shared" si="45"/>
        <v/>
      </c>
      <c r="V83" s="53" t="str">
        <f t="shared" si="46"/>
        <v/>
      </c>
      <c r="W83" s="53" t="str">
        <f t="shared" si="47"/>
        <v/>
      </c>
      <c r="X83" s="46" t="str">
        <f t="shared" si="35"/>
        <v/>
      </c>
      <c r="Y83" s="45"/>
      <c r="Z83" s="41" t="str">
        <f t="shared" si="48"/>
        <v/>
      </c>
      <c r="AA83" s="41" t="str">
        <f t="shared" si="49"/>
        <v/>
      </c>
      <c r="AB83" s="41" t="str">
        <f t="shared" si="36"/>
        <v/>
      </c>
      <c r="AC83" s="41" t="str">
        <f t="shared" si="37"/>
        <v/>
      </c>
      <c r="AD83" s="48"/>
      <c r="AE83" s="41" t="str">
        <f t="shared" si="38"/>
        <v/>
      </c>
      <c r="AF83" s="41"/>
      <c r="AG83" s="41" t="str">
        <f t="shared" si="39"/>
        <v/>
      </c>
      <c r="AH83" s="41" t="str">
        <f t="shared" si="50"/>
        <v/>
      </c>
      <c r="AI83" s="41" t="str">
        <f t="shared" si="51"/>
        <v/>
      </c>
      <c r="AJ83" s="41">
        <f t="shared" si="40"/>
        <v>0</v>
      </c>
      <c r="AK83" s="41" t="str">
        <f t="shared" si="41"/>
        <v/>
      </c>
      <c r="AL83" s="41">
        <f t="shared" si="52"/>
        <v>0</v>
      </c>
      <c r="AM83" s="41">
        <f t="shared" si="42"/>
        <v>0</v>
      </c>
      <c r="AN83" s="41" t="str">
        <f t="shared" si="43"/>
        <v/>
      </c>
      <c r="AO83" s="41">
        <f t="shared" si="59"/>
        <v>0</v>
      </c>
      <c r="AP83" s="45"/>
      <c r="AQ83" s="48"/>
      <c r="AR83" s="48"/>
      <c r="AS83" s="48"/>
      <c r="AT83" s="51">
        <f t="shared" si="53"/>
        <v>79</v>
      </c>
      <c r="AU83" s="49" t="str">
        <f t="shared" si="54"/>
        <v/>
      </c>
      <c r="AV83" s="49" t="str">
        <f t="shared" si="55"/>
        <v/>
      </c>
      <c r="AW83" s="50">
        <f xml:space="preserve"> IF(ISERROR(ROUND((1000*NPV($AT$1,$AV84:$AV$124)-$AW$1*($AU84+NPV($AT$1,$AU85:$AU$124)))/AU84,3)), 0, ROUND((1000*NPV($AT$1,$AV84:$AV$124)-$AW$1*($AU84+NPV($AT$1,$AU85:$AU$124)))/AU84,3))</f>
        <v>0</v>
      </c>
      <c r="AX83" s="50">
        <f>IF(ISERROR(ROUND(MAX(0,1000*NPV($AT$2,$AV84:$AV$124)-$AW$2*($AU84+NPV($AT$2,$AU85:$AU$124)))/AU84,3)), 0, ROUND(MAX(0,1000*NPV($AT$2,$AV84:$AV$124)-$AW$2*($AU84+NPV($AT$2,$AU85:$AU$124)))/AU84,3))</f>
        <v>0</v>
      </c>
    </row>
    <row r="84" spans="1:50" ht="15" x14ac:dyDescent="0.25">
      <c r="A84">
        <v>59</v>
      </c>
      <c r="B84">
        <v>1.0956090102026E-2</v>
      </c>
      <c r="C84">
        <f t="shared" si="30"/>
        <v>1.029872469590444E-2</v>
      </c>
      <c r="D84" s="60"/>
      <c r="E84" s="5"/>
      <c r="F84" s="5"/>
      <c r="I84" s="51"/>
      <c r="J84" s="41"/>
      <c r="K84" s="41" t="str">
        <f t="shared" si="56"/>
        <v/>
      </c>
      <c r="L84" s="42" t="str">
        <f t="shared" si="57"/>
        <v/>
      </c>
      <c r="M84" s="41" t="str">
        <f t="shared" si="58"/>
        <v/>
      </c>
      <c r="N84" s="43">
        <f t="shared" si="31"/>
        <v>0</v>
      </c>
      <c r="O84" s="44">
        <f t="shared" si="32"/>
        <v>0</v>
      </c>
      <c r="P84" s="41" t="str">
        <f t="shared" si="33"/>
        <v/>
      </c>
      <c r="Q84" s="41" t="str">
        <f t="shared" si="34"/>
        <v/>
      </c>
      <c r="R84" s="45"/>
      <c r="S84" s="44" t="str">
        <f>IF(I84&lt;&gt;"",_xlfn.XLOOKUP(D$4+I84,A$26:A$145,$C$26:$C$145,0) * 1000,"")</f>
        <v/>
      </c>
      <c r="T84" s="52">
        <f t="shared" si="60"/>
        <v>0</v>
      </c>
      <c r="U84" s="53" t="str">
        <f t="shared" si="45"/>
        <v/>
      </c>
      <c r="V84" s="53" t="str">
        <f t="shared" si="46"/>
        <v/>
      </c>
      <c r="W84" s="53" t="str">
        <f t="shared" si="47"/>
        <v/>
      </c>
      <c r="X84" s="46" t="str">
        <f t="shared" si="35"/>
        <v/>
      </c>
      <c r="Y84" s="45"/>
      <c r="Z84" s="41" t="str">
        <f t="shared" si="48"/>
        <v/>
      </c>
      <c r="AA84" s="41" t="str">
        <f t="shared" si="49"/>
        <v/>
      </c>
      <c r="AB84" s="41" t="str">
        <f t="shared" si="36"/>
        <v/>
      </c>
      <c r="AC84" s="41" t="str">
        <f t="shared" si="37"/>
        <v/>
      </c>
      <c r="AD84" s="48"/>
      <c r="AE84" s="41" t="str">
        <f t="shared" si="38"/>
        <v/>
      </c>
      <c r="AF84" s="41"/>
      <c r="AG84" s="41" t="str">
        <f t="shared" si="39"/>
        <v/>
      </c>
      <c r="AH84" s="41" t="str">
        <f t="shared" si="50"/>
        <v/>
      </c>
      <c r="AI84" s="41" t="str">
        <f t="shared" si="51"/>
        <v/>
      </c>
      <c r="AJ84" s="41">
        <f t="shared" si="40"/>
        <v>0</v>
      </c>
      <c r="AK84" s="41" t="str">
        <f t="shared" si="41"/>
        <v/>
      </c>
      <c r="AL84" s="41">
        <f t="shared" si="52"/>
        <v>0</v>
      </c>
      <c r="AM84" s="41">
        <f t="shared" si="42"/>
        <v>0</v>
      </c>
      <c r="AN84" s="41" t="str">
        <f t="shared" si="43"/>
        <v/>
      </c>
      <c r="AO84" s="41">
        <f t="shared" si="59"/>
        <v>0</v>
      </c>
      <c r="AP84" s="45"/>
      <c r="AQ84" s="48"/>
      <c r="AR84" s="48"/>
      <c r="AS84" s="48"/>
      <c r="AT84" s="51">
        <f t="shared" si="53"/>
        <v>80</v>
      </c>
      <c r="AU84" s="49" t="str">
        <f t="shared" si="54"/>
        <v/>
      </c>
      <c r="AV84" s="49" t="str">
        <f t="shared" si="55"/>
        <v/>
      </c>
      <c r="AW84" s="50">
        <f xml:space="preserve"> IF(ISERROR(ROUND((1000*NPV($AT$1,$AV85:$AV$124)-$AW$1*($AU85+NPV($AT$1,$AU86:$AU$124)))/AU85,3)), 0, ROUND((1000*NPV($AT$1,$AV85:$AV$124)-$AW$1*($AU85+NPV($AT$1,$AU86:$AU$124)))/AU85,3))</f>
        <v>0</v>
      </c>
      <c r="AX84" s="50">
        <f>IF(ISERROR(ROUND(MAX(0,1000*NPV($AT$2,$AV85:$AV$124)-$AW$2*($AU85+NPV($AT$2,$AU86:$AU$124)))/AU85,3)), 0, ROUND(MAX(0,1000*NPV($AT$2,$AV85:$AV$124)-$AW$2*($AU85+NPV($AT$2,$AU86:$AU$124)))/AU85,3))</f>
        <v>0</v>
      </c>
    </row>
    <row r="85" spans="1:50" ht="15" x14ac:dyDescent="0.25">
      <c r="A85">
        <v>60</v>
      </c>
      <c r="B85">
        <v>1.2126102584828401E-2</v>
      </c>
      <c r="C85">
        <f t="shared" si="30"/>
        <v>1.1398536429738697E-2</v>
      </c>
      <c r="D85" s="60"/>
      <c r="E85" s="5"/>
      <c r="F85" s="5"/>
      <c r="I85" s="51"/>
      <c r="J85" s="41"/>
      <c r="K85" s="41" t="str">
        <f t="shared" si="56"/>
        <v/>
      </c>
      <c r="L85" s="42" t="str">
        <f t="shared" si="57"/>
        <v/>
      </c>
      <c r="M85" s="41" t="str">
        <f t="shared" si="58"/>
        <v/>
      </c>
      <c r="N85" s="43">
        <f t="shared" si="31"/>
        <v>0</v>
      </c>
      <c r="O85" s="44">
        <f t="shared" si="32"/>
        <v>0</v>
      </c>
      <c r="P85" s="41" t="str">
        <f t="shared" si="33"/>
        <v/>
      </c>
      <c r="Q85" s="41" t="str">
        <f t="shared" si="34"/>
        <v/>
      </c>
      <c r="R85" s="45"/>
      <c r="S85" s="44" t="str">
        <f>IF(I85&lt;&gt;"",_xlfn.XLOOKUP(D$4+I85,A$26:A$145,$C$26:$C$145,0) * 1000,"")</f>
        <v/>
      </c>
      <c r="T85" s="52">
        <f t="shared" si="60"/>
        <v>0</v>
      </c>
      <c r="U85" s="53" t="str">
        <f t="shared" si="45"/>
        <v/>
      </c>
      <c r="V85" s="53" t="str">
        <f t="shared" si="46"/>
        <v/>
      </c>
      <c r="W85" s="53" t="str">
        <f t="shared" si="47"/>
        <v/>
      </c>
      <c r="X85" s="46" t="str">
        <f t="shared" si="35"/>
        <v/>
      </c>
      <c r="Y85" s="45"/>
      <c r="Z85" s="41" t="str">
        <f t="shared" si="48"/>
        <v/>
      </c>
      <c r="AA85" s="41" t="str">
        <f t="shared" si="49"/>
        <v/>
      </c>
      <c r="AB85" s="41" t="str">
        <f t="shared" si="36"/>
        <v/>
      </c>
      <c r="AC85" s="41" t="str">
        <f t="shared" si="37"/>
        <v/>
      </c>
      <c r="AD85" s="48"/>
      <c r="AE85" s="41" t="str">
        <f t="shared" si="38"/>
        <v/>
      </c>
      <c r="AF85" s="41"/>
      <c r="AG85" s="41" t="str">
        <f t="shared" si="39"/>
        <v/>
      </c>
      <c r="AH85" s="41" t="str">
        <f t="shared" si="50"/>
        <v/>
      </c>
      <c r="AI85" s="41" t="str">
        <f t="shared" si="51"/>
        <v/>
      </c>
      <c r="AJ85" s="41">
        <f t="shared" si="40"/>
        <v>0</v>
      </c>
      <c r="AK85" s="41" t="str">
        <f t="shared" si="41"/>
        <v/>
      </c>
      <c r="AL85" s="41">
        <f t="shared" si="52"/>
        <v>0</v>
      </c>
      <c r="AM85" s="41">
        <f t="shared" si="42"/>
        <v>0</v>
      </c>
      <c r="AN85" s="41" t="str">
        <f t="shared" si="43"/>
        <v/>
      </c>
      <c r="AO85" s="41">
        <f t="shared" si="59"/>
        <v>0</v>
      </c>
      <c r="AP85" s="45"/>
      <c r="AQ85" s="48"/>
      <c r="AR85" s="48"/>
      <c r="AS85" s="48"/>
      <c r="AT85" s="51">
        <f t="shared" si="53"/>
        <v>81</v>
      </c>
      <c r="AU85" s="49" t="str">
        <f t="shared" si="54"/>
        <v/>
      </c>
      <c r="AV85" s="49" t="str">
        <f t="shared" si="55"/>
        <v/>
      </c>
      <c r="AW85" s="50">
        <f xml:space="preserve"> IF(ISERROR(ROUND((1000*NPV($AT$1,$AV86:$AV$124)-$AW$1*($AU86+NPV($AT$1,$AU87:$AU$124)))/AU86,3)), 0, ROUND((1000*NPV($AT$1,$AV86:$AV$124)-$AW$1*($AU86+NPV($AT$1,$AU87:$AU$124)))/AU86,3))</f>
        <v>0</v>
      </c>
      <c r="AX85" s="50">
        <f>IF(ISERROR(ROUND(MAX(0,1000*NPV($AT$2,$AV86:$AV$124)-$AW$2*($AU86+NPV($AT$2,$AU87:$AU$124)))/AU86,3)), 0, ROUND(MAX(0,1000*NPV($AT$2,$AV86:$AV$124)-$AW$2*($AU86+NPV($AT$2,$AU87:$AU$124)))/AU86,3))</f>
        <v>0</v>
      </c>
    </row>
    <row r="86" spans="1:50" ht="15" x14ac:dyDescent="0.25">
      <c r="A86">
        <v>61</v>
      </c>
      <c r="B86">
        <v>1.33729341028768E-2</v>
      </c>
      <c r="C86">
        <f t="shared" si="30"/>
        <v>1.2570558056704192E-2</v>
      </c>
      <c r="D86" s="60"/>
      <c r="E86" s="5"/>
      <c r="F86" s="5"/>
      <c r="I86" s="51"/>
      <c r="J86" s="41"/>
      <c r="K86" s="41" t="str">
        <f t="shared" si="56"/>
        <v/>
      </c>
      <c r="L86" s="42" t="str">
        <f t="shared" si="57"/>
        <v/>
      </c>
      <c r="M86" s="41" t="str">
        <f t="shared" si="58"/>
        <v/>
      </c>
      <c r="N86" s="43">
        <f t="shared" si="31"/>
        <v>0</v>
      </c>
      <c r="O86" s="44">
        <f t="shared" si="32"/>
        <v>0</v>
      </c>
      <c r="P86" s="41" t="str">
        <f t="shared" si="33"/>
        <v/>
      </c>
      <c r="Q86" s="41" t="str">
        <f t="shared" si="34"/>
        <v/>
      </c>
      <c r="R86" s="45"/>
      <c r="S86" s="44" t="str">
        <f>IF(I86&lt;&gt;"",_xlfn.XLOOKUP(D$4+I86,A$26:A$145,$C$26:$C$145,0) * 1000,"")</f>
        <v/>
      </c>
      <c r="T86" s="52">
        <f t="shared" si="60"/>
        <v>0</v>
      </c>
      <c r="U86" s="53" t="str">
        <f t="shared" si="45"/>
        <v/>
      </c>
      <c r="V86" s="53" t="str">
        <f t="shared" si="46"/>
        <v/>
      </c>
      <c r="W86" s="53" t="str">
        <f t="shared" si="47"/>
        <v/>
      </c>
      <c r="X86" s="46" t="str">
        <f t="shared" si="35"/>
        <v/>
      </c>
      <c r="Y86" s="45"/>
      <c r="Z86" s="41" t="str">
        <f t="shared" si="48"/>
        <v/>
      </c>
      <c r="AA86" s="41" t="str">
        <f t="shared" si="49"/>
        <v/>
      </c>
      <c r="AB86" s="41" t="str">
        <f t="shared" si="36"/>
        <v/>
      </c>
      <c r="AC86" s="41" t="str">
        <f t="shared" si="37"/>
        <v/>
      </c>
      <c r="AD86" s="45"/>
      <c r="AE86" s="41" t="str">
        <f t="shared" si="38"/>
        <v/>
      </c>
      <c r="AF86" s="41"/>
      <c r="AG86" s="41" t="str">
        <f t="shared" si="39"/>
        <v/>
      </c>
      <c r="AH86" s="41" t="str">
        <f t="shared" si="50"/>
        <v/>
      </c>
      <c r="AI86" s="41" t="str">
        <f t="shared" si="51"/>
        <v/>
      </c>
      <c r="AJ86" s="41">
        <f t="shared" si="40"/>
        <v>0</v>
      </c>
      <c r="AK86" s="41" t="str">
        <f t="shared" si="41"/>
        <v/>
      </c>
      <c r="AL86" s="41">
        <f t="shared" si="52"/>
        <v>0</v>
      </c>
      <c r="AM86" s="41">
        <f t="shared" si="42"/>
        <v>0</v>
      </c>
      <c r="AN86" s="41" t="str">
        <f t="shared" si="43"/>
        <v/>
      </c>
      <c r="AO86" s="41">
        <f t="shared" si="59"/>
        <v>0</v>
      </c>
      <c r="AP86" s="45"/>
      <c r="AQ86" s="48"/>
      <c r="AR86" s="48"/>
      <c r="AS86" s="48"/>
      <c r="AT86" s="51">
        <f t="shared" si="53"/>
        <v>82</v>
      </c>
      <c r="AU86" s="49" t="str">
        <f t="shared" si="54"/>
        <v/>
      </c>
      <c r="AV86" s="49" t="str">
        <f t="shared" si="55"/>
        <v/>
      </c>
      <c r="AW86" s="50">
        <f xml:space="preserve"> IF(ISERROR(ROUND((1000*NPV($AT$1,$AV87:$AV$124)-$AW$1*($AU87+NPV($AT$1,$AU88:$AU$124)))/AU87,3)), 0, ROUND((1000*NPV($AT$1,$AV87:$AV$124)-$AW$1*($AU87+NPV($AT$1,$AU88:$AU$124)))/AU87,3))</f>
        <v>0</v>
      </c>
      <c r="AX86" s="50">
        <f>IF(ISERROR(ROUND(MAX(0,1000*NPV($AT$2,$AV87:$AV$124)-$AW$2*($AU87+NPV($AT$2,$AU88:$AU$124)))/AU87,3)), 0, ROUND(MAX(0,1000*NPV($AT$2,$AV87:$AV$124)-$AW$2*($AU87+NPV($AT$2,$AU88:$AU$124)))/AU87,3))</f>
        <v>0</v>
      </c>
    </row>
    <row r="87" spans="1:50" ht="15" x14ac:dyDescent="0.25">
      <c r="A87">
        <v>62</v>
      </c>
      <c r="B87">
        <v>1.4612697646989799E-2</v>
      </c>
      <c r="C87">
        <f t="shared" si="30"/>
        <v>1.373593578817041E-2</v>
      </c>
      <c r="D87" s="60"/>
      <c r="E87" s="5"/>
      <c r="F87" s="5"/>
      <c r="I87" s="51"/>
      <c r="J87" s="41"/>
      <c r="K87" s="41" t="str">
        <f t="shared" si="56"/>
        <v/>
      </c>
      <c r="L87" s="42" t="str">
        <f t="shared" si="57"/>
        <v/>
      </c>
      <c r="M87" s="41" t="str">
        <f t="shared" si="58"/>
        <v/>
      </c>
      <c r="N87" s="43">
        <f t="shared" si="31"/>
        <v>0</v>
      </c>
      <c r="O87" s="44">
        <f t="shared" si="32"/>
        <v>0</v>
      </c>
      <c r="P87" s="41" t="str">
        <f t="shared" si="33"/>
        <v/>
      </c>
      <c r="Q87" s="41" t="str">
        <f t="shared" si="34"/>
        <v/>
      </c>
      <c r="R87" s="45"/>
      <c r="S87" s="44" t="str">
        <f>IF(I87&lt;&gt;"",_xlfn.XLOOKUP(D$4+I87,A$26:A$145,$C$26:$C$145,0) * 1000,"")</f>
        <v/>
      </c>
      <c r="T87" s="52">
        <f t="shared" si="60"/>
        <v>0</v>
      </c>
      <c r="U87" s="53" t="str">
        <f t="shared" si="45"/>
        <v/>
      </c>
      <c r="V87" s="53" t="str">
        <f t="shared" si="46"/>
        <v/>
      </c>
      <c r="W87" s="53" t="str">
        <f t="shared" si="47"/>
        <v/>
      </c>
      <c r="X87" s="46" t="str">
        <f t="shared" si="35"/>
        <v/>
      </c>
      <c r="Y87" s="45"/>
      <c r="Z87" s="41" t="str">
        <f t="shared" si="48"/>
        <v/>
      </c>
      <c r="AA87" s="41" t="str">
        <f t="shared" si="49"/>
        <v/>
      </c>
      <c r="AB87" s="41" t="str">
        <f t="shared" si="36"/>
        <v/>
      </c>
      <c r="AC87" s="41" t="str">
        <f t="shared" si="37"/>
        <v/>
      </c>
      <c r="AD87" s="45"/>
      <c r="AE87" s="41" t="str">
        <f t="shared" si="38"/>
        <v/>
      </c>
      <c r="AF87" s="41"/>
      <c r="AG87" s="41" t="str">
        <f t="shared" si="39"/>
        <v/>
      </c>
      <c r="AH87" s="41" t="str">
        <f t="shared" si="50"/>
        <v/>
      </c>
      <c r="AI87" s="41" t="str">
        <f t="shared" si="51"/>
        <v/>
      </c>
      <c r="AJ87" s="41">
        <f t="shared" si="40"/>
        <v>0</v>
      </c>
      <c r="AK87" s="41" t="str">
        <f t="shared" si="41"/>
        <v/>
      </c>
      <c r="AL87" s="41">
        <f t="shared" si="52"/>
        <v>0</v>
      </c>
      <c r="AM87" s="41">
        <f t="shared" si="42"/>
        <v>0</v>
      </c>
      <c r="AN87" s="41" t="str">
        <f t="shared" si="43"/>
        <v/>
      </c>
      <c r="AO87" s="41">
        <f t="shared" si="59"/>
        <v>0</v>
      </c>
      <c r="AP87" s="45"/>
      <c r="AQ87" s="48"/>
      <c r="AR87" s="48"/>
      <c r="AS87" s="48"/>
      <c r="AT87" s="51">
        <f t="shared" si="53"/>
        <v>83</v>
      </c>
      <c r="AU87" s="49" t="str">
        <f t="shared" si="54"/>
        <v/>
      </c>
      <c r="AV87" s="49" t="str">
        <f t="shared" si="55"/>
        <v/>
      </c>
      <c r="AW87" s="50">
        <f xml:space="preserve"> IF(ISERROR(ROUND((1000*NPV($AT$1,$AV88:$AV$124)-$AW$1*($AU88+NPV($AT$1,$AU89:$AU$124)))/AU88,3)), 0, ROUND((1000*NPV($AT$1,$AV88:$AV$124)-$AW$1*($AU88+NPV($AT$1,$AU89:$AU$124)))/AU88,3))</f>
        <v>0</v>
      </c>
      <c r="AX87" s="50">
        <f>IF(ISERROR(ROUND(MAX(0,1000*NPV($AT$2,$AV88:$AV$124)-$AW$2*($AU88+NPV($AT$2,$AU89:$AU$124)))/AU88,3)), 0, ROUND(MAX(0,1000*NPV($AT$2,$AV88:$AV$124)-$AW$2*($AU88+NPV($AT$2,$AU89:$AU$124)))/AU88,3))</f>
        <v>0</v>
      </c>
    </row>
    <row r="88" spans="1:50" ht="15" x14ac:dyDescent="0.25">
      <c r="A88">
        <v>63</v>
      </c>
      <c r="B88">
        <v>1.5977196753136198E-2</v>
      </c>
      <c r="C88">
        <f t="shared" si="30"/>
        <v>1.5018564947948026E-2</v>
      </c>
      <c r="D88" s="60"/>
      <c r="E88" s="5"/>
      <c r="F88" s="5"/>
      <c r="I88" s="51"/>
      <c r="J88" s="41"/>
      <c r="K88" s="41" t="str">
        <f t="shared" si="56"/>
        <v/>
      </c>
      <c r="L88" s="42" t="str">
        <f t="shared" si="57"/>
        <v/>
      </c>
      <c r="M88" s="41" t="str">
        <f t="shared" si="58"/>
        <v/>
      </c>
      <c r="N88" s="43">
        <f t="shared" si="31"/>
        <v>0</v>
      </c>
      <c r="O88" s="44">
        <f t="shared" si="32"/>
        <v>0</v>
      </c>
      <c r="P88" s="41" t="str">
        <f t="shared" si="33"/>
        <v/>
      </c>
      <c r="Q88" s="41" t="str">
        <f t="shared" si="34"/>
        <v/>
      </c>
      <c r="R88" s="45"/>
      <c r="S88" s="44" t="str">
        <f>IF(I88&lt;&gt;"",_xlfn.XLOOKUP(D$4+I88,A$26:A$145,$C$26:$C$145,0) * 1000,"")</f>
        <v/>
      </c>
      <c r="T88" s="52">
        <f t="shared" si="60"/>
        <v>0</v>
      </c>
      <c r="U88" s="53" t="str">
        <f t="shared" si="45"/>
        <v/>
      </c>
      <c r="V88" s="53" t="str">
        <f t="shared" si="46"/>
        <v/>
      </c>
      <c r="W88" s="53" t="str">
        <f t="shared" si="47"/>
        <v/>
      </c>
      <c r="X88" s="46" t="str">
        <f t="shared" si="35"/>
        <v/>
      </c>
      <c r="Y88" s="45"/>
      <c r="Z88" s="41" t="str">
        <f t="shared" si="48"/>
        <v/>
      </c>
      <c r="AA88" s="41" t="str">
        <f t="shared" si="49"/>
        <v/>
      </c>
      <c r="AB88" s="41" t="str">
        <f t="shared" si="36"/>
        <v/>
      </c>
      <c r="AC88" s="41" t="str">
        <f t="shared" si="37"/>
        <v/>
      </c>
      <c r="AD88" s="45"/>
      <c r="AE88" s="41" t="str">
        <f t="shared" si="38"/>
        <v/>
      </c>
      <c r="AF88" s="41"/>
      <c r="AG88" s="41" t="str">
        <f t="shared" si="39"/>
        <v/>
      </c>
      <c r="AH88" s="41" t="str">
        <f t="shared" si="50"/>
        <v/>
      </c>
      <c r="AI88" s="41" t="str">
        <f t="shared" si="51"/>
        <v/>
      </c>
      <c r="AJ88" s="41">
        <f t="shared" si="40"/>
        <v>0</v>
      </c>
      <c r="AK88" s="41" t="str">
        <f t="shared" si="41"/>
        <v/>
      </c>
      <c r="AL88" s="41">
        <f t="shared" si="52"/>
        <v>0</v>
      </c>
      <c r="AM88" s="41">
        <f t="shared" si="42"/>
        <v>0</v>
      </c>
      <c r="AN88" s="41" t="str">
        <f t="shared" si="43"/>
        <v/>
      </c>
      <c r="AO88" s="41">
        <f t="shared" si="59"/>
        <v>0</v>
      </c>
      <c r="AP88" s="45"/>
      <c r="AQ88" s="48"/>
      <c r="AR88" s="48"/>
      <c r="AS88" s="48"/>
      <c r="AT88" s="51">
        <f t="shared" si="53"/>
        <v>84</v>
      </c>
      <c r="AU88" s="49" t="str">
        <f t="shared" si="54"/>
        <v/>
      </c>
      <c r="AV88" s="49" t="str">
        <f t="shared" si="55"/>
        <v/>
      </c>
      <c r="AW88" s="50">
        <f xml:space="preserve"> IF(ISERROR(ROUND((1000*NPV($AT$1,$AV89:$AV$124)-$AW$1*($AU89+NPV($AT$1,$AU90:$AU$124)))/AU89,3)), 0, ROUND((1000*NPV($AT$1,$AV89:$AV$124)-$AW$1*($AU89+NPV($AT$1,$AU90:$AU$124)))/AU89,3))</f>
        <v>0</v>
      </c>
      <c r="AX88" s="50">
        <f>IF(ISERROR(ROUND(MAX(0,1000*NPV($AT$2,$AV89:$AV$124)-$AW$2*($AU89+NPV($AT$2,$AU90:$AU$124)))/AU89,3)), 0, ROUND(MAX(0,1000*NPV($AT$2,$AV89:$AV$124)-$AW$2*($AU89+NPV($AT$2,$AU90:$AU$124)))/AU89,3))</f>
        <v>0</v>
      </c>
    </row>
    <row r="89" spans="1:50" ht="15" x14ac:dyDescent="0.25">
      <c r="A89">
        <v>64</v>
      </c>
      <c r="B89">
        <v>1.7428122841198799E-2</v>
      </c>
      <c r="C89">
        <f t="shared" si="30"/>
        <v>1.6382435470726871E-2</v>
      </c>
      <c r="D89" s="60"/>
      <c r="E89" s="5"/>
      <c r="F89" s="5"/>
      <c r="I89" s="51"/>
      <c r="J89" s="41"/>
      <c r="K89" s="41" t="str">
        <f t="shared" si="56"/>
        <v/>
      </c>
      <c r="L89" s="42" t="str">
        <f t="shared" si="57"/>
        <v/>
      </c>
      <c r="M89" s="41" t="str">
        <f t="shared" si="58"/>
        <v/>
      </c>
      <c r="N89" s="43">
        <f t="shared" si="31"/>
        <v>0</v>
      </c>
      <c r="O89" s="44">
        <f t="shared" si="32"/>
        <v>0</v>
      </c>
      <c r="P89" s="41" t="str">
        <f t="shared" si="33"/>
        <v/>
      </c>
      <c r="Q89" s="41" t="str">
        <f t="shared" si="34"/>
        <v/>
      </c>
      <c r="R89" s="45"/>
      <c r="S89" s="44" t="str">
        <f>IF(I89&lt;&gt;"",_xlfn.XLOOKUP(D$4+I89,A$26:A$145,$C$26:$C$145,0) * 1000,"")</f>
        <v/>
      </c>
      <c r="T89" s="52">
        <f t="shared" si="60"/>
        <v>0</v>
      </c>
      <c r="U89" s="53" t="str">
        <f t="shared" si="45"/>
        <v/>
      </c>
      <c r="V89" s="53" t="str">
        <f t="shared" si="46"/>
        <v/>
      </c>
      <c r="W89" s="53" t="str">
        <f t="shared" si="47"/>
        <v/>
      </c>
      <c r="X89" s="46" t="str">
        <f t="shared" si="35"/>
        <v/>
      </c>
      <c r="Y89" s="45"/>
      <c r="Z89" s="41" t="str">
        <f t="shared" si="48"/>
        <v/>
      </c>
      <c r="AA89" s="41" t="str">
        <f t="shared" si="49"/>
        <v/>
      </c>
      <c r="AB89" s="41" t="str">
        <f t="shared" si="36"/>
        <v/>
      </c>
      <c r="AC89" s="41" t="str">
        <f t="shared" si="37"/>
        <v/>
      </c>
      <c r="AD89" s="45"/>
      <c r="AE89" s="41" t="str">
        <f t="shared" si="38"/>
        <v/>
      </c>
      <c r="AF89" s="41"/>
      <c r="AG89" s="41" t="str">
        <f t="shared" si="39"/>
        <v/>
      </c>
      <c r="AH89" s="41" t="str">
        <f t="shared" si="50"/>
        <v/>
      </c>
      <c r="AI89" s="41" t="str">
        <f t="shared" si="51"/>
        <v/>
      </c>
      <c r="AJ89" s="41">
        <f t="shared" si="40"/>
        <v>0</v>
      </c>
      <c r="AK89" s="41" t="str">
        <f t="shared" si="41"/>
        <v/>
      </c>
      <c r="AL89" s="41">
        <f t="shared" si="52"/>
        <v>0</v>
      </c>
      <c r="AM89" s="41">
        <f t="shared" si="42"/>
        <v>0</v>
      </c>
      <c r="AN89" s="41" t="str">
        <f t="shared" si="43"/>
        <v/>
      </c>
      <c r="AO89" s="41">
        <f t="shared" si="59"/>
        <v>0</v>
      </c>
      <c r="AP89" s="45"/>
      <c r="AQ89" s="48"/>
      <c r="AR89" s="48"/>
      <c r="AS89" s="48"/>
      <c r="AT89" s="51">
        <f t="shared" si="53"/>
        <v>85</v>
      </c>
      <c r="AU89" s="49" t="str">
        <f t="shared" si="54"/>
        <v/>
      </c>
      <c r="AV89" s="49" t="str">
        <f t="shared" si="55"/>
        <v/>
      </c>
      <c r="AW89" s="50">
        <f xml:space="preserve"> IF(ISERROR(ROUND((1000*NPV($AT$1,$AV90:$AV$124)-$AW$1*($AU90+NPV($AT$1,$AU91:$AU$124)))/AU90,3)), 0, ROUND((1000*NPV($AT$1,$AV90:$AV$124)-$AW$1*($AU90+NPV($AT$1,$AU91:$AU$124)))/AU90,3))</f>
        <v>0</v>
      </c>
      <c r="AX89" s="50">
        <f>IF(ISERROR(ROUND(MAX(0,1000*NPV($AT$2,$AV90:$AV$124)-$AW$2*($AU90+NPV($AT$2,$AU91:$AU$124)))/AU90,3)), 0, ROUND(MAX(0,1000*NPV($AT$2,$AV90:$AV$124)-$AW$2*($AU90+NPV($AT$2,$AU91:$AU$124)))/AU90,3))</f>
        <v>0</v>
      </c>
    </row>
    <row r="90" spans="1:50" ht="15" x14ac:dyDescent="0.25">
      <c r="A90">
        <v>65</v>
      </c>
      <c r="B90">
        <v>1.9816726274900501E-2</v>
      </c>
      <c r="C90">
        <f t="shared" si="30"/>
        <v>1.8627722698406471E-2</v>
      </c>
      <c r="D90" s="60"/>
      <c r="E90" s="5"/>
      <c r="F90" s="5"/>
      <c r="I90" s="51"/>
      <c r="J90" s="41"/>
      <c r="K90" s="41" t="str">
        <f t="shared" si="56"/>
        <v/>
      </c>
      <c r="L90" s="42" t="str">
        <f t="shared" si="57"/>
        <v/>
      </c>
      <c r="M90" s="41" t="str">
        <f t="shared" si="58"/>
        <v/>
      </c>
      <c r="N90" s="43">
        <f t="shared" si="31"/>
        <v>0</v>
      </c>
      <c r="O90" s="44">
        <f t="shared" si="32"/>
        <v>0</v>
      </c>
      <c r="P90" s="41" t="str">
        <f t="shared" si="33"/>
        <v/>
      </c>
      <c r="Q90" s="41" t="str">
        <f t="shared" si="34"/>
        <v/>
      </c>
      <c r="R90" s="45"/>
      <c r="S90" s="44" t="str">
        <f>IF(I90&lt;&gt;"",_xlfn.XLOOKUP(D$4+I90,A$26:A$145,$C$26:$C$145,0) * 1000,"")</f>
        <v/>
      </c>
      <c r="T90" s="52">
        <f t="shared" si="60"/>
        <v>0</v>
      </c>
      <c r="U90" s="53" t="str">
        <f t="shared" si="45"/>
        <v/>
      </c>
      <c r="V90" s="53" t="str">
        <f t="shared" si="46"/>
        <v/>
      </c>
      <c r="W90" s="53" t="str">
        <f t="shared" si="47"/>
        <v/>
      </c>
      <c r="X90" s="46" t="str">
        <f t="shared" si="35"/>
        <v/>
      </c>
      <c r="Y90" s="45"/>
      <c r="Z90" s="41" t="str">
        <f t="shared" si="48"/>
        <v/>
      </c>
      <c r="AA90" s="41" t="str">
        <f t="shared" si="49"/>
        <v/>
      </c>
      <c r="AB90" s="41" t="str">
        <f t="shared" si="36"/>
        <v/>
      </c>
      <c r="AC90" s="41" t="str">
        <f t="shared" si="37"/>
        <v/>
      </c>
      <c r="AD90" s="45"/>
      <c r="AE90" s="41" t="str">
        <f t="shared" si="38"/>
        <v/>
      </c>
      <c r="AF90" s="41"/>
      <c r="AG90" s="41" t="str">
        <f t="shared" si="39"/>
        <v/>
      </c>
      <c r="AH90" s="41" t="str">
        <f t="shared" si="50"/>
        <v/>
      </c>
      <c r="AI90" s="41" t="str">
        <f t="shared" si="51"/>
        <v/>
      </c>
      <c r="AJ90" s="41">
        <f t="shared" si="40"/>
        <v>0</v>
      </c>
      <c r="AK90" s="41" t="str">
        <f t="shared" si="41"/>
        <v/>
      </c>
      <c r="AL90" s="41">
        <f t="shared" si="52"/>
        <v>0</v>
      </c>
      <c r="AM90" s="41">
        <f t="shared" si="42"/>
        <v>0</v>
      </c>
      <c r="AN90" s="41" t="str">
        <f t="shared" si="43"/>
        <v/>
      </c>
      <c r="AO90" s="41">
        <f t="shared" si="59"/>
        <v>0</v>
      </c>
      <c r="AP90" s="45"/>
      <c r="AQ90" s="48"/>
      <c r="AR90" s="48"/>
      <c r="AS90" s="48"/>
      <c r="AT90" s="51">
        <f t="shared" si="53"/>
        <v>86</v>
      </c>
      <c r="AU90" s="49" t="str">
        <f t="shared" si="54"/>
        <v/>
      </c>
      <c r="AV90" s="49" t="str">
        <f t="shared" si="55"/>
        <v/>
      </c>
      <c r="AW90" s="50">
        <f xml:space="preserve"> IF(ISERROR(ROUND((1000*NPV($AT$1,$AV91:$AV$124)-$AW$1*($AU91+NPV($AT$1,$AU92:$AU$124)))/AU91,3)), 0, ROUND((1000*NPV($AT$1,$AV91:$AV$124)-$AW$1*($AU91+NPV($AT$1,$AU92:$AU$124)))/AU91,3))</f>
        <v>0</v>
      </c>
      <c r="AX90" s="50">
        <f>IF(ISERROR(ROUND(MAX(0,1000*NPV($AT$2,$AV91:$AV$124)-$AW$2*($AU91+NPV($AT$2,$AU92:$AU$124)))/AU91,3)), 0, ROUND(MAX(0,1000*NPV($AT$2,$AV91:$AV$124)-$AW$2*($AU91+NPV($AT$2,$AU92:$AU$124)))/AU91,3))</f>
        <v>0</v>
      </c>
    </row>
    <row r="91" spans="1:50" ht="15" x14ac:dyDescent="0.25">
      <c r="A91">
        <v>66</v>
      </c>
      <c r="B91">
        <v>2.50967029379957E-2</v>
      </c>
      <c r="C91">
        <f t="shared" ref="C91:C144" si="61">B91*(1-$F$16)</f>
        <v>2.3590900761715956E-2</v>
      </c>
      <c r="D91" s="60"/>
      <c r="E91" s="5"/>
      <c r="F91" s="5"/>
      <c r="I91" s="51"/>
      <c r="J91" s="41"/>
      <c r="K91" s="41" t="str">
        <f t="shared" si="56"/>
        <v/>
      </c>
      <c r="L91" s="42" t="str">
        <f t="shared" si="57"/>
        <v/>
      </c>
      <c r="M91" s="41" t="str">
        <f t="shared" si="58"/>
        <v/>
      </c>
      <c r="N91" s="43">
        <f t="shared" si="31"/>
        <v>0</v>
      </c>
      <c r="O91" s="44">
        <f t="shared" si="32"/>
        <v>0</v>
      </c>
      <c r="P91" s="41" t="str">
        <f t="shared" si="33"/>
        <v/>
      </c>
      <c r="Q91" s="41" t="str">
        <f t="shared" si="34"/>
        <v/>
      </c>
      <c r="R91" s="45"/>
      <c r="S91" s="44" t="str">
        <f>IF(I91&lt;&gt;"",_xlfn.XLOOKUP(D$4+I91,A$26:A$145,$C$26:$C$145,0) * 1000,"")</f>
        <v/>
      </c>
      <c r="T91" s="52">
        <f t="shared" si="60"/>
        <v>0</v>
      </c>
      <c r="U91" s="53" t="str">
        <f t="shared" si="45"/>
        <v/>
      </c>
      <c r="V91" s="53" t="str">
        <f t="shared" si="46"/>
        <v/>
      </c>
      <c r="W91" s="53" t="str">
        <f t="shared" si="47"/>
        <v/>
      </c>
      <c r="X91" s="46" t="str">
        <f t="shared" si="35"/>
        <v/>
      </c>
      <c r="Y91" s="45"/>
      <c r="Z91" s="41" t="str">
        <f t="shared" si="48"/>
        <v/>
      </c>
      <c r="AA91" s="41" t="str">
        <f t="shared" si="49"/>
        <v/>
      </c>
      <c r="AB91" s="41" t="str">
        <f t="shared" si="36"/>
        <v/>
      </c>
      <c r="AC91" s="41" t="str">
        <f t="shared" si="37"/>
        <v/>
      </c>
      <c r="AD91" s="45"/>
      <c r="AE91" s="41" t="str">
        <f t="shared" si="38"/>
        <v/>
      </c>
      <c r="AF91" s="41"/>
      <c r="AG91" s="41" t="str">
        <f t="shared" si="39"/>
        <v/>
      </c>
      <c r="AH91" s="41" t="str">
        <f t="shared" si="50"/>
        <v/>
      </c>
      <c r="AI91" s="41" t="str">
        <f t="shared" si="51"/>
        <v/>
      </c>
      <c r="AJ91" s="41">
        <f t="shared" si="40"/>
        <v>0</v>
      </c>
      <c r="AK91" s="41" t="str">
        <f t="shared" si="41"/>
        <v/>
      </c>
      <c r="AL91" s="41">
        <f t="shared" si="52"/>
        <v>0</v>
      </c>
      <c r="AM91" s="41">
        <f t="shared" si="42"/>
        <v>0</v>
      </c>
      <c r="AN91" s="41" t="str">
        <f t="shared" si="43"/>
        <v/>
      </c>
      <c r="AO91" s="41">
        <f t="shared" si="59"/>
        <v>0</v>
      </c>
      <c r="AP91" s="45"/>
      <c r="AQ91" s="48"/>
      <c r="AR91" s="48"/>
      <c r="AS91" s="48"/>
      <c r="AT91" s="51">
        <f t="shared" si="53"/>
        <v>87</v>
      </c>
      <c r="AU91" s="49" t="str">
        <f t="shared" si="54"/>
        <v/>
      </c>
      <c r="AV91" s="49" t="str">
        <f t="shared" si="55"/>
        <v/>
      </c>
      <c r="AW91" s="50">
        <f xml:space="preserve"> IF(ISERROR(ROUND((1000*NPV($AT$1,$AV92:$AV$124)-$AW$1*($AU92+NPV($AT$1,$AU93:$AU$124)))/AU92,3)), 0, ROUND((1000*NPV($AT$1,$AV92:$AV$124)-$AW$1*($AU92+NPV($AT$1,$AU93:$AU$124)))/AU92,3))</f>
        <v>0</v>
      </c>
      <c r="AX91" s="50">
        <f>IF(ISERROR(ROUND(MAX(0,1000*NPV($AT$2,$AV92:$AV$124)-$AW$2*($AU92+NPV($AT$2,$AU93:$AU$124)))/AU92,3)), 0, ROUND(MAX(0,1000*NPV($AT$2,$AV92:$AV$124)-$AW$2*($AU92+NPV($AT$2,$AU93:$AU$124)))/AU92,3))</f>
        <v>0</v>
      </c>
    </row>
    <row r="92" spans="1:50" ht="15" x14ac:dyDescent="0.25">
      <c r="A92">
        <v>67</v>
      </c>
      <c r="B92">
        <v>2.7475647578921101E-2</v>
      </c>
      <c r="C92">
        <f t="shared" si="61"/>
        <v>2.5827108724185834E-2</v>
      </c>
      <c r="D92" s="60"/>
      <c r="E92" s="5"/>
      <c r="F92" s="5"/>
      <c r="I92" s="51"/>
      <c r="J92" s="41"/>
      <c r="K92" s="41" t="str">
        <f t="shared" si="56"/>
        <v/>
      </c>
      <c r="L92" s="42" t="str">
        <f t="shared" si="57"/>
        <v/>
      </c>
      <c r="M92" s="41" t="str">
        <f t="shared" si="58"/>
        <v/>
      </c>
      <c r="N92" s="43">
        <f t="shared" si="31"/>
        <v>0</v>
      </c>
      <c r="O92" s="44">
        <f t="shared" si="32"/>
        <v>0</v>
      </c>
      <c r="P92" s="41" t="str">
        <f t="shared" si="33"/>
        <v/>
      </c>
      <c r="Q92" s="41" t="str">
        <f t="shared" si="34"/>
        <v/>
      </c>
      <c r="R92" s="45"/>
      <c r="S92" s="44" t="str">
        <f>IF(I92&lt;&gt;"",_xlfn.XLOOKUP(D$4+I92,A$26:A$145,$C$26:$C$145,0) * 1000,"")</f>
        <v/>
      </c>
      <c r="T92" s="52">
        <f t="shared" si="60"/>
        <v>0</v>
      </c>
      <c r="U92" s="53" t="str">
        <f t="shared" si="45"/>
        <v/>
      </c>
      <c r="V92" s="53" t="str">
        <f t="shared" si="46"/>
        <v/>
      </c>
      <c r="W92" s="53" t="str">
        <f t="shared" si="47"/>
        <v/>
      </c>
      <c r="X92" s="46" t="str">
        <f t="shared" si="35"/>
        <v/>
      </c>
      <c r="Y92" s="45"/>
      <c r="Z92" s="41" t="str">
        <f t="shared" si="48"/>
        <v/>
      </c>
      <c r="AA92" s="41" t="str">
        <f t="shared" si="49"/>
        <v/>
      </c>
      <c r="AB92" s="41" t="str">
        <f t="shared" si="36"/>
        <v/>
      </c>
      <c r="AC92" s="41" t="str">
        <f t="shared" si="37"/>
        <v/>
      </c>
      <c r="AD92" s="45"/>
      <c r="AE92" s="41" t="str">
        <f t="shared" si="38"/>
        <v/>
      </c>
      <c r="AF92" s="41"/>
      <c r="AG92" s="41" t="str">
        <f t="shared" si="39"/>
        <v/>
      </c>
      <c r="AH92" s="41" t="str">
        <f t="shared" si="50"/>
        <v/>
      </c>
      <c r="AI92" s="41" t="str">
        <f t="shared" si="51"/>
        <v/>
      </c>
      <c r="AJ92" s="41">
        <f t="shared" si="40"/>
        <v>0</v>
      </c>
      <c r="AK92" s="41" t="str">
        <f t="shared" si="41"/>
        <v/>
      </c>
      <c r="AL92" s="41">
        <f t="shared" si="52"/>
        <v>0</v>
      </c>
      <c r="AM92" s="41">
        <f t="shared" si="42"/>
        <v>0</v>
      </c>
      <c r="AN92" s="41" t="str">
        <f t="shared" si="43"/>
        <v/>
      </c>
      <c r="AO92" s="41">
        <f t="shared" si="59"/>
        <v>0</v>
      </c>
      <c r="AP92" s="45"/>
      <c r="AQ92" s="48"/>
      <c r="AR92" s="48"/>
      <c r="AS92" s="48"/>
      <c r="AT92" s="51">
        <f t="shared" si="53"/>
        <v>88</v>
      </c>
      <c r="AU92" s="49" t="str">
        <f t="shared" si="54"/>
        <v/>
      </c>
      <c r="AV92" s="49" t="str">
        <f t="shared" si="55"/>
        <v/>
      </c>
      <c r="AW92" s="50">
        <f xml:space="preserve"> IF(ISERROR(ROUND((1000*NPV($AT$1,$AV93:$AV$124)-$AW$1*($AU93+NPV($AT$1,$AU94:$AU$124)))/AU93,3)), 0, ROUND((1000*NPV($AT$1,$AV93:$AV$124)-$AW$1*($AU93+NPV($AT$1,$AU94:$AU$124)))/AU93,3))</f>
        <v>0</v>
      </c>
      <c r="AX92" s="50">
        <f>IF(ISERROR(ROUND(MAX(0,1000*NPV($AT$2,$AV93:$AV$124)-$AW$2*($AU93+NPV($AT$2,$AU94:$AU$124)))/AU93,3)), 0, ROUND(MAX(0,1000*NPV($AT$2,$AV93:$AV$124)-$AW$2*($AU93+NPV($AT$2,$AU94:$AU$124)))/AU93,3))</f>
        <v>0</v>
      </c>
    </row>
    <row r="93" spans="1:50" ht="15" x14ac:dyDescent="0.25">
      <c r="A93">
        <v>68</v>
      </c>
      <c r="B93">
        <v>3.0002964203949899E-2</v>
      </c>
      <c r="C93">
        <f t="shared" si="61"/>
        <v>2.8202786351712902E-2</v>
      </c>
      <c r="D93" s="60"/>
      <c r="E93" s="5"/>
      <c r="F93" s="5"/>
      <c r="I93" s="51"/>
      <c r="J93" s="41"/>
      <c r="K93" s="41" t="str">
        <f t="shared" si="56"/>
        <v/>
      </c>
      <c r="L93" s="42" t="str">
        <f t="shared" si="57"/>
        <v/>
      </c>
      <c r="M93" s="41" t="str">
        <f t="shared" si="58"/>
        <v/>
      </c>
      <c r="N93" s="43">
        <f t="shared" si="31"/>
        <v>0</v>
      </c>
      <c r="O93" s="44">
        <f t="shared" si="32"/>
        <v>0</v>
      </c>
      <c r="P93" s="41" t="str">
        <f t="shared" si="33"/>
        <v/>
      </c>
      <c r="Q93" s="41" t="str">
        <f t="shared" si="34"/>
        <v/>
      </c>
      <c r="R93" s="45"/>
      <c r="S93" s="44" t="str">
        <f>IF(I93&lt;&gt;"",_xlfn.XLOOKUP(D$4+I93,A$26:A$145,$C$26:$C$145,0) * 1000,"")</f>
        <v/>
      </c>
      <c r="T93" s="52">
        <f t="shared" si="60"/>
        <v>0</v>
      </c>
      <c r="U93" s="53" t="str">
        <f t="shared" si="45"/>
        <v/>
      </c>
      <c r="V93" s="53" t="str">
        <f t="shared" si="46"/>
        <v/>
      </c>
      <c r="W93" s="53" t="str">
        <f t="shared" si="47"/>
        <v/>
      </c>
      <c r="X93" s="46" t="str">
        <f t="shared" si="35"/>
        <v/>
      </c>
      <c r="Y93" s="45"/>
      <c r="Z93" s="41" t="str">
        <f t="shared" si="48"/>
        <v/>
      </c>
      <c r="AA93" s="41" t="str">
        <f t="shared" si="49"/>
        <v/>
      </c>
      <c r="AB93" s="41" t="str">
        <f t="shared" si="36"/>
        <v/>
      </c>
      <c r="AC93" s="41" t="str">
        <f t="shared" si="37"/>
        <v/>
      </c>
      <c r="AD93" s="45"/>
      <c r="AE93" s="41" t="str">
        <f t="shared" si="38"/>
        <v/>
      </c>
      <c r="AF93" s="41"/>
      <c r="AG93" s="41" t="str">
        <f t="shared" si="39"/>
        <v/>
      </c>
      <c r="AH93" s="41" t="str">
        <f t="shared" si="50"/>
        <v/>
      </c>
      <c r="AI93" s="41" t="str">
        <f t="shared" si="51"/>
        <v/>
      </c>
      <c r="AJ93" s="41">
        <f t="shared" si="40"/>
        <v>0</v>
      </c>
      <c r="AK93" s="41" t="str">
        <f t="shared" si="41"/>
        <v/>
      </c>
      <c r="AL93" s="41">
        <f t="shared" si="52"/>
        <v>0</v>
      </c>
      <c r="AM93" s="41">
        <f t="shared" si="42"/>
        <v>0</v>
      </c>
      <c r="AN93" s="41" t="str">
        <f t="shared" si="43"/>
        <v/>
      </c>
      <c r="AO93" s="41">
        <f t="shared" si="59"/>
        <v>0</v>
      </c>
      <c r="AP93" s="45"/>
      <c r="AQ93" s="48"/>
      <c r="AR93" s="48"/>
      <c r="AS93" s="48"/>
      <c r="AT93" s="51">
        <f t="shared" si="53"/>
        <v>89</v>
      </c>
      <c r="AU93" s="49" t="str">
        <f t="shared" si="54"/>
        <v/>
      </c>
      <c r="AV93" s="49" t="str">
        <f t="shared" si="55"/>
        <v/>
      </c>
      <c r="AW93" s="50">
        <f xml:space="preserve"> IF(ISERROR(ROUND((1000*NPV($AT$1,$AV94:$AV$124)-$AW$1*($AU94+NPV($AT$1,$AU95:$AU$124)))/AU94,3)), 0, ROUND((1000*NPV($AT$1,$AV94:$AV$124)-$AW$1*($AU94+NPV($AT$1,$AU95:$AU$124)))/AU94,3))</f>
        <v>0</v>
      </c>
      <c r="AX93" s="50">
        <f>IF(ISERROR(ROUND(MAX(0,1000*NPV($AT$2,$AV94:$AV$124)-$AW$2*($AU94+NPV($AT$2,$AU95:$AU$124)))/AU94,3)), 0, ROUND(MAX(0,1000*NPV($AT$2,$AV94:$AV$124)-$AW$2*($AU94+NPV($AT$2,$AU95:$AU$124)))/AU94,3))</f>
        <v>0</v>
      </c>
    </row>
    <row r="94" spans="1:50" ht="15" x14ac:dyDescent="0.25">
      <c r="A94">
        <v>69</v>
      </c>
      <c r="B94">
        <v>3.28436946138135E-2</v>
      </c>
      <c r="C94">
        <f t="shared" si="61"/>
        <v>3.0873072936984689E-2</v>
      </c>
      <c r="D94" s="60"/>
      <c r="E94" s="5"/>
      <c r="F94" s="5"/>
      <c r="I94" s="40"/>
      <c r="J94" s="41"/>
      <c r="K94" s="41" t="str">
        <f t="shared" si="56"/>
        <v/>
      </c>
      <c r="L94" s="42" t="str">
        <f t="shared" si="57"/>
        <v/>
      </c>
      <c r="M94" s="41" t="str">
        <f t="shared" si="58"/>
        <v/>
      </c>
      <c r="N94" s="43">
        <f t="shared" si="31"/>
        <v>0</v>
      </c>
      <c r="O94" s="44">
        <f>AW94</f>
        <v>0</v>
      </c>
      <c r="P94" s="41" t="str">
        <f t="shared" si="33"/>
        <v/>
      </c>
      <c r="Q94" s="41" t="str">
        <f t="shared" si="34"/>
        <v/>
      </c>
      <c r="R94" s="48"/>
      <c r="S94" s="44" t="str">
        <f>IF(I94&lt;&gt;"",_xlfn.XLOOKUP(D$4+I94,A$26:A$145,$C$26:$C$145,0) * 1000,"")</f>
        <v/>
      </c>
      <c r="T94" s="52">
        <f t="shared" si="60"/>
        <v>0</v>
      </c>
      <c r="U94" s="53" t="str">
        <f t="shared" si="45"/>
        <v/>
      </c>
      <c r="V94" s="53" t="str">
        <f t="shared" si="46"/>
        <v/>
      </c>
      <c r="W94" s="53" t="str">
        <f t="shared" si="47"/>
        <v/>
      </c>
      <c r="X94" s="46" t="str">
        <f t="shared" si="35"/>
        <v/>
      </c>
      <c r="Y94" s="48"/>
      <c r="Z94" s="41" t="str">
        <f t="shared" si="48"/>
        <v/>
      </c>
      <c r="AA94" s="41" t="str">
        <f t="shared" si="49"/>
        <v/>
      </c>
      <c r="AB94" s="41" t="str">
        <f t="shared" si="36"/>
        <v/>
      </c>
      <c r="AC94" s="41" t="str">
        <f t="shared" si="37"/>
        <v/>
      </c>
      <c r="AD94" s="48"/>
      <c r="AE94" s="41" t="str">
        <f t="shared" si="38"/>
        <v/>
      </c>
      <c r="AF94" s="41"/>
      <c r="AG94" s="41" t="str">
        <f t="shared" si="39"/>
        <v/>
      </c>
      <c r="AH94" s="41" t="str">
        <f t="shared" si="50"/>
        <v/>
      </c>
      <c r="AI94" s="41" t="str">
        <f t="shared" si="51"/>
        <v/>
      </c>
      <c r="AJ94" s="41">
        <f t="shared" si="40"/>
        <v>0</v>
      </c>
      <c r="AK94" s="41" t="str">
        <f t="shared" si="41"/>
        <v/>
      </c>
      <c r="AL94" s="41">
        <f t="shared" si="52"/>
        <v>0</v>
      </c>
      <c r="AM94" s="41">
        <f t="shared" si="42"/>
        <v>0</v>
      </c>
      <c r="AN94" s="41" t="str">
        <f t="shared" si="43"/>
        <v/>
      </c>
      <c r="AO94" s="41">
        <f t="shared" si="59"/>
        <v>0</v>
      </c>
      <c r="AP94" s="48"/>
      <c r="AQ94" s="48"/>
      <c r="AR94" s="48"/>
      <c r="AS94" s="48"/>
      <c r="AT94" s="51">
        <f t="shared" si="53"/>
        <v>90</v>
      </c>
      <c r="AU94" s="49" t="str">
        <f t="shared" si="54"/>
        <v/>
      </c>
      <c r="AV94" s="49" t="str">
        <f t="shared" si="55"/>
        <v/>
      </c>
      <c r="AW94" s="50">
        <f xml:space="preserve"> IF(ISERROR(ROUND((1000*NPV($AT$1,$AV95:$AV$124)-$AW$1*($AU95+NPV($AT$1,$AU96:$AU$124)))/AU95,3)), 0, ROUND((1000*NPV($AT$1,$AV95:$AV$124)-$AW$1*($AU95+NPV($AT$1,$AU96:$AU$124)))/AU95,3))</f>
        <v>0</v>
      </c>
      <c r="AX94" s="50">
        <f>IF(ISERROR(ROUND(MAX(0,1000*NPV($AT$2,$AV95:$AV$124)-$AW$2*($AU95+NPV($AT$2,$AU96:$AU$124)))/AU95,3)), 0, ROUND(MAX(0,1000*NPV($AT$2,$AV95:$AV$124)-$AW$2*($AU95+NPV($AT$2,$AU96:$AU$124)))/AU95,3))</f>
        <v>0</v>
      </c>
    </row>
    <row r="95" spans="1:50" ht="15" x14ac:dyDescent="0.25">
      <c r="A95">
        <v>70</v>
      </c>
      <c r="B95">
        <v>3.6041229043075801E-2</v>
      </c>
      <c r="C95">
        <f t="shared" si="61"/>
        <v>3.3878755300491253E-2</v>
      </c>
      <c r="D95" s="60"/>
      <c r="E95" s="5"/>
      <c r="F95" s="5"/>
      <c r="I95" s="40"/>
      <c r="J95" s="41"/>
      <c r="K95" s="41" t="str">
        <f t="shared" si="56"/>
        <v/>
      </c>
      <c r="L95" s="42" t="str">
        <f t="shared" si="57"/>
        <v/>
      </c>
      <c r="M95" s="41" t="str">
        <f t="shared" si="58"/>
        <v/>
      </c>
      <c r="N95" s="43">
        <f t="shared" si="31"/>
        <v>0</v>
      </c>
      <c r="O95" s="44">
        <f t="shared" si="32"/>
        <v>0</v>
      </c>
      <c r="P95" s="41" t="str">
        <f t="shared" si="33"/>
        <v/>
      </c>
      <c r="Q95" s="41" t="str">
        <f t="shared" si="34"/>
        <v/>
      </c>
      <c r="R95" s="48"/>
      <c r="S95" s="44" t="str">
        <f>IF(I95&lt;&gt;"",_xlfn.XLOOKUP(D$4+I95,A$26:A$145,$C$26:$C$145,0) * 1000,"")</f>
        <v/>
      </c>
      <c r="T95" s="52">
        <f t="shared" si="60"/>
        <v>0</v>
      </c>
      <c r="U95" s="53" t="str">
        <f t="shared" si="45"/>
        <v/>
      </c>
      <c r="V95" s="53" t="str">
        <f t="shared" si="46"/>
        <v/>
      </c>
      <c r="W95" s="53" t="str">
        <f t="shared" si="47"/>
        <v/>
      </c>
      <c r="X95" s="46" t="str">
        <f t="shared" si="35"/>
        <v/>
      </c>
      <c r="Y95" s="48"/>
      <c r="Z95" s="41" t="str">
        <f t="shared" si="48"/>
        <v/>
      </c>
      <c r="AA95" s="41" t="str">
        <f t="shared" si="49"/>
        <v/>
      </c>
      <c r="AB95" s="41" t="str">
        <f t="shared" si="36"/>
        <v/>
      </c>
      <c r="AC95" s="41" t="str">
        <f t="shared" si="37"/>
        <v/>
      </c>
      <c r="AD95" s="48"/>
      <c r="AE95" s="41" t="str">
        <f t="shared" si="38"/>
        <v/>
      </c>
      <c r="AF95" s="41"/>
      <c r="AG95" s="41" t="str">
        <f t="shared" si="39"/>
        <v/>
      </c>
      <c r="AH95" s="41" t="str">
        <f t="shared" si="50"/>
        <v/>
      </c>
      <c r="AI95" s="41" t="str">
        <f t="shared" si="51"/>
        <v/>
      </c>
      <c r="AJ95" s="41">
        <f t="shared" si="40"/>
        <v>0</v>
      </c>
      <c r="AK95" s="41" t="str">
        <f t="shared" si="41"/>
        <v/>
      </c>
      <c r="AL95" s="41">
        <f t="shared" si="52"/>
        <v>0</v>
      </c>
      <c r="AM95" s="41">
        <f t="shared" si="42"/>
        <v>0</v>
      </c>
      <c r="AN95" s="41" t="str">
        <f t="shared" si="43"/>
        <v/>
      </c>
      <c r="AO95" s="41">
        <f t="shared" si="59"/>
        <v>0</v>
      </c>
      <c r="AP95" s="48"/>
      <c r="AQ95" s="48"/>
      <c r="AR95" s="48"/>
      <c r="AS95" s="48"/>
      <c r="AT95" s="51">
        <f t="shared" si="53"/>
        <v>91</v>
      </c>
      <c r="AU95" s="49" t="str">
        <f t="shared" si="54"/>
        <v/>
      </c>
      <c r="AV95" s="49" t="str">
        <f t="shared" si="55"/>
        <v/>
      </c>
      <c r="AW95" s="50">
        <f xml:space="preserve"> IF(ISERROR(ROUND((1000*NPV($AT$1,$AV96:$AV$124)-$AW$1*($AU96+NPV($AT$1,$AU97:$AU$124)))/AU96,3)), 0, ROUND((1000*NPV($AT$1,$AV96:$AV$124)-$AW$1*($AU96+NPV($AT$1,$AU97:$AU$124)))/AU96,3))</f>
        <v>0</v>
      </c>
      <c r="AX95" s="50">
        <f>IF(ISERROR(ROUND(MAX(0,1000*NPV($AT$2,$AV96:$AV$124)-$AW$2*($AU96+NPV($AT$2,$AU97:$AU$124)))/AU96,3)), 0, ROUND(MAX(0,1000*NPV($AT$2,$AV96:$AV$124)-$AW$2*($AU96+NPV($AT$2,$AU97:$AU$124)))/AU96,3))</f>
        <v>0</v>
      </c>
    </row>
    <row r="96" spans="1:50" ht="15" x14ac:dyDescent="0.25">
      <c r="A96">
        <v>71</v>
      </c>
      <c r="B96">
        <v>3.9696967801334103E-2</v>
      </c>
      <c r="C96">
        <f t="shared" si="61"/>
        <v>3.7315149733254054E-2</v>
      </c>
      <c r="D96" s="60"/>
      <c r="E96" s="5"/>
      <c r="F96" s="5"/>
      <c r="I96" s="40"/>
      <c r="J96" s="41"/>
      <c r="K96" s="41" t="str">
        <f t="shared" si="56"/>
        <v/>
      </c>
      <c r="L96" s="42" t="str">
        <f t="shared" si="57"/>
        <v/>
      </c>
      <c r="M96" s="41" t="str">
        <f t="shared" si="58"/>
        <v/>
      </c>
      <c r="N96" s="43">
        <f t="shared" si="31"/>
        <v>0</v>
      </c>
      <c r="O96" s="44">
        <f t="shared" si="32"/>
        <v>0</v>
      </c>
      <c r="P96" s="41" t="str">
        <f t="shared" si="33"/>
        <v/>
      </c>
      <c r="Q96" s="41" t="str">
        <f t="shared" si="34"/>
        <v/>
      </c>
      <c r="R96" s="48"/>
      <c r="S96" s="44" t="str">
        <f>IF(I96&lt;&gt;"",_xlfn.XLOOKUP(D$4+I96,A$26:A$145,$C$26:$C$145,0) * 1000,"")</f>
        <v/>
      </c>
      <c r="T96" s="52">
        <f t="shared" si="60"/>
        <v>0</v>
      </c>
      <c r="U96" s="53" t="str">
        <f t="shared" si="45"/>
        <v/>
      </c>
      <c r="V96" s="53" t="str">
        <f t="shared" si="46"/>
        <v/>
      </c>
      <c r="W96" s="53" t="str">
        <f t="shared" si="47"/>
        <v/>
      </c>
      <c r="X96" s="46" t="str">
        <f t="shared" si="35"/>
        <v/>
      </c>
      <c r="Y96" s="48"/>
      <c r="Z96" s="41" t="str">
        <f t="shared" si="48"/>
        <v/>
      </c>
      <c r="AA96" s="41" t="str">
        <f t="shared" si="49"/>
        <v/>
      </c>
      <c r="AB96" s="41" t="str">
        <f t="shared" si="36"/>
        <v/>
      </c>
      <c r="AC96" s="41" t="str">
        <f t="shared" si="37"/>
        <v/>
      </c>
      <c r="AD96" s="48"/>
      <c r="AE96" s="41" t="str">
        <f t="shared" si="38"/>
        <v/>
      </c>
      <c r="AF96" s="41"/>
      <c r="AG96" s="41" t="str">
        <f t="shared" si="39"/>
        <v/>
      </c>
      <c r="AH96" s="41" t="str">
        <f t="shared" si="50"/>
        <v/>
      </c>
      <c r="AI96" s="41" t="str">
        <f t="shared" si="51"/>
        <v/>
      </c>
      <c r="AJ96" s="41">
        <f>SUM(AE96:AI96)</f>
        <v>0</v>
      </c>
      <c r="AK96" s="41" t="str">
        <f t="shared" si="41"/>
        <v/>
      </c>
      <c r="AL96" s="41">
        <f t="shared" si="52"/>
        <v>0</v>
      </c>
      <c r="AM96" s="41">
        <f t="shared" si="42"/>
        <v>0</v>
      </c>
      <c r="AN96" s="41" t="str">
        <f t="shared" si="43"/>
        <v/>
      </c>
      <c r="AO96" s="41">
        <f t="shared" si="59"/>
        <v>0</v>
      </c>
      <c r="AP96" s="48"/>
      <c r="AQ96" s="48"/>
      <c r="AR96" s="48"/>
      <c r="AS96" s="48"/>
      <c r="AT96" s="51">
        <f t="shared" si="53"/>
        <v>92</v>
      </c>
      <c r="AU96" s="49" t="str">
        <f t="shared" si="54"/>
        <v/>
      </c>
      <c r="AV96" s="49" t="str">
        <f t="shared" si="55"/>
        <v/>
      </c>
      <c r="AW96" s="50">
        <f xml:space="preserve"> IF(ISERROR(ROUND((1000*NPV($AT$1,$AV97:$AV$124)-$AW$1*($AU97+NPV($AT$1,$AU98:$AU$124)))/AU97,3)), 0, ROUND((1000*NPV($AT$1,$AV97:$AV$124)-$AW$1*($AU97+NPV($AT$1,$AU98:$AU$124)))/AU97,3))</f>
        <v>0</v>
      </c>
      <c r="AX96" s="50">
        <f>IF(ISERROR(ROUND(MAX(0,1000*NPV($AT$2,$AV97:$AV$124)-$AW$2*($AU97+NPV($AT$2,$AU98:$AU$124)))/AU97,3)), 0, ROUND(MAX(0,1000*NPV($AT$2,$AV97:$AV$124)-$AW$2*($AU97+NPV($AT$2,$AU98:$AU$124)))/AU97,3))</f>
        <v>0</v>
      </c>
    </row>
    <row r="97" spans="1:50" ht="15" x14ac:dyDescent="0.25">
      <c r="A97">
        <v>72</v>
      </c>
      <c r="B97">
        <v>4.3904036040879203E-2</v>
      </c>
      <c r="C97">
        <f t="shared" si="61"/>
        <v>4.1269793878426449E-2</v>
      </c>
      <c r="D97" s="60"/>
      <c r="E97" s="5"/>
      <c r="F97" s="5"/>
      <c r="I97" s="40"/>
      <c r="J97" s="41"/>
      <c r="K97" s="41" t="str">
        <f t="shared" si="56"/>
        <v/>
      </c>
      <c r="L97" s="42" t="str">
        <f t="shared" si="57"/>
        <v/>
      </c>
      <c r="M97" s="41" t="str">
        <f t="shared" si="58"/>
        <v/>
      </c>
      <c r="N97" s="43">
        <f t="shared" si="31"/>
        <v>0</v>
      </c>
      <c r="O97" s="44">
        <f t="shared" si="32"/>
        <v>0</v>
      </c>
      <c r="P97" s="41" t="str">
        <f t="shared" si="33"/>
        <v/>
      </c>
      <c r="Q97" s="41" t="str">
        <f t="shared" si="34"/>
        <v/>
      </c>
      <c r="R97" s="48"/>
      <c r="S97" s="44" t="str">
        <f>IF(I97&lt;&gt;"",_xlfn.XLOOKUP(D$4+I97,A$26:A$145,$C$26:$C$145,0) * 1000,"")</f>
        <v/>
      </c>
      <c r="T97" s="52">
        <f t="shared" si="60"/>
        <v>0</v>
      </c>
      <c r="U97" s="53" t="str">
        <f t="shared" si="45"/>
        <v/>
      </c>
      <c r="V97" s="53" t="str">
        <f t="shared" si="46"/>
        <v/>
      </c>
      <c r="W97" s="53" t="str">
        <f t="shared" si="47"/>
        <v/>
      </c>
      <c r="X97" s="46" t="str">
        <f t="shared" si="35"/>
        <v/>
      </c>
      <c r="Y97" s="48"/>
      <c r="Z97" s="41" t="str">
        <f t="shared" si="48"/>
        <v/>
      </c>
      <c r="AA97" s="41" t="str">
        <f t="shared" si="49"/>
        <v/>
      </c>
      <c r="AB97" s="41" t="str">
        <f t="shared" si="36"/>
        <v/>
      </c>
      <c r="AC97" s="41" t="str">
        <f t="shared" si="37"/>
        <v/>
      </c>
      <c r="AD97" s="48"/>
      <c r="AE97" s="41" t="str">
        <f t="shared" si="38"/>
        <v/>
      </c>
      <c r="AF97" s="41"/>
      <c r="AG97" s="41" t="str">
        <f t="shared" si="39"/>
        <v/>
      </c>
      <c r="AH97" s="41" t="str">
        <f t="shared" si="50"/>
        <v/>
      </c>
      <c r="AI97" s="41" t="str">
        <f t="shared" si="51"/>
        <v/>
      </c>
      <c r="AJ97" s="41">
        <f t="shared" si="40"/>
        <v>0</v>
      </c>
      <c r="AK97" s="41" t="str">
        <f t="shared" si="41"/>
        <v/>
      </c>
      <c r="AL97" s="41">
        <f t="shared" si="52"/>
        <v>0</v>
      </c>
      <c r="AM97" s="41">
        <f t="shared" si="42"/>
        <v>0</v>
      </c>
      <c r="AN97" s="41" t="str">
        <f t="shared" si="43"/>
        <v/>
      </c>
      <c r="AO97" s="41">
        <f t="shared" si="59"/>
        <v>0</v>
      </c>
      <c r="AP97" s="48"/>
      <c r="AQ97" s="48"/>
      <c r="AR97" s="48"/>
      <c r="AS97" s="48"/>
      <c r="AT97" s="51">
        <f t="shared" si="53"/>
        <v>93</v>
      </c>
      <c r="AU97" s="49" t="str">
        <f t="shared" si="54"/>
        <v/>
      </c>
      <c r="AV97" s="49" t="str">
        <f t="shared" si="55"/>
        <v/>
      </c>
      <c r="AW97" s="50">
        <f xml:space="preserve"> IF(ISERROR(ROUND((1000*NPV($AT$1,$AV98:$AV$124)-$AW$1*($AU98+NPV($AT$1,$AU99:$AU$124)))/AU98,3)), 0, ROUND((1000*NPV($AT$1,$AV98:$AV$124)-$AW$1*($AU98+NPV($AT$1,$AU99:$AU$124)))/AU98,3))</f>
        <v>0</v>
      </c>
      <c r="AX97" s="50">
        <f>IF(ISERROR(ROUND(MAX(0,1000*NPV($AT$2,$AV98:$AV$124)-$AW$2*($AU98+NPV($AT$2,$AU99:$AU$124)))/AU98,3)), 0, ROUND(MAX(0,1000*NPV($AT$2,$AV98:$AV$124)-$AW$2*($AU98+NPV($AT$2,$AU99:$AU$124)))/AU98,3))</f>
        <v>0</v>
      </c>
    </row>
    <row r="98" spans="1:50" ht="15" x14ac:dyDescent="0.25">
      <c r="A98">
        <v>73</v>
      </c>
      <c r="B98">
        <v>4.8745918240341697E-2</v>
      </c>
      <c r="C98">
        <f t="shared" si="61"/>
        <v>4.582116314592119E-2</v>
      </c>
      <c r="D98" s="60"/>
      <c r="E98" s="5"/>
      <c r="F98" s="5"/>
      <c r="I98" s="40"/>
      <c r="J98" s="41"/>
      <c r="K98" s="41" t="str">
        <f t="shared" si="56"/>
        <v/>
      </c>
      <c r="L98" s="42" t="str">
        <f t="shared" si="57"/>
        <v/>
      </c>
      <c r="M98" s="41" t="str">
        <f t="shared" si="58"/>
        <v/>
      </c>
      <c r="N98" s="43">
        <f t="shared" si="31"/>
        <v>0</v>
      </c>
      <c r="O98" s="44">
        <f t="shared" si="32"/>
        <v>0</v>
      </c>
      <c r="P98" s="41" t="str">
        <f t="shared" si="33"/>
        <v/>
      </c>
      <c r="Q98" s="41" t="str">
        <f t="shared" si="34"/>
        <v/>
      </c>
      <c r="R98" s="48"/>
      <c r="S98" s="44" t="str">
        <f>IF(I98&lt;&gt;"",_xlfn.XLOOKUP(D$4+I98,A$26:A$145,$C$26:$C$145,0) * 1000,"")</f>
        <v/>
      </c>
      <c r="T98" s="52">
        <f t="shared" si="60"/>
        <v>0</v>
      </c>
      <c r="U98" s="53" t="str">
        <f t="shared" si="45"/>
        <v/>
      </c>
      <c r="V98" s="53" t="str">
        <f t="shared" si="46"/>
        <v/>
      </c>
      <c r="W98" s="53" t="str">
        <f t="shared" si="47"/>
        <v/>
      </c>
      <c r="X98" s="46" t="str">
        <f t="shared" si="35"/>
        <v/>
      </c>
      <c r="Y98" s="48"/>
      <c r="Z98" s="41" t="str">
        <f t="shared" si="48"/>
        <v/>
      </c>
      <c r="AA98" s="41" t="str">
        <f t="shared" si="49"/>
        <v/>
      </c>
      <c r="AB98" s="41" t="str">
        <f t="shared" si="36"/>
        <v/>
      </c>
      <c r="AC98" s="41" t="str">
        <f t="shared" si="37"/>
        <v/>
      </c>
      <c r="AD98" s="48"/>
      <c r="AE98" s="41" t="str">
        <f t="shared" si="38"/>
        <v/>
      </c>
      <c r="AF98" s="41"/>
      <c r="AG98" s="41" t="str">
        <f t="shared" si="39"/>
        <v/>
      </c>
      <c r="AH98" s="41" t="str">
        <f t="shared" si="50"/>
        <v/>
      </c>
      <c r="AI98" s="41" t="str">
        <f t="shared" si="51"/>
        <v/>
      </c>
      <c r="AJ98" s="41">
        <f t="shared" si="40"/>
        <v>0</v>
      </c>
      <c r="AK98" s="41" t="str">
        <f t="shared" si="41"/>
        <v/>
      </c>
      <c r="AL98" s="41">
        <f t="shared" si="52"/>
        <v>0</v>
      </c>
      <c r="AM98" s="41">
        <f t="shared" si="42"/>
        <v>0</v>
      </c>
      <c r="AN98" s="41" t="str">
        <f t="shared" si="43"/>
        <v/>
      </c>
      <c r="AO98" s="41">
        <f t="shared" si="59"/>
        <v>0</v>
      </c>
      <c r="AP98" s="48"/>
      <c r="AQ98" s="48"/>
      <c r="AR98" s="48"/>
      <c r="AS98" s="48"/>
      <c r="AT98" s="51">
        <f t="shared" si="53"/>
        <v>94</v>
      </c>
      <c r="AU98" s="49" t="str">
        <f t="shared" si="54"/>
        <v/>
      </c>
      <c r="AV98" s="49" t="str">
        <f t="shared" si="55"/>
        <v/>
      </c>
      <c r="AW98" s="50">
        <f xml:space="preserve"> IF(ISERROR(ROUND((1000*NPV($AT$1,$AV99:$AV$124)-$AW$1*($AU99+NPV($AT$1,$AU100:$AU$124)))/AU99,3)), 0, ROUND((1000*NPV($AT$1,$AV99:$AV$124)-$AW$1*($AU99+NPV($AT$1,$AU100:$AU$124)))/AU99,3))</f>
        <v>0</v>
      </c>
      <c r="AX98" s="50">
        <f>IF(ISERROR(ROUND(MAX(0,1000*NPV($AT$2,$AV99:$AV$124)-$AW$2*($AU99+NPV($AT$2,$AU100:$AU$124)))/AU99,3)), 0, ROUND(MAX(0,1000*NPV($AT$2,$AV99:$AV$124)-$AW$2*($AU99+NPV($AT$2,$AU100:$AU$124)))/AU99,3))</f>
        <v>0</v>
      </c>
    </row>
    <row r="99" spans="1:50" ht="15" x14ac:dyDescent="0.25">
      <c r="A99">
        <v>74</v>
      </c>
      <c r="B99">
        <v>5.4496735169921297E-2</v>
      </c>
      <c r="C99">
        <f t="shared" si="61"/>
        <v>5.1226931059726019E-2</v>
      </c>
      <c r="D99" s="60"/>
      <c r="E99" s="5"/>
      <c r="F99" s="5"/>
      <c r="I99" s="40"/>
      <c r="J99" s="41"/>
      <c r="K99" s="41" t="str">
        <f t="shared" si="56"/>
        <v/>
      </c>
      <c r="L99" s="42" t="str">
        <f t="shared" si="57"/>
        <v/>
      </c>
      <c r="M99" s="41" t="str">
        <f t="shared" si="58"/>
        <v/>
      </c>
      <c r="N99" s="43">
        <f t="shared" si="31"/>
        <v>0</v>
      </c>
      <c r="O99" s="44">
        <f t="shared" si="32"/>
        <v>0</v>
      </c>
      <c r="P99" s="41" t="str">
        <f t="shared" si="33"/>
        <v/>
      </c>
      <c r="Q99" s="41" t="str">
        <f t="shared" si="34"/>
        <v/>
      </c>
      <c r="R99" s="48"/>
      <c r="S99" s="44" t="str">
        <f>IF(I99&lt;&gt;"",_xlfn.XLOOKUP(D$4+I99,A$26:A$145,$C$26:$C$145,0) * 1000,"")</f>
        <v/>
      </c>
      <c r="T99" s="52">
        <f t="shared" si="60"/>
        <v>0</v>
      </c>
      <c r="U99" s="53" t="str">
        <f t="shared" si="45"/>
        <v/>
      </c>
      <c r="V99" s="53" t="str">
        <f t="shared" si="46"/>
        <v/>
      </c>
      <c r="W99" s="53" t="str">
        <f t="shared" si="47"/>
        <v/>
      </c>
      <c r="X99" s="46" t="str">
        <f t="shared" si="35"/>
        <v/>
      </c>
      <c r="Y99" s="48"/>
      <c r="Z99" s="41" t="str">
        <f t="shared" si="48"/>
        <v/>
      </c>
      <c r="AA99" s="41" t="str">
        <f t="shared" si="49"/>
        <v/>
      </c>
      <c r="AB99" s="41" t="str">
        <f t="shared" si="36"/>
        <v/>
      </c>
      <c r="AC99" s="41" t="str">
        <f t="shared" si="37"/>
        <v/>
      </c>
      <c r="AD99" s="48"/>
      <c r="AE99" s="41" t="str">
        <f t="shared" si="38"/>
        <v/>
      </c>
      <c r="AF99" s="41"/>
      <c r="AG99" s="41" t="str">
        <f t="shared" si="39"/>
        <v/>
      </c>
      <c r="AH99" s="41" t="str">
        <f t="shared" si="50"/>
        <v/>
      </c>
      <c r="AI99" s="41" t="str">
        <f t="shared" si="51"/>
        <v/>
      </c>
      <c r="AJ99" s="41">
        <f t="shared" si="40"/>
        <v>0</v>
      </c>
      <c r="AK99" s="41" t="str">
        <f t="shared" si="41"/>
        <v/>
      </c>
      <c r="AL99" s="41">
        <f t="shared" si="52"/>
        <v>0</v>
      </c>
      <c r="AM99" s="41">
        <f t="shared" si="42"/>
        <v>0</v>
      </c>
      <c r="AN99" s="41" t="str">
        <f t="shared" si="43"/>
        <v/>
      </c>
      <c r="AO99" s="41">
        <f t="shared" si="59"/>
        <v>0</v>
      </c>
      <c r="AP99" s="48"/>
      <c r="AQ99" s="48"/>
      <c r="AR99" s="48"/>
      <c r="AS99" s="48"/>
      <c r="AT99" s="51">
        <f t="shared" si="53"/>
        <v>95</v>
      </c>
      <c r="AU99" s="49" t="str">
        <f t="shared" si="54"/>
        <v/>
      </c>
      <c r="AV99" s="49" t="str">
        <f t="shared" si="55"/>
        <v/>
      </c>
      <c r="AW99" s="50">
        <f xml:space="preserve"> IF(ISERROR(ROUND((1000*NPV($AT$1,$AV100:$AV$124)-$AW$1*($AU100+NPV($AT$1,$AU101:$AU$124)))/AU100,3)), 0, ROUND((1000*NPV($AT$1,$AV100:$AV$124)-$AW$1*($AU100+NPV($AT$1,$AU101:$AU$124)))/AU100,3))</f>
        <v>0</v>
      </c>
      <c r="AX99" s="50">
        <f>IF(ISERROR(ROUND(MAX(0,1000*NPV($AT$2,$AV100:$AV$124)-$AW$2*($AU100+NPV($AT$2,$AU101:$AU$124)))/AU100,3)), 0, ROUND(MAX(0,1000*NPV($AT$2,$AV100:$AV$124)-$AW$2*($AU100+NPV($AT$2,$AU101:$AU$124)))/AU100,3))</f>
        <v>0</v>
      </c>
    </row>
    <row r="100" spans="1:50" ht="15" x14ac:dyDescent="0.25">
      <c r="A100">
        <v>75</v>
      </c>
      <c r="B100">
        <v>6.1107455895015497E-2</v>
      </c>
      <c r="C100">
        <f t="shared" si="61"/>
        <v>5.7441008541314564E-2</v>
      </c>
      <c r="D100" s="60"/>
      <c r="E100" s="5"/>
      <c r="F100" s="5"/>
      <c r="I100" s="40"/>
      <c r="J100" s="41"/>
      <c r="K100" s="41" t="str">
        <f t="shared" si="56"/>
        <v/>
      </c>
      <c r="L100" s="42" t="str">
        <f t="shared" si="57"/>
        <v/>
      </c>
      <c r="M100" s="41" t="str">
        <f t="shared" si="58"/>
        <v/>
      </c>
      <c r="N100" s="43">
        <f t="shared" si="31"/>
        <v>0</v>
      </c>
      <c r="O100" s="44">
        <f t="shared" si="32"/>
        <v>0</v>
      </c>
      <c r="P100" s="41" t="str">
        <f t="shared" si="33"/>
        <v/>
      </c>
      <c r="Q100" s="41" t="str">
        <f t="shared" si="34"/>
        <v/>
      </c>
      <c r="R100" s="48"/>
      <c r="S100" s="44" t="str">
        <f>IF(I100&lt;&gt;"",_xlfn.XLOOKUP(D$4+I100,A$26:A$145,$C$26:$C$145,0) * 1000,"")</f>
        <v/>
      </c>
      <c r="T100" s="52">
        <f t="shared" si="60"/>
        <v>0</v>
      </c>
      <c r="U100" s="53" t="str">
        <f t="shared" si="45"/>
        <v/>
      </c>
      <c r="V100" s="53" t="str">
        <f t="shared" si="46"/>
        <v/>
      </c>
      <c r="W100" s="53" t="str">
        <f t="shared" si="47"/>
        <v/>
      </c>
      <c r="X100" s="46" t="str">
        <f t="shared" si="35"/>
        <v/>
      </c>
      <c r="Y100" s="48"/>
      <c r="Z100" s="41" t="str">
        <f t="shared" si="48"/>
        <v/>
      </c>
      <c r="AA100" s="41" t="str">
        <f t="shared" si="49"/>
        <v/>
      </c>
      <c r="AB100" s="41" t="str">
        <f t="shared" si="36"/>
        <v/>
      </c>
      <c r="AC100" s="41" t="str">
        <f t="shared" si="37"/>
        <v/>
      </c>
      <c r="AD100" s="48"/>
      <c r="AE100" s="41" t="str">
        <f t="shared" si="38"/>
        <v/>
      </c>
      <c r="AF100" s="41"/>
      <c r="AG100" s="41" t="str">
        <f t="shared" si="39"/>
        <v/>
      </c>
      <c r="AH100" s="41" t="str">
        <f t="shared" si="50"/>
        <v/>
      </c>
      <c r="AI100" s="41" t="str">
        <f t="shared" si="51"/>
        <v/>
      </c>
      <c r="AJ100" s="41">
        <f t="shared" si="40"/>
        <v>0</v>
      </c>
      <c r="AK100" s="41" t="str">
        <f t="shared" si="41"/>
        <v/>
      </c>
      <c r="AL100" s="41">
        <f t="shared" si="52"/>
        <v>0</v>
      </c>
      <c r="AM100" s="41">
        <f t="shared" si="42"/>
        <v>0</v>
      </c>
      <c r="AN100" s="41" t="str">
        <f t="shared" si="43"/>
        <v/>
      </c>
      <c r="AO100" s="41">
        <f t="shared" si="59"/>
        <v>0</v>
      </c>
      <c r="AP100" s="48"/>
      <c r="AQ100" s="48"/>
      <c r="AR100" s="48"/>
      <c r="AS100" s="48"/>
      <c r="AT100" s="51">
        <f t="shared" si="53"/>
        <v>96</v>
      </c>
      <c r="AU100" s="49" t="str">
        <f t="shared" si="54"/>
        <v/>
      </c>
      <c r="AV100" s="49" t="str">
        <f t="shared" si="55"/>
        <v/>
      </c>
      <c r="AW100" s="50">
        <f xml:space="preserve"> IF(ISERROR(ROUND((1000*NPV($AT$1,$AV101:$AV$124)-$AW$1*($AU101+NPV($AT$1,$AU102:$AU$124)))/AU101,3)), 0, ROUND((1000*NPV($AT$1,$AV101:$AV$124)-$AW$1*($AU101+NPV($AT$1,$AU102:$AU$124)))/AU101,3))</f>
        <v>0</v>
      </c>
      <c r="AX100" s="50">
        <f>IF(ISERROR(ROUND(MAX(0,1000*NPV($AT$2,$AV101:$AV$124)-$AW$2*($AU101+NPV($AT$2,$AU102:$AU$124)))/AU101,3)), 0, ROUND(MAX(0,1000*NPV($AT$2,$AV101:$AV$124)-$AW$2*($AU101+NPV($AT$2,$AU102:$AU$124)))/AU101,3))</f>
        <v>0</v>
      </c>
    </row>
    <row r="101" spans="1:50" ht="15" x14ac:dyDescent="0.25">
      <c r="A101">
        <v>76</v>
      </c>
      <c r="B101">
        <v>7.8497390460922495E-2</v>
      </c>
      <c r="C101">
        <f t="shared" si="61"/>
        <v>7.3787547033267134E-2</v>
      </c>
      <c r="D101" s="60"/>
      <c r="E101" s="5"/>
      <c r="F101" s="5"/>
      <c r="I101" s="40"/>
      <c r="J101" s="41"/>
      <c r="K101" s="41" t="str">
        <f t="shared" si="56"/>
        <v/>
      </c>
      <c r="L101" s="42" t="str">
        <f t="shared" si="57"/>
        <v/>
      </c>
      <c r="M101" s="41" t="str">
        <f t="shared" si="58"/>
        <v/>
      </c>
      <c r="N101" s="43">
        <f t="shared" si="31"/>
        <v>0</v>
      </c>
      <c r="O101" s="44">
        <f t="shared" si="32"/>
        <v>0</v>
      </c>
      <c r="P101" s="41" t="str">
        <f t="shared" si="33"/>
        <v/>
      </c>
      <c r="Q101" s="41" t="str">
        <f t="shared" si="34"/>
        <v/>
      </c>
      <c r="R101" s="48"/>
      <c r="S101" s="44" t="str">
        <f>IF(I101&lt;&gt;"",_xlfn.XLOOKUP(D$4+I101,A$26:A$145,$C$26:$C$145,0) * 1000,"")</f>
        <v/>
      </c>
      <c r="T101" s="52">
        <f t="shared" si="60"/>
        <v>0</v>
      </c>
      <c r="U101" s="53" t="str">
        <f t="shared" si="45"/>
        <v/>
      </c>
      <c r="V101" s="53" t="str">
        <f t="shared" si="46"/>
        <v/>
      </c>
      <c r="W101" s="53" t="str">
        <f t="shared" si="47"/>
        <v/>
      </c>
      <c r="X101" s="46" t="str">
        <f t="shared" si="35"/>
        <v/>
      </c>
      <c r="Y101" s="48"/>
      <c r="Z101" s="41" t="str">
        <f t="shared" si="48"/>
        <v/>
      </c>
      <c r="AA101" s="41" t="str">
        <f t="shared" si="49"/>
        <v/>
      </c>
      <c r="AB101" s="41" t="str">
        <f t="shared" si="36"/>
        <v/>
      </c>
      <c r="AC101" s="41" t="str">
        <f t="shared" si="37"/>
        <v/>
      </c>
      <c r="AD101" s="48"/>
      <c r="AE101" s="41" t="str">
        <f t="shared" si="38"/>
        <v/>
      </c>
      <c r="AF101" s="41"/>
      <c r="AG101" s="41" t="str">
        <f t="shared" si="39"/>
        <v/>
      </c>
      <c r="AH101" s="41" t="str">
        <f t="shared" si="50"/>
        <v/>
      </c>
      <c r="AI101" s="41" t="str">
        <f t="shared" si="51"/>
        <v/>
      </c>
      <c r="AJ101" s="41">
        <f t="shared" si="40"/>
        <v>0</v>
      </c>
      <c r="AK101" s="41" t="str">
        <f t="shared" si="41"/>
        <v/>
      </c>
      <c r="AL101" s="41">
        <f t="shared" si="52"/>
        <v>0</v>
      </c>
      <c r="AM101" s="41">
        <f t="shared" si="42"/>
        <v>0</v>
      </c>
      <c r="AN101" s="41" t="str">
        <f t="shared" si="43"/>
        <v/>
      </c>
      <c r="AO101" s="41">
        <f t="shared" si="59"/>
        <v>0</v>
      </c>
      <c r="AP101" s="48"/>
      <c r="AQ101" s="48"/>
      <c r="AR101" s="48"/>
      <c r="AS101" s="48"/>
      <c r="AT101" s="51">
        <f t="shared" si="53"/>
        <v>97</v>
      </c>
      <c r="AU101" s="49" t="str">
        <f t="shared" si="54"/>
        <v/>
      </c>
      <c r="AV101" s="49" t="str">
        <f t="shared" si="55"/>
        <v/>
      </c>
      <c r="AW101" s="50">
        <f xml:space="preserve"> IF(ISERROR(ROUND((1000*NPV($AT$1,$AV102:$AV$124)-$AW$1*($AU102+NPV($AT$1,$AU103:$AU$124)))/AU102,3)), 0, ROUND((1000*NPV($AT$1,$AV102:$AV$124)-$AW$1*($AU102+NPV($AT$1,$AU103:$AU$124)))/AU102,3))</f>
        <v>0</v>
      </c>
      <c r="AX101" s="50">
        <f>IF(ISERROR(ROUND(MAX(0,1000*NPV($AT$2,$AV102:$AV$124)-$AW$2*($AU102+NPV($AT$2,$AU103:$AU$124)))/AU102,3)), 0, ROUND(MAX(0,1000*NPV($AT$2,$AV102:$AV$124)-$AW$2*($AU102+NPV($AT$2,$AU103:$AU$124)))/AU102,3))</f>
        <v>0</v>
      </c>
    </row>
    <row r="102" spans="1:50" ht="15" x14ac:dyDescent="0.25">
      <c r="A102">
        <v>77</v>
      </c>
      <c r="B102">
        <v>8.83834682954696E-2</v>
      </c>
      <c r="C102">
        <f t="shared" si="61"/>
        <v>8.3080460197741415E-2</v>
      </c>
      <c r="D102" s="60"/>
      <c r="E102" s="5"/>
      <c r="F102" s="5"/>
      <c r="I102" s="40"/>
      <c r="J102" s="41"/>
      <c r="K102" s="41" t="str">
        <f t="shared" si="56"/>
        <v/>
      </c>
      <c r="L102" s="42" t="str">
        <f t="shared" si="57"/>
        <v/>
      </c>
      <c r="M102" s="41" t="str">
        <f t="shared" si="58"/>
        <v/>
      </c>
      <c r="N102" s="43">
        <f t="shared" si="31"/>
        <v>0</v>
      </c>
      <c r="O102" s="44">
        <f t="shared" si="32"/>
        <v>0</v>
      </c>
      <c r="P102" s="41" t="str">
        <f t="shared" si="33"/>
        <v/>
      </c>
      <c r="Q102" s="41" t="str">
        <f t="shared" si="34"/>
        <v/>
      </c>
      <c r="R102" s="48"/>
      <c r="S102" s="44" t="str">
        <f>IF(I102&lt;&gt;"",_xlfn.XLOOKUP(D$4+I102,A$26:A$145,$C$26:$C$145,0) * 1000,"")</f>
        <v/>
      </c>
      <c r="T102" s="52">
        <f t="shared" si="60"/>
        <v>0</v>
      </c>
      <c r="U102" s="53" t="str">
        <f t="shared" si="45"/>
        <v/>
      </c>
      <c r="V102" s="53" t="str">
        <f t="shared" si="46"/>
        <v/>
      </c>
      <c r="W102" s="53" t="str">
        <f t="shared" si="47"/>
        <v/>
      </c>
      <c r="X102" s="46" t="str">
        <f t="shared" si="35"/>
        <v/>
      </c>
      <c r="Y102" s="48"/>
      <c r="Z102" s="41" t="str">
        <f t="shared" si="48"/>
        <v/>
      </c>
      <c r="AA102" s="41" t="str">
        <f t="shared" si="49"/>
        <v/>
      </c>
      <c r="AB102" s="41" t="str">
        <f t="shared" si="36"/>
        <v/>
      </c>
      <c r="AC102" s="41" t="str">
        <f t="shared" si="37"/>
        <v/>
      </c>
      <c r="AD102" s="48"/>
      <c r="AE102" s="41" t="str">
        <f t="shared" si="38"/>
        <v/>
      </c>
      <c r="AF102" s="41"/>
      <c r="AG102" s="41" t="str">
        <f t="shared" si="39"/>
        <v/>
      </c>
      <c r="AH102" s="41" t="str">
        <f t="shared" si="50"/>
        <v/>
      </c>
      <c r="AI102" s="41" t="str">
        <f t="shared" si="51"/>
        <v/>
      </c>
      <c r="AJ102" s="41">
        <f t="shared" si="40"/>
        <v>0</v>
      </c>
      <c r="AK102" s="41" t="str">
        <f t="shared" si="41"/>
        <v/>
      </c>
      <c r="AL102" s="41">
        <f t="shared" si="52"/>
        <v>0</v>
      </c>
      <c r="AM102" s="41">
        <f t="shared" si="42"/>
        <v>0</v>
      </c>
      <c r="AN102" s="41" t="str">
        <f t="shared" si="43"/>
        <v/>
      </c>
      <c r="AO102" s="41">
        <f t="shared" si="59"/>
        <v>0</v>
      </c>
      <c r="AP102" s="48"/>
      <c r="AQ102" s="48"/>
      <c r="AR102" s="48"/>
      <c r="AS102" s="48"/>
      <c r="AT102" s="51">
        <f t="shared" si="53"/>
        <v>98</v>
      </c>
      <c r="AU102" s="49" t="str">
        <f t="shared" si="54"/>
        <v/>
      </c>
      <c r="AV102" s="49" t="str">
        <f t="shared" si="55"/>
        <v/>
      </c>
      <c r="AW102" s="50">
        <f xml:space="preserve"> IF(ISERROR(ROUND((1000*NPV($AT$1,$AV103:$AV$124)-$AW$1*($AU103+NPV($AT$1,$AU104:$AU$124)))/AU103,3)), 0, ROUND((1000*NPV($AT$1,$AV103:$AV$124)-$AW$1*($AU103+NPV($AT$1,$AU104:$AU$124)))/AU103,3))</f>
        <v>0</v>
      </c>
      <c r="AX102" s="50">
        <f>IF(ISERROR(ROUND(MAX(0,1000*NPV($AT$2,$AV103:$AV$124)-$AW$2*($AU103+NPV($AT$2,$AU104:$AU$124)))/AU103,3)), 0, ROUND(MAX(0,1000*NPV($AT$2,$AV103:$AV$124)-$AW$2*($AU103+NPV($AT$2,$AU104:$AU$124)))/AU103,3))</f>
        <v>0</v>
      </c>
    </row>
    <row r="103" spans="1:50" ht="15" x14ac:dyDescent="0.25">
      <c r="A103">
        <v>78</v>
      </c>
      <c r="B103">
        <v>9.9367943057930105E-2</v>
      </c>
      <c r="C103">
        <f t="shared" si="61"/>
        <v>9.3405866474454299E-2</v>
      </c>
      <c r="D103" s="60"/>
      <c r="E103" s="5"/>
      <c r="F103" s="5"/>
      <c r="I103" s="40"/>
      <c r="J103" s="41"/>
      <c r="K103" s="41" t="str">
        <f t="shared" si="56"/>
        <v/>
      </c>
      <c r="L103" s="42" t="str">
        <f t="shared" si="57"/>
        <v/>
      </c>
      <c r="M103" s="41" t="str">
        <f t="shared" si="58"/>
        <v/>
      </c>
      <c r="N103" s="43">
        <f t="shared" si="31"/>
        <v>0</v>
      </c>
      <c r="O103" s="44">
        <f t="shared" si="32"/>
        <v>0</v>
      </c>
      <c r="P103" s="41" t="str">
        <f t="shared" si="33"/>
        <v/>
      </c>
      <c r="Q103" s="41" t="str">
        <f t="shared" si="34"/>
        <v/>
      </c>
      <c r="R103" s="48"/>
      <c r="S103" s="44" t="str">
        <f>IF(I103&lt;&gt;"",_xlfn.XLOOKUP(D$4+I103,A$26:A$145,$C$26:$C$145,0) * 1000,"")</f>
        <v/>
      </c>
      <c r="T103" s="52">
        <f t="shared" si="60"/>
        <v>0</v>
      </c>
      <c r="U103" s="53" t="str">
        <f t="shared" si="45"/>
        <v/>
      </c>
      <c r="V103" s="53" t="str">
        <f t="shared" si="46"/>
        <v/>
      </c>
      <c r="W103" s="53" t="str">
        <f t="shared" si="47"/>
        <v/>
      </c>
      <c r="X103" s="46" t="str">
        <f t="shared" si="35"/>
        <v/>
      </c>
      <c r="Y103" s="48"/>
      <c r="Z103" s="41" t="str">
        <f t="shared" si="48"/>
        <v/>
      </c>
      <c r="AA103" s="41" t="str">
        <f t="shared" si="49"/>
        <v/>
      </c>
      <c r="AB103" s="41" t="str">
        <f t="shared" si="36"/>
        <v/>
      </c>
      <c r="AC103" s="41" t="str">
        <f t="shared" si="37"/>
        <v/>
      </c>
      <c r="AD103" s="48"/>
      <c r="AE103" s="41" t="str">
        <f t="shared" si="38"/>
        <v/>
      </c>
      <c r="AF103" s="41"/>
      <c r="AG103" s="41" t="str">
        <f t="shared" si="39"/>
        <v/>
      </c>
      <c r="AH103" s="41" t="str">
        <f t="shared" si="50"/>
        <v/>
      </c>
      <c r="AI103" s="41" t="str">
        <f t="shared" si="51"/>
        <v/>
      </c>
      <c r="AJ103" s="41">
        <f t="shared" si="40"/>
        <v>0</v>
      </c>
      <c r="AK103" s="41" t="str">
        <f t="shared" si="41"/>
        <v/>
      </c>
      <c r="AL103" s="41">
        <f t="shared" si="52"/>
        <v>0</v>
      </c>
      <c r="AM103" s="41">
        <f t="shared" si="42"/>
        <v>0</v>
      </c>
      <c r="AN103" s="41" t="str">
        <f t="shared" si="43"/>
        <v/>
      </c>
      <c r="AO103" s="41">
        <f t="shared" si="59"/>
        <v>0</v>
      </c>
      <c r="AP103" s="48"/>
      <c r="AQ103" s="48"/>
      <c r="AR103" s="48"/>
      <c r="AS103" s="48"/>
      <c r="AT103" s="51">
        <f t="shared" si="53"/>
        <v>99</v>
      </c>
      <c r="AU103" s="49" t="str">
        <f t="shared" si="54"/>
        <v/>
      </c>
      <c r="AV103" s="49" t="str">
        <f t="shared" si="55"/>
        <v/>
      </c>
      <c r="AW103" s="50">
        <f xml:space="preserve"> IF(ISERROR(ROUND((1000*NPV($AT$1,$AV104:$AV$124)-$AW$1*($AU104+NPV($AT$1,$AU105:$AU$124)))/AU104,3)), 0, ROUND((1000*NPV($AT$1,$AV104:$AV$124)-$AW$1*($AU104+NPV($AT$1,$AU105:$AU$124)))/AU104,3))</f>
        <v>0</v>
      </c>
      <c r="AX103" s="50">
        <f>IF(ISERROR(ROUND(MAX(0,1000*NPV($AT$2,$AV104:$AV$124)-$AW$2*($AU104+NPV($AT$2,$AU105:$AU$124)))/AU104,3)), 0, ROUND(MAX(0,1000*NPV($AT$2,$AV104:$AV$124)-$AW$2*($AU104+NPV($AT$2,$AU105:$AU$124)))/AU104,3))</f>
        <v>0</v>
      </c>
    </row>
    <row r="104" spans="1:50" ht="15" x14ac:dyDescent="0.25">
      <c r="A104">
        <v>79</v>
      </c>
      <c r="B104">
        <v>0.11150506843921</v>
      </c>
      <c r="C104">
        <f t="shared" si="61"/>
        <v>0.1048147643328574</v>
      </c>
      <c r="D104" s="60"/>
      <c r="E104" s="5"/>
      <c r="F104" s="5"/>
      <c r="I104" s="40"/>
      <c r="J104" s="41"/>
      <c r="K104" s="41" t="str">
        <f t="shared" si="56"/>
        <v/>
      </c>
      <c r="L104" s="42" t="str">
        <f t="shared" si="57"/>
        <v/>
      </c>
      <c r="M104" s="41" t="str">
        <f t="shared" si="58"/>
        <v/>
      </c>
      <c r="N104" s="43">
        <f t="shared" si="31"/>
        <v>0</v>
      </c>
      <c r="O104" s="44">
        <f t="shared" si="32"/>
        <v>0</v>
      </c>
      <c r="P104" s="41" t="str">
        <f t="shared" si="33"/>
        <v/>
      </c>
      <c r="Q104" s="41" t="str">
        <f t="shared" si="34"/>
        <v/>
      </c>
      <c r="R104" s="48"/>
      <c r="S104" s="44" t="str">
        <f>IF(I104&lt;&gt;"",_xlfn.XLOOKUP(D$4+I104,A$26:A$145,$C$26:$C$145,0) * 1000,"")</f>
        <v/>
      </c>
      <c r="T104" s="52">
        <f t="shared" si="60"/>
        <v>0</v>
      </c>
      <c r="U104" s="53" t="str">
        <f t="shared" si="45"/>
        <v/>
      </c>
      <c r="V104" s="53" t="str">
        <f t="shared" si="46"/>
        <v/>
      </c>
      <c r="W104" s="53" t="str">
        <f t="shared" si="47"/>
        <v/>
      </c>
      <c r="X104" s="46" t="str">
        <f t="shared" si="35"/>
        <v/>
      </c>
      <c r="Y104" s="48"/>
      <c r="Z104" s="41" t="str">
        <f t="shared" si="48"/>
        <v/>
      </c>
      <c r="AA104" s="41" t="str">
        <f t="shared" si="49"/>
        <v/>
      </c>
      <c r="AB104" s="41" t="str">
        <f t="shared" si="36"/>
        <v/>
      </c>
      <c r="AC104" s="41" t="str">
        <f t="shared" si="37"/>
        <v/>
      </c>
      <c r="AD104" s="48"/>
      <c r="AE104" s="41" t="str">
        <f t="shared" si="38"/>
        <v/>
      </c>
      <c r="AF104" s="41"/>
      <c r="AG104" s="41" t="str">
        <f t="shared" si="39"/>
        <v/>
      </c>
      <c r="AH104" s="41" t="str">
        <f t="shared" si="50"/>
        <v/>
      </c>
      <c r="AI104" s="41" t="str">
        <f t="shared" si="51"/>
        <v/>
      </c>
      <c r="AJ104" s="41">
        <f t="shared" si="40"/>
        <v>0</v>
      </c>
      <c r="AK104" s="41" t="str">
        <f t="shared" si="41"/>
        <v/>
      </c>
      <c r="AL104" s="41">
        <f t="shared" si="52"/>
        <v>0</v>
      </c>
      <c r="AM104" s="41">
        <f t="shared" si="42"/>
        <v>0</v>
      </c>
      <c r="AN104" s="41" t="str">
        <f t="shared" si="43"/>
        <v/>
      </c>
      <c r="AO104" s="41">
        <f t="shared" si="59"/>
        <v>0</v>
      </c>
      <c r="AP104" s="48"/>
      <c r="AQ104" s="48"/>
      <c r="AR104" s="48"/>
      <c r="AS104" s="48"/>
      <c r="AT104" s="51">
        <f t="shared" si="53"/>
        <v>100</v>
      </c>
      <c r="AU104" s="49" t="str">
        <f t="shared" si="54"/>
        <v/>
      </c>
      <c r="AV104" s="49" t="str">
        <f t="shared" si="55"/>
        <v/>
      </c>
      <c r="AW104" s="50">
        <f xml:space="preserve"> IF(ISERROR(ROUND((1000*NPV($AT$1,$AV105:$AV$124)-$AW$1*($AU105+NPV($AT$1,$AU106:$AU$124)))/AU105,3)), 0, ROUND((1000*NPV($AT$1,$AV105:$AV$124)-$AW$1*($AU105+NPV($AT$1,$AU106:$AU$124)))/AU105,3))</f>
        <v>0</v>
      </c>
      <c r="AX104" s="50">
        <f>IF(ISERROR(ROUND(MAX(0,1000*NPV($AT$2,$AV105:$AV$124)-$AW$2*($AU105+NPV($AT$2,$AU106:$AU$124)))/AU105,3)), 0, ROUND(MAX(0,1000*NPV($AT$2,$AV105:$AV$124)-$AW$2*($AU105+NPV($AT$2,$AU106:$AU$124)))/AU105,3))</f>
        <v>0</v>
      </c>
    </row>
    <row r="105" spans="1:50" ht="15" x14ac:dyDescent="0.25">
      <c r="A105">
        <v>80</v>
      </c>
      <c r="B105">
        <v>0.124648641040985</v>
      </c>
      <c r="C105">
        <f t="shared" si="61"/>
        <v>0.1171697225785259</v>
      </c>
      <c r="D105" s="60"/>
      <c r="E105" s="5"/>
      <c r="F105" s="5"/>
      <c r="I105" s="40"/>
      <c r="J105" s="41"/>
      <c r="K105" s="41" t="str">
        <f t="shared" si="56"/>
        <v/>
      </c>
      <c r="L105" s="42" t="str">
        <f t="shared" si="57"/>
        <v/>
      </c>
      <c r="M105" s="41" t="str">
        <f t="shared" si="58"/>
        <v/>
      </c>
      <c r="N105" s="43">
        <f t="shared" si="31"/>
        <v>0</v>
      </c>
      <c r="O105" s="44">
        <f t="shared" si="32"/>
        <v>0</v>
      </c>
      <c r="P105" s="41" t="str">
        <f t="shared" si="33"/>
        <v/>
      </c>
      <c r="Q105" s="41" t="str">
        <f t="shared" si="34"/>
        <v/>
      </c>
      <c r="R105" s="48"/>
      <c r="S105" s="44" t="str">
        <f>IF(I105&lt;&gt;"",_xlfn.XLOOKUP(D$4+I105,A$26:A$145,$C$26:$C$145,0) * 1000,"")</f>
        <v/>
      </c>
      <c r="T105" s="52">
        <f t="shared" si="60"/>
        <v>0</v>
      </c>
      <c r="U105" s="53" t="str">
        <f t="shared" si="45"/>
        <v/>
      </c>
      <c r="V105" s="53" t="str">
        <f t="shared" si="46"/>
        <v/>
      </c>
      <c r="W105" s="53" t="str">
        <f t="shared" si="47"/>
        <v/>
      </c>
      <c r="X105" s="46" t="str">
        <f t="shared" si="35"/>
        <v/>
      </c>
      <c r="Y105" s="48"/>
      <c r="Z105" s="41" t="str">
        <f t="shared" si="48"/>
        <v/>
      </c>
      <c r="AA105" s="41" t="str">
        <f t="shared" si="49"/>
        <v/>
      </c>
      <c r="AB105" s="41" t="str">
        <f t="shared" si="36"/>
        <v/>
      </c>
      <c r="AC105" s="41" t="str">
        <f t="shared" si="37"/>
        <v/>
      </c>
      <c r="AD105" s="48"/>
      <c r="AE105" s="41" t="str">
        <f t="shared" si="38"/>
        <v/>
      </c>
      <c r="AF105" s="41"/>
      <c r="AG105" s="41" t="str">
        <f t="shared" si="39"/>
        <v/>
      </c>
      <c r="AH105" s="41" t="str">
        <f t="shared" si="50"/>
        <v/>
      </c>
      <c r="AI105" s="41" t="str">
        <f t="shared" si="51"/>
        <v/>
      </c>
      <c r="AJ105" s="41">
        <f t="shared" si="40"/>
        <v>0</v>
      </c>
      <c r="AK105" s="41" t="str">
        <f t="shared" si="41"/>
        <v/>
      </c>
      <c r="AL105" s="41">
        <f t="shared" si="52"/>
        <v>0</v>
      </c>
      <c r="AM105" s="41">
        <f t="shared" si="42"/>
        <v>0</v>
      </c>
      <c r="AN105" s="41" t="str">
        <f t="shared" si="43"/>
        <v/>
      </c>
      <c r="AO105" s="41">
        <f t="shared" si="59"/>
        <v>0</v>
      </c>
      <c r="AP105" s="48"/>
      <c r="AQ105" s="48"/>
      <c r="AR105" s="48"/>
      <c r="AS105" s="48"/>
      <c r="AT105" s="51">
        <f t="shared" si="53"/>
        <v>101</v>
      </c>
      <c r="AU105" s="49" t="str">
        <f t="shared" si="54"/>
        <v/>
      </c>
      <c r="AV105" s="49" t="str">
        <f t="shared" si="55"/>
        <v/>
      </c>
      <c r="AW105" s="50">
        <f xml:space="preserve"> IF(ISERROR(ROUND((1000*NPV($AT$1,$AV106:$AV$124)-$AW$1*($AU106+NPV($AT$1,$AU107:$AU$124)))/AU106,3)), 0, ROUND((1000*NPV($AT$1,$AV106:$AV$124)-$AW$1*($AU106+NPV($AT$1,$AU107:$AU$124)))/AU106,3))</f>
        <v>0</v>
      </c>
      <c r="AX105" s="50">
        <f>IF(ISERROR(ROUND(MAX(0,1000*NPV($AT$2,$AV106:$AV$124)-$AW$2*($AU106+NPV($AT$2,$AU107:$AU$124)))/AU106,3)), 0, ROUND(MAX(0,1000*NPV($AT$2,$AV106:$AV$124)-$AW$2*($AU106+NPV($AT$2,$AU107:$AU$124)))/AU106,3))</f>
        <v>0</v>
      </c>
    </row>
    <row r="106" spans="1:50" ht="15" x14ac:dyDescent="0.25">
      <c r="A106">
        <v>81</v>
      </c>
      <c r="B106">
        <v>0.138971594877288</v>
      </c>
      <c r="C106">
        <f t="shared" si="61"/>
        <v>0.13063329918465072</v>
      </c>
      <c r="D106" s="60"/>
      <c r="E106" s="5"/>
      <c r="F106" s="5"/>
      <c r="I106" s="40"/>
      <c r="J106" s="41"/>
      <c r="K106" s="41" t="str">
        <f t="shared" si="56"/>
        <v/>
      </c>
      <c r="L106" s="42" t="str">
        <f t="shared" si="57"/>
        <v/>
      </c>
      <c r="M106" s="41" t="str">
        <f t="shared" si="58"/>
        <v/>
      </c>
      <c r="N106" s="43">
        <f t="shared" si="31"/>
        <v>0</v>
      </c>
      <c r="O106" s="44">
        <f t="shared" si="32"/>
        <v>0</v>
      </c>
      <c r="P106" s="41" t="str">
        <f t="shared" si="33"/>
        <v/>
      </c>
      <c r="Q106" s="41" t="str">
        <f t="shared" si="34"/>
        <v/>
      </c>
      <c r="R106" s="48"/>
      <c r="S106" s="44" t="str">
        <f>IF(I106&lt;&gt;"",_xlfn.XLOOKUP(D$4+I106,A$26:A$145,$C$26:$C$145,0) * 1000,"")</f>
        <v/>
      </c>
      <c r="T106" s="52">
        <f t="shared" si="60"/>
        <v>0</v>
      </c>
      <c r="U106" s="53" t="str">
        <f t="shared" si="45"/>
        <v/>
      </c>
      <c r="V106" s="53" t="str">
        <f t="shared" si="46"/>
        <v/>
      </c>
      <c r="W106" s="53" t="str">
        <f t="shared" si="47"/>
        <v/>
      </c>
      <c r="X106" s="46" t="str">
        <f t="shared" si="35"/>
        <v/>
      </c>
      <c r="Y106" s="48"/>
      <c r="Z106" s="41" t="str">
        <f t="shared" si="48"/>
        <v/>
      </c>
      <c r="AA106" s="41" t="str">
        <f t="shared" si="49"/>
        <v/>
      </c>
      <c r="AB106" s="41" t="str">
        <f t="shared" si="36"/>
        <v/>
      </c>
      <c r="AC106" s="41" t="str">
        <f t="shared" si="37"/>
        <v/>
      </c>
      <c r="AD106" s="48"/>
      <c r="AE106" s="41" t="str">
        <f t="shared" si="38"/>
        <v/>
      </c>
      <c r="AF106" s="41"/>
      <c r="AG106" s="41" t="str">
        <f t="shared" si="39"/>
        <v/>
      </c>
      <c r="AH106" s="41" t="str">
        <f t="shared" si="50"/>
        <v/>
      </c>
      <c r="AI106" s="41" t="str">
        <f t="shared" si="51"/>
        <v/>
      </c>
      <c r="AJ106" s="41">
        <f t="shared" si="40"/>
        <v>0</v>
      </c>
      <c r="AK106" s="41" t="str">
        <f t="shared" si="41"/>
        <v/>
      </c>
      <c r="AL106" s="41">
        <f t="shared" si="52"/>
        <v>0</v>
      </c>
      <c r="AM106" s="41">
        <f t="shared" si="42"/>
        <v>0</v>
      </c>
      <c r="AN106" s="41" t="str">
        <f t="shared" si="43"/>
        <v/>
      </c>
      <c r="AO106" s="41">
        <f t="shared" si="59"/>
        <v>0</v>
      </c>
      <c r="AP106" s="48"/>
      <c r="AQ106" s="48"/>
      <c r="AR106" s="48"/>
      <c r="AS106" s="48"/>
      <c r="AT106" s="51">
        <f t="shared" si="53"/>
        <v>102</v>
      </c>
      <c r="AU106" s="49" t="str">
        <f t="shared" si="54"/>
        <v/>
      </c>
      <c r="AV106" s="49" t="str">
        <f t="shared" si="55"/>
        <v/>
      </c>
      <c r="AW106" s="50">
        <f xml:space="preserve"> IF(ISERROR(ROUND((1000*NPV($AT$1,$AV107:$AV$124)-$AW$1*($AU107+NPV($AT$1,$AU108:$AU$124)))/AU107,3)), 0, ROUND((1000*NPV($AT$1,$AV107:$AV$124)-$AW$1*($AU107+NPV($AT$1,$AU108:$AU$124)))/AU107,3))</f>
        <v>0</v>
      </c>
      <c r="AX106" s="50">
        <f>IF(ISERROR(ROUND(MAX(0,1000*NPV($AT$2,$AV107:$AV$124)-$AW$2*($AU107+NPV($AT$2,$AU108:$AU$124)))/AU107,3)), 0, ROUND(MAX(0,1000*NPV($AT$2,$AV107:$AV$124)-$AW$2*($AU107+NPV($AT$2,$AU108:$AU$124)))/AU107,3))</f>
        <v>0</v>
      </c>
    </row>
    <row r="107" spans="1:50" ht="15" x14ac:dyDescent="0.25">
      <c r="A107">
        <v>82</v>
      </c>
      <c r="B107">
        <v>0.154929489977464</v>
      </c>
      <c r="C107">
        <f t="shared" si="61"/>
        <v>0.14563372057881616</v>
      </c>
      <c r="D107" s="60"/>
      <c r="E107" s="5"/>
      <c r="F107" s="5"/>
      <c r="I107" s="40"/>
      <c r="J107" s="41"/>
      <c r="K107" s="41" t="str">
        <f t="shared" si="56"/>
        <v/>
      </c>
      <c r="L107" s="42" t="str">
        <f t="shared" si="57"/>
        <v/>
      </c>
      <c r="M107" s="41" t="str">
        <f t="shared" si="58"/>
        <v/>
      </c>
      <c r="N107" s="43">
        <f t="shared" si="31"/>
        <v>0</v>
      </c>
      <c r="O107" s="44">
        <f t="shared" si="32"/>
        <v>0</v>
      </c>
      <c r="P107" s="41" t="str">
        <f t="shared" si="33"/>
        <v/>
      </c>
      <c r="Q107" s="41" t="str">
        <f t="shared" si="34"/>
        <v/>
      </c>
      <c r="R107" s="48"/>
      <c r="S107" s="44" t="str">
        <f>IF(I107&lt;&gt;"",_xlfn.XLOOKUP(D$4+I107,A$26:A$145,$C$26:$C$145,0) * 1000,"")</f>
        <v/>
      </c>
      <c r="T107" s="52">
        <f t="shared" si="60"/>
        <v>0</v>
      </c>
      <c r="U107" s="53" t="str">
        <f t="shared" si="45"/>
        <v/>
      </c>
      <c r="V107" s="53" t="str">
        <f t="shared" si="46"/>
        <v/>
      </c>
      <c r="W107" s="53" t="str">
        <f t="shared" si="47"/>
        <v/>
      </c>
      <c r="X107" s="46" t="str">
        <f t="shared" si="35"/>
        <v/>
      </c>
      <c r="Y107" s="48"/>
      <c r="Z107" s="41" t="str">
        <f t="shared" si="48"/>
        <v/>
      </c>
      <c r="AA107" s="41" t="str">
        <f t="shared" si="49"/>
        <v/>
      </c>
      <c r="AB107" s="41" t="str">
        <f t="shared" si="36"/>
        <v/>
      </c>
      <c r="AC107" s="41" t="str">
        <f t="shared" si="37"/>
        <v/>
      </c>
      <c r="AD107" s="48"/>
      <c r="AE107" s="41" t="str">
        <f t="shared" si="38"/>
        <v/>
      </c>
      <c r="AF107" s="41"/>
      <c r="AG107" s="41" t="str">
        <f t="shared" si="39"/>
        <v/>
      </c>
      <c r="AH107" s="41" t="str">
        <f t="shared" si="50"/>
        <v/>
      </c>
      <c r="AI107" s="41" t="str">
        <f t="shared" si="51"/>
        <v/>
      </c>
      <c r="AJ107" s="41">
        <f t="shared" si="40"/>
        <v>0</v>
      </c>
      <c r="AK107" s="41" t="str">
        <f t="shared" si="41"/>
        <v/>
      </c>
      <c r="AL107" s="41">
        <f t="shared" si="52"/>
        <v>0</v>
      </c>
      <c r="AM107" s="41">
        <f t="shared" si="42"/>
        <v>0</v>
      </c>
      <c r="AN107" s="41" t="str">
        <f t="shared" si="43"/>
        <v/>
      </c>
      <c r="AO107" s="41">
        <f t="shared" si="59"/>
        <v>0</v>
      </c>
      <c r="AP107" s="48"/>
      <c r="AQ107" s="48"/>
      <c r="AR107" s="48"/>
      <c r="AS107" s="48"/>
      <c r="AT107" s="51">
        <f t="shared" si="53"/>
        <v>103</v>
      </c>
      <c r="AU107" s="49" t="str">
        <f t="shared" si="54"/>
        <v/>
      </c>
      <c r="AV107" s="49" t="str">
        <f t="shared" si="55"/>
        <v/>
      </c>
      <c r="AW107" s="50">
        <f xml:space="preserve"> IF(ISERROR(ROUND((1000*NPV($AT$1,$AV108:$AV$124)-$AW$1*($AU108+NPV($AT$1,$AU109:$AU$124)))/AU108,3)), 0, ROUND((1000*NPV($AT$1,$AV108:$AV$124)-$AW$1*($AU108+NPV($AT$1,$AU109:$AU$124)))/AU108,3))</f>
        <v>0</v>
      </c>
      <c r="AX107" s="50">
        <f>IF(ISERROR(ROUND(MAX(0,1000*NPV($AT$2,$AV108:$AV$124)-$AW$2*($AU108+NPV($AT$2,$AU109:$AU$124)))/AU108,3)), 0, ROUND(MAX(0,1000*NPV($AT$2,$AV108:$AV$124)-$AW$2*($AU108+NPV($AT$2,$AU109:$AU$124)))/AU108,3))</f>
        <v>0</v>
      </c>
    </row>
    <row r="108" spans="1:50" ht="15" x14ac:dyDescent="0.25">
      <c r="A108">
        <v>83</v>
      </c>
      <c r="B108">
        <v>0.172663864433931</v>
      </c>
      <c r="C108">
        <f t="shared" si="61"/>
        <v>0.16230403256789513</v>
      </c>
      <c r="D108" s="60"/>
      <c r="E108" s="5"/>
      <c r="F108" s="5"/>
      <c r="I108" s="40"/>
      <c r="J108" s="41"/>
      <c r="K108" s="41" t="str">
        <f t="shared" si="56"/>
        <v/>
      </c>
      <c r="L108" s="42" t="str">
        <f t="shared" si="57"/>
        <v/>
      </c>
      <c r="M108" s="41" t="str">
        <f t="shared" si="58"/>
        <v/>
      </c>
      <c r="N108" s="43">
        <f t="shared" si="31"/>
        <v>0</v>
      </c>
      <c r="O108" s="44">
        <f t="shared" si="32"/>
        <v>0</v>
      </c>
      <c r="P108" s="41" t="str">
        <f t="shared" si="33"/>
        <v/>
      </c>
      <c r="Q108" s="41" t="str">
        <f t="shared" si="34"/>
        <v/>
      </c>
      <c r="R108" s="48"/>
      <c r="S108" s="44" t="str">
        <f>IF(I108&lt;&gt;"",_xlfn.XLOOKUP(D$4+I108,A$26:A$145,$C$26:$C$145,0) * 1000,"")</f>
        <v/>
      </c>
      <c r="T108" s="52">
        <f t="shared" si="60"/>
        <v>0</v>
      </c>
      <c r="U108" s="53" t="str">
        <f t="shared" si="45"/>
        <v/>
      </c>
      <c r="V108" s="53" t="str">
        <f t="shared" si="46"/>
        <v/>
      </c>
      <c r="W108" s="53" t="str">
        <f t="shared" si="47"/>
        <v/>
      </c>
      <c r="X108" s="46" t="str">
        <f t="shared" si="35"/>
        <v/>
      </c>
      <c r="Y108" s="48"/>
      <c r="Z108" s="41" t="str">
        <f t="shared" si="48"/>
        <v/>
      </c>
      <c r="AA108" s="41" t="str">
        <f t="shared" si="49"/>
        <v/>
      </c>
      <c r="AB108" s="41" t="str">
        <f t="shared" si="36"/>
        <v/>
      </c>
      <c r="AC108" s="41" t="str">
        <f t="shared" si="37"/>
        <v/>
      </c>
      <c r="AD108" s="48"/>
      <c r="AE108" s="41" t="str">
        <f t="shared" si="38"/>
        <v/>
      </c>
      <c r="AF108" s="41"/>
      <c r="AG108" s="41" t="str">
        <f t="shared" si="39"/>
        <v/>
      </c>
      <c r="AH108" s="41" t="str">
        <f t="shared" si="50"/>
        <v/>
      </c>
      <c r="AI108" s="41" t="str">
        <f t="shared" si="51"/>
        <v/>
      </c>
      <c r="AJ108" s="41">
        <f t="shared" si="40"/>
        <v>0</v>
      </c>
      <c r="AK108" s="41" t="str">
        <f t="shared" si="41"/>
        <v/>
      </c>
      <c r="AL108" s="41">
        <f t="shared" si="52"/>
        <v>0</v>
      </c>
      <c r="AM108" s="41">
        <f t="shared" si="42"/>
        <v>0</v>
      </c>
      <c r="AN108" s="41" t="str">
        <f t="shared" si="43"/>
        <v/>
      </c>
      <c r="AO108" s="41">
        <f t="shared" si="59"/>
        <v>0</v>
      </c>
      <c r="AP108" s="48"/>
      <c r="AQ108" s="48"/>
      <c r="AR108" s="48"/>
      <c r="AS108" s="48"/>
      <c r="AT108" s="51">
        <f t="shared" si="53"/>
        <v>104</v>
      </c>
      <c r="AU108" s="49" t="str">
        <f t="shared" si="54"/>
        <v/>
      </c>
      <c r="AV108" s="49" t="str">
        <f t="shared" si="55"/>
        <v/>
      </c>
      <c r="AW108" s="50">
        <f xml:space="preserve"> IF(ISERROR(ROUND((1000*NPV($AT$1,$AV109:$AV$124)-$AW$1*($AU109+NPV($AT$1,$AU110:$AU$124)))/AU109,3)), 0, ROUND((1000*NPV($AT$1,$AV109:$AV$124)-$AW$1*($AU109+NPV($AT$1,$AU110:$AU$124)))/AU109,3))</f>
        <v>0</v>
      </c>
      <c r="AX108" s="50">
        <f>IF(ISERROR(ROUND(MAX(0,1000*NPV($AT$2,$AV109:$AV$124)-$AW$2*($AU109+NPV($AT$2,$AU110:$AU$124)))/AU109,3)), 0, ROUND(MAX(0,1000*NPV($AT$2,$AV109:$AV$124)-$AW$2*($AU109+NPV($AT$2,$AU110:$AU$124)))/AU109,3))</f>
        <v>0</v>
      </c>
    </row>
    <row r="109" spans="1:50" ht="15" x14ac:dyDescent="0.25">
      <c r="A109">
        <v>84</v>
      </c>
      <c r="B109">
        <v>0.192415162054977</v>
      </c>
      <c r="C109">
        <f t="shared" si="61"/>
        <v>0.18087025233167836</v>
      </c>
      <c r="D109" s="60"/>
      <c r="E109" s="5"/>
      <c r="F109" s="5"/>
      <c r="I109" s="40"/>
      <c r="J109" s="41"/>
      <c r="K109" s="41" t="str">
        <f t="shared" si="56"/>
        <v/>
      </c>
      <c r="L109" s="42" t="str">
        <f t="shared" si="57"/>
        <v/>
      </c>
      <c r="M109" s="41" t="str">
        <f t="shared" si="58"/>
        <v/>
      </c>
      <c r="N109" s="43">
        <f t="shared" si="31"/>
        <v>0</v>
      </c>
      <c r="O109" s="44">
        <f t="shared" si="32"/>
        <v>0</v>
      </c>
      <c r="P109" s="41" t="str">
        <f t="shared" si="33"/>
        <v/>
      </c>
      <c r="Q109" s="41" t="str">
        <f t="shared" si="34"/>
        <v/>
      </c>
      <c r="R109" s="48"/>
      <c r="S109" s="44" t="str">
        <f>IF(I109&lt;&gt;"",_xlfn.XLOOKUP(D$4+I109,A$26:A$145,$C$26:$C$145,0) * 1000,"")</f>
        <v/>
      </c>
      <c r="T109" s="52">
        <f t="shared" si="60"/>
        <v>0</v>
      </c>
      <c r="U109" s="53" t="str">
        <f t="shared" si="45"/>
        <v/>
      </c>
      <c r="V109" s="53" t="str">
        <f t="shared" si="46"/>
        <v/>
      </c>
      <c r="W109" s="53" t="str">
        <f t="shared" si="47"/>
        <v/>
      </c>
      <c r="X109" s="46" t="str">
        <f t="shared" si="35"/>
        <v/>
      </c>
      <c r="Y109" s="48"/>
      <c r="Z109" s="41" t="str">
        <f t="shared" si="48"/>
        <v/>
      </c>
      <c r="AA109" s="41" t="str">
        <f t="shared" si="49"/>
        <v/>
      </c>
      <c r="AB109" s="41" t="str">
        <f t="shared" si="36"/>
        <v/>
      </c>
      <c r="AC109" s="41" t="str">
        <f t="shared" si="37"/>
        <v/>
      </c>
      <c r="AD109" s="48"/>
      <c r="AE109" s="41" t="str">
        <f t="shared" si="38"/>
        <v/>
      </c>
      <c r="AF109" s="41"/>
      <c r="AG109" s="41" t="str">
        <f t="shared" si="39"/>
        <v/>
      </c>
      <c r="AH109" s="41" t="str">
        <f t="shared" si="50"/>
        <v/>
      </c>
      <c r="AI109" s="41" t="str">
        <f t="shared" si="51"/>
        <v/>
      </c>
      <c r="AJ109" s="41">
        <f t="shared" si="40"/>
        <v>0</v>
      </c>
      <c r="AK109" s="41" t="str">
        <f t="shared" si="41"/>
        <v/>
      </c>
      <c r="AL109" s="41">
        <f t="shared" si="52"/>
        <v>0</v>
      </c>
      <c r="AM109" s="41">
        <f t="shared" si="42"/>
        <v>0</v>
      </c>
      <c r="AN109" s="41" t="str">
        <f t="shared" si="43"/>
        <v/>
      </c>
      <c r="AO109" s="41">
        <f t="shared" si="59"/>
        <v>0</v>
      </c>
      <c r="AP109" s="48"/>
      <c r="AQ109" s="48"/>
      <c r="AR109" s="48"/>
      <c r="AS109" s="48"/>
      <c r="AT109" s="51">
        <f t="shared" si="53"/>
        <v>105</v>
      </c>
      <c r="AU109" s="49" t="str">
        <f t="shared" si="54"/>
        <v/>
      </c>
      <c r="AV109" s="49" t="str">
        <f t="shared" si="55"/>
        <v/>
      </c>
      <c r="AW109" s="50">
        <f xml:space="preserve"> IF(ISERROR(ROUND((1000*NPV($AT$1,$AV110:$AV$124)-$AW$1*($AU110+NPV($AT$1,$AU111:$AU$124)))/AU110,3)), 0, ROUND((1000*NPV($AT$1,$AV110:$AV$124)-$AW$1*($AU110+NPV($AT$1,$AU111:$AU$124)))/AU110,3))</f>
        <v>0</v>
      </c>
      <c r="AX109" s="50">
        <f>IF(ISERROR(ROUND(MAX(0,1000*NPV($AT$2,$AV110:$AV$124)-$AW$2*($AU110+NPV($AT$2,$AU111:$AU$124)))/AU110,3)), 0, ROUND(MAX(0,1000*NPV($AT$2,$AV110:$AV$124)-$AW$2*($AU110+NPV($AT$2,$AU111:$AU$124)))/AU110,3))</f>
        <v>0</v>
      </c>
    </row>
    <row r="110" spans="1:50" ht="15" x14ac:dyDescent="0.25">
      <c r="A110">
        <v>85</v>
      </c>
      <c r="B110">
        <v>0.21345589701011899</v>
      </c>
      <c r="C110">
        <f t="shared" si="61"/>
        <v>0.20064854318951184</v>
      </c>
      <c r="D110" s="60"/>
      <c r="E110" s="5"/>
      <c r="F110" s="5"/>
      <c r="I110" s="40"/>
      <c r="J110" s="41"/>
      <c r="K110" s="41" t="str">
        <f t="shared" si="56"/>
        <v/>
      </c>
      <c r="L110" s="42" t="str">
        <f t="shared" si="57"/>
        <v/>
      </c>
      <c r="M110" s="41" t="str">
        <f t="shared" si="58"/>
        <v/>
      </c>
      <c r="N110" s="43">
        <f t="shared" si="31"/>
        <v>0</v>
      </c>
      <c r="O110" s="44">
        <f t="shared" si="32"/>
        <v>0</v>
      </c>
      <c r="P110" s="41" t="str">
        <f t="shared" si="33"/>
        <v/>
      </c>
      <c r="Q110" s="41" t="str">
        <f t="shared" si="34"/>
        <v/>
      </c>
      <c r="R110" s="48"/>
      <c r="S110" s="44" t="str">
        <f>IF(I110&lt;&gt;"",_xlfn.XLOOKUP(D$4+I110,A$26:A$145,$C$26:$C$145,0) * 1000,"")</f>
        <v/>
      </c>
      <c r="T110" s="52">
        <f t="shared" si="60"/>
        <v>0</v>
      </c>
      <c r="U110" s="53" t="str">
        <f t="shared" si="45"/>
        <v/>
      </c>
      <c r="V110" s="53" t="str">
        <f t="shared" si="46"/>
        <v/>
      </c>
      <c r="W110" s="53" t="str">
        <f t="shared" si="47"/>
        <v/>
      </c>
      <c r="X110" s="46" t="str">
        <f t="shared" si="35"/>
        <v/>
      </c>
      <c r="Y110" s="48"/>
      <c r="Z110" s="41" t="str">
        <f t="shared" si="48"/>
        <v/>
      </c>
      <c r="AA110" s="41" t="str">
        <f t="shared" si="49"/>
        <v/>
      </c>
      <c r="AB110" s="41" t="str">
        <f t="shared" si="36"/>
        <v/>
      </c>
      <c r="AC110" s="41" t="str">
        <f t="shared" si="37"/>
        <v/>
      </c>
      <c r="AD110" s="48"/>
      <c r="AE110" s="41" t="str">
        <f t="shared" si="38"/>
        <v/>
      </c>
      <c r="AF110" s="41"/>
      <c r="AG110" s="41" t="str">
        <f t="shared" si="39"/>
        <v/>
      </c>
      <c r="AH110" s="41" t="str">
        <f t="shared" si="50"/>
        <v/>
      </c>
      <c r="AI110" s="41" t="str">
        <f t="shared" si="51"/>
        <v/>
      </c>
      <c r="AJ110" s="41">
        <f t="shared" si="40"/>
        <v>0</v>
      </c>
      <c r="AK110" s="41" t="str">
        <f t="shared" si="41"/>
        <v/>
      </c>
      <c r="AL110" s="41">
        <f t="shared" si="52"/>
        <v>0</v>
      </c>
      <c r="AM110" s="41">
        <f t="shared" si="42"/>
        <v>0</v>
      </c>
      <c r="AN110" s="41" t="str">
        <f t="shared" si="43"/>
        <v/>
      </c>
      <c r="AO110" s="41">
        <f t="shared" si="59"/>
        <v>0</v>
      </c>
      <c r="AP110" s="48"/>
      <c r="AQ110" s="48"/>
      <c r="AR110" s="48"/>
      <c r="AS110" s="48"/>
      <c r="AT110" s="51">
        <f t="shared" si="53"/>
        <v>106</v>
      </c>
      <c r="AU110" s="49" t="str">
        <f t="shared" si="54"/>
        <v/>
      </c>
      <c r="AV110" s="49" t="str">
        <f t="shared" si="55"/>
        <v/>
      </c>
      <c r="AW110" s="50">
        <f xml:space="preserve"> IF(ISERROR(ROUND((1000*NPV($AT$1,$AV111:$AV$124)-$AW$1*($AU111+NPV($AT$1,$AU112:$AU$124)))/AU111,3)), 0, ROUND((1000*NPV($AT$1,$AV111:$AV$124)-$AW$1*($AU111+NPV($AT$1,$AU112:$AU$124)))/AU111,3))</f>
        <v>0</v>
      </c>
      <c r="AX110" s="50">
        <f>IF(ISERROR(ROUND(MAX(0,1000*NPV($AT$2,$AV111:$AV$124)-$AW$2*($AU111+NPV($AT$2,$AU112:$AU$124)))/AU111,3)), 0, ROUND(MAX(0,1000*NPV($AT$2,$AV111:$AV$124)-$AW$2*($AU111+NPV($AT$2,$AU112:$AU$124)))/AU111,3))</f>
        <v>0</v>
      </c>
    </row>
    <row r="111" spans="1:50" ht="15" x14ac:dyDescent="0.25">
      <c r="A111">
        <v>86</v>
      </c>
      <c r="B111">
        <v>0.235114227923437</v>
      </c>
      <c r="C111">
        <f t="shared" si="61"/>
        <v>0.22100737424803077</v>
      </c>
      <c r="D111" s="60"/>
      <c r="E111" s="5"/>
      <c r="F111" s="5"/>
      <c r="I111" s="40"/>
      <c r="J111" s="41"/>
      <c r="K111" s="41" t="str">
        <f t="shared" si="56"/>
        <v/>
      </c>
      <c r="L111" s="42" t="str">
        <f t="shared" si="57"/>
        <v/>
      </c>
      <c r="M111" s="41" t="str">
        <f t="shared" si="58"/>
        <v/>
      </c>
      <c r="N111" s="43">
        <f t="shared" si="31"/>
        <v>0</v>
      </c>
      <c r="O111" s="44">
        <f t="shared" si="32"/>
        <v>0</v>
      </c>
      <c r="P111" s="41" t="str">
        <f t="shared" si="33"/>
        <v/>
      </c>
      <c r="Q111" s="41" t="str">
        <f t="shared" si="34"/>
        <v/>
      </c>
      <c r="R111" s="48"/>
      <c r="S111" s="44" t="str">
        <f>IF(I111&lt;&gt;"",_xlfn.XLOOKUP(D$4+I111,A$26:A$145,$C$26:$C$145,0) * 1000,"")</f>
        <v/>
      </c>
      <c r="T111" s="52">
        <f t="shared" si="60"/>
        <v>0</v>
      </c>
      <c r="U111" s="53" t="str">
        <f t="shared" si="45"/>
        <v/>
      </c>
      <c r="V111" s="53" t="str">
        <f t="shared" si="46"/>
        <v/>
      </c>
      <c r="W111" s="53" t="str">
        <f t="shared" si="47"/>
        <v/>
      </c>
      <c r="X111" s="46" t="str">
        <f t="shared" si="35"/>
        <v/>
      </c>
      <c r="Y111" s="48"/>
      <c r="Z111" s="41" t="str">
        <f t="shared" si="48"/>
        <v/>
      </c>
      <c r="AA111" s="41" t="str">
        <f t="shared" si="49"/>
        <v/>
      </c>
      <c r="AB111" s="41" t="str">
        <f t="shared" si="36"/>
        <v/>
      </c>
      <c r="AC111" s="41" t="str">
        <f t="shared" si="37"/>
        <v/>
      </c>
      <c r="AD111" s="48"/>
      <c r="AE111" s="41" t="str">
        <f t="shared" si="38"/>
        <v/>
      </c>
      <c r="AF111" s="41"/>
      <c r="AG111" s="41" t="str">
        <f t="shared" si="39"/>
        <v/>
      </c>
      <c r="AH111" s="41" t="str">
        <f t="shared" si="50"/>
        <v/>
      </c>
      <c r="AI111" s="41" t="str">
        <f t="shared" si="51"/>
        <v/>
      </c>
      <c r="AJ111" s="41">
        <f t="shared" si="40"/>
        <v>0</v>
      </c>
      <c r="AK111" s="41" t="str">
        <f t="shared" si="41"/>
        <v/>
      </c>
      <c r="AL111" s="41">
        <f t="shared" si="52"/>
        <v>0</v>
      </c>
      <c r="AM111" s="41">
        <f t="shared" si="42"/>
        <v>0</v>
      </c>
      <c r="AN111" s="41" t="str">
        <f t="shared" si="43"/>
        <v/>
      </c>
      <c r="AO111" s="41">
        <f t="shared" si="59"/>
        <v>0</v>
      </c>
      <c r="AP111" s="48"/>
      <c r="AQ111" s="48"/>
      <c r="AR111" s="48"/>
      <c r="AS111" s="48"/>
      <c r="AT111" s="51">
        <f t="shared" si="53"/>
        <v>107</v>
      </c>
      <c r="AU111" s="49" t="str">
        <f t="shared" si="54"/>
        <v/>
      </c>
      <c r="AV111" s="49" t="str">
        <f t="shared" si="55"/>
        <v/>
      </c>
      <c r="AW111" s="50">
        <f xml:space="preserve"> IF(ISERROR(ROUND((1000*NPV($AT$1,$AV112:$AV$124)-$AW$1*($AU112+NPV($AT$1,$AU113:$AU$124)))/AU112,3)), 0, ROUND((1000*NPV($AT$1,$AV112:$AV$124)-$AW$1*($AU112+NPV($AT$1,$AU113:$AU$124)))/AU112,3))</f>
        <v>0</v>
      </c>
      <c r="AX111" s="50">
        <f>IF(ISERROR(ROUND(MAX(0,1000*NPV($AT$2,$AV112:$AV$124)-$AW$2*($AU112+NPV($AT$2,$AU113:$AU$124)))/AU112,3)), 0, ROUND(MAX(0,1000*NPV($AT$2,$AV112:$AV$124)-$AW$2*($AU112+NPV($AT$2,$AU113:$AU$124)))/AU112,3))</f>
        <v>0</v>
      </c>
    </row>
    <row r="112" spans="1:50" ht="15" x14ac:dyDescent="0.25">
      <c r="A112">
        <v>87</v>
      </c>
      <c r="B112">
        <v>0.258373274024495</v>
      </c>
      <c r="C112">
        <f t="shared" si="61"/>
        <v>0.24287087758302528</v>
      </c>
      <c r="D112" s="60"/>
      <c r="E112" s="5"/>
      <c r="F112" s="5"/>
      <c r="I112" s="40"/>
      <c r="J112" s="41"/>
      <c r="K112" s="41" t="str">
        <f t="shared" si="56"/>
        <v/>
      </c>
      <c r="L112" s="42" t="str">
        <f t="shared" si="57"/>
        <v/>
      </c>
      <c r="M112" s="41" t="str">
        <f t="shared" si="58"/>
        <v/>
      </c>
      <c r="N112" s="43">
        <f t="shared" si="31"/>
        <v>0</v>
      </c>
      <c r="O112" s="44">
        <f t="shared" si="32"/>
        <v>0</v>
      </c>
      <c r="P112" s="41" t="str">
        <f t="shared" si="33"/>
        <v/>
      </c>
      <c r="Q112" s="41" t="str">
        <f t="shared" si="34"/>
        <v/>
      </c>
      <c r="R112" s="48"/>
      <c r="S112" s="44" t="str">
        <f>IF(I112&lt;&gt;"",_xlfn.XLOOKUP(D$4+I112,A$26:A$145,$C$26:$C$145,0) * 1000,"")</f>
        <v/>
      </c>
      <c r="T112" s="52">
        <f t="shared" si="60"/>
        <v>0</v>
      </c>
      <c r="U112" s="53" t="str">
        <f t="shared" si="45"/>
        <v/>
      </c>
      <c r="V112" s="53" t="str">
        <f t="shared" si="46"/>
        <v/>
      </c>
      <c r="W112" s="53" t="str">
        <f t="shared" si="47"/>
        <v/>
      </c>
      <c r="X112" s="46" t="str">
        <f t="shared" si="35"/>
        <v/>
      </c>
      <c r="Y112" s="48"/>
      <c r="Z112" s="41" t="str">
        <f t="shared" si="48"/>
        <v/>
      </c>
      <c r="AA112" s="41" t="str">
        <f t="shared" si="49"/>
        <v/>
      </c>
      <c r="AB112" s="41" t="str">
        <f t="shared" si="36"/>
        <v/>
      </c>
      <c r="AC112" s="41" t="str">
        <f t="shared" si="37"/>
        <v/>
      </c>
      <c r="AD112" s="48"/>
      <c r="AE112" s="41" t="str">
        <f t="shared" si="38"/>
        <v/>
      </c>
      <c r="AF112" s="41"/>
      <c r="AG112" s="41" t="str">
        <f t="shared" si="39"/>
        <v/>
      </c>
      <c r="AH112" s="41" t="str">
        <f t="shared" si="50"/>
        <v/>
      </c>
      <c r="AI112" s="41" t="str">
        <f t="shared" si="51"/>
        <v/>
      </c>
      <c r="AJ112" s="41">
        <f t="shared" si="40"/>
        <v>0</v>
      </c>
      <c r="AK112" s="41" t="str">
        <f t="shared" si="41"/>
        <v/>
      </c>
      <c r="AL112" s="41">
        <f t="shared" si="52"/>
        <v>0</v>
      </c>
      <c r="AM112" s="41">
        <f t="shared" si="42"/>
        <v>0</v>
      </c>
      <c r="AN112" s="41" t="str">
        <f t="shared" si="43"/>
        <v/>
      </c>
      <c r="AO112" s="41">
        <f t="shared" si="59"/>
        <v>0</v>
      </c>
      <c r="AP112" s="48"/>
      <c r="AQ112" s="48"/>
      <c r="AR112" s="48"/>
      <c r="AS112" s="48"/>
      <c r="AT112" s="51">
        <f t="shared" si="53"/>
        <v>108</v>
      </c>
      <c r="AU112" s="49" t="str">
        <f t="shared" si="54"/>
        <v/>
      </c>
      <c r="AV112" s="49" t="str">
        <f t="shared" si="55"/>
        <v/>
      </c>
      <c r="AW112" s="50">
        <f xml:space="preserve"> IF(ISERROR(ROUND((1000*NPV($AT$1,$AV113:$AV$124)-$AW$1*($AU113+NPV($AT$1,$AU114:$AU$124)))/AU113,3)), 0, ROUND((1000*NPV($AT$1,$AV113:$AV$124)-$AW$1*($AU113+NPV($AT$1,$AU114:$AU$124)))/AU113,3))</f>
        <v>0</v>
      </c>
      <c r="AX112" s="50">
        <f>IF(ISERROR(ROUND(MAX(0,1000*NPV($AT$2,$AV113:$AV$124)-$AW$2*($AU113+NPV($AT$2,$AU114:$AU$124)))/AU113,3)), 0, ROUND(MAX(0,1000*NPV($AT$2,$AV113:$AV$124)-$AW$2*($AU113+NPV($AT$2,$AU114:$AU$124)))/AU113,3))</f>
        <v>0</v>
      </c>
    </row>
    <row r="113" spans="1:50" ht="15" x14ac:dyDescent="0.25">
      <c r="A113">
        <v>88</v>
      </c>
      <c r="B113">
        <v>0.28305409642479801</v>
      </c>
      <c r="C113">
        <f t="shared" si="61"/>
        <v>0.26607085063931013</v>
      </c>
      <c r="D113" s="60"/>
      <c r="E113" s="5"/>
      <c r="F113" s="5"/>
      <c r="I113" s="40"/>
      <c r="J113" s="41"/>
      <c r="K113" s="41" t="str">
        <f t="shared" si="56"/>
        <v/>
      </c>
      <c r="L113" s="42" t="str">
        <f t="shared" si="57"/>
        <v/>
      </c>
      <c r="M113" s="41" t="str">
        <f t="shared" si="58"/>
        <v/>
      </c>
      <c r="N113" s="43">
        <f t="shared" si="31"/>
        <v>0</v>
      </c>
      <c r="O113" s="44">
        <f t="shared" si="32"/>
        <v>0</v>
      </c>
      <c r="P113" s="41" t="str">
        <f t="shared" si="33"/>
        <v/>
      </c>
      <c r="Q113" s="41" t="str">
        <f t="shared" si="34"/>
        <v/>
      </c>
      <c r="R113" s="48"/>
      <c r="S113" s="44" t="str">
        <f>IF(I113&lt;&gt;"",_xlfn.XLOOKUP(D$4+I113,A$26:A$145,$C$26:$C$145,0) * 1000,"")</f>
        <v/>
      </c>
      <c r="T113" s="52">
        <f t="shared" si="60"/>
        <v>0</v>
      </c>
      <c r="U113" s="53" t="str">
        <f t="shared" si="45"/>
        <v/>
      </c>
      <c r="V113" s="53" t="str">
        <f t="shared" si="46"/>
        <v/>
      </c>
      <c r="W113" s="53" t="str">
        <f t="shared" si="47"/>
        <v/>
      </c>
      <c r="X113" s="46" t="str">
        <f t="shared" si="35"/>
        <v/>
      </c>
      <c r="Y113" s="48"/>
      <c r="Z113" s="41" t="str">
        <f t="shared" si="48"/>
        <v/>
      </c>
      <c r="AA113" s="41" t="str">
        <f t="shared" si="49"/>
        <v/>
      </c>
      <c r="AB113" s="41" t="str">
        <f t="shared" si="36"/>
        <v/>
      </c>
      <c r="AC113" s="41" t="str">
        <f t="shared" si="37"/>
        <v/>
      </c>
      <c r="AD113" s="48"/>
      <c r="AE113" s="41" t="str">
        <f t="shared" si="38"/>
        <v/>
      </c>
      <c r="AF113" s="41"/>
      <c r="AG113" s="41" t="str">
        <f t="shared" si="39"/>
        <v/>
      </c>
      <c r="AH113" s="41" t="str">
        <f t="shared" si="50"/>
        <v/>
      </c>
      <c r="AI113" s="41" t="str">
        <f t="shared" si="51"/>
        <v/>
      </c>
      <c r="AJ113" s="41">
        <f t="shared" si="40"/>
        <v>0</v>
      </c>
      <c r="AK113" s="41" t="str">
        <f t="shared" si="41"/>
        <v/>
      </c>
      <c r="AL113" s="41">
        <f t="shared" si="52"/>
        <v>0</v>
      </c>
      <c r="AM113" s="41">
        <f t="shared" si="42"/>
        <v>0</v>
      </c>
      <c r="AN113" s="41" t="str">
        <f t="shared" si="43"/>
        <v/>
      </c>
      <c r="AO113" s="41">
        <f t="shared" si="59"/>
        <v>0</v>
      </c>
      <c r="AP113" s="48"/>
      <c r="AQ113" s="48"/>
      <c r="AR113" s="48"/>
      <c r="AS113" s="48"/>
      <c r="AT113" s="51">
        <f t="shared" si="53"/>
        <v>109</v>
      </c>
      <c r="AU113" s="49" t="str">
        <f t="shared" si="54"/>
        <v/>
      </c>
      <c r="AV113" s="49" t="str">
        <f t="shared" si="55"/>
        <v/>
      </c>
      <c r="AW113" s="50">
        <f xml:space="preserve"> IF(ISERROR(ROUND((1000*NPV($AT$1,$AV114:$AV$124)-$AW$1*($AU114+NPV($AT$1,$AU115:$AU$124)))/AU114,3)), 0, ROUND((1000*NPV($AT$1,$AV114:$AV$124)-$AW$1*($AU114+NPV($AT$1,$AU115:$AU$124)))/AU114,3))</f>
        <v>0</v>
      </c>
      <c r="AX113" s="50">
        <f>IF(ISERROR(ROUND(MAX(0,1000*NPV($AT$2,$AV114:$AV$124)-$AW$2*($AU114+NPV($AT$2,$AU115:$AU$124)))/AU114,3)), 0, ROUND(MAX(0,1000*NPV($AT$2,$AV114:$AV$124)-$AW$2*($AU114+NPV($AT$2,$AU115:$AU$124)))/AU114,3))</f>
        <v>0</v>
      </c>
    </row>
    <row r="114" spans="1:50" ht="15" x14ac:dyDescent="0.25">
      <c r="A114">
        <v>89</v>
      </c>
      <c r="B114">
        <v>0.30971449474048401</v>
      </c>
      <c r="C114">
        <f t="shared" si="61"/>
        <v>0.29113162505605494</v>
      </c>
      <c r="D114" s="60"/>
      <c r="E114" s="5"/>
      <c r="F114" s="5"/>
      <c r="I114" s="40"/>
      <c r="J114" s="41"/>
      <c r="K114" s="41" t="str">
        <f t="shared" si="56"/>
        <v/>
      </c>
      <c r="L114" s="42" t="str">
        <f t="shared" si="57"/>
        <v/>
      </c>
      <c r="M114" s="41" t="str">
        <f t="shared" si="58"/>
        <v/>
      </c>
      <c r="N114" s="43">
        <f t="shared" si="31"/>
        <v>0</v>
      </c>
      <c r="O114" s="44">
        <f t="shared" si="32"/>
        <v>0</v>
      </c>
      <c r="P114" s="41" t="str">
        <f t="shared" si="33"/>
        <v/>
      </c>
      <c r="Q114" s="41" t="str">
        <f t="shared" si="34"/>
        <v/>
      </c>
      <c r="R114" s="48"/>
      <c r="S114" s="44" t="str">
        <f>IF(I114&lt;&gt;"",_xlfn.XLOOKUP(D$4+I114,A$26:A$145,$C$26:$C$145,0) * 1000,"")</f>
        <v/>
      </c>
      <c r="T114" s="52">
        <f t="shared" si="60"/>
        <v>0</v>
      </c>
      <c r="U114" s="53" t="str">
        <f t="shared" si="45"/>
        <v/>
      </c>
      <c r="V114" s="53" t="str">
        <f t="shared" si="46"/>
        <v/>
      </c>
      <c r="W114" s="53" t="str">
        <f t="shared" si="47"/>
        <v/>
      </c>
      <c r="X114" s="46" t="str">
        <f t="shared" si="35"/>
        <v/>
      </c>
      <c r="Y114" s="48"/>
      <c r="Z114" s="41" t="str">
        <f t="shared" si="48"/>
        <v/>
      </c>
      <c r="AA114" s="41" t="str">
        <f t="shared" si="49"/>
        <v/>
      </c>
      <c r="AB114" s="41" t="str">
        <f t="shared" si="36"/>
        <v/>
      </c>
      <c r="AC114" s="41" t="str">
        <f t="shared" si="37"/>
        <v/>
      </c>
      <c r="AD114" s="48"/>
      <c r="AE114" s="41" t="str">
        <f t="shared" si="38"/>
        <v/>
      </c>
      <c r="AF114" s="41"/>
      <c r="AG114" s="41" t="str">
        <f t="shared" si="39"/>
        <v/>
      </c>
      <c r="AH114" s="41" t="str">
        <f t="shared" si="50"/>
        <v/>
      </c>
      <c r="AI114" s="41" t="str">
        <f t="shared" si="51"/>
        <v/>
      </c>
      <c r="AJ114" s="41">
        <f t="shared" si="40"/>
        <v>0</v>
      </c>
      <c r="AK114" s="41" t="str">
        <f t="shared" si="41"/>
        <v/>
      </c>
      <c r="AL114" s="41">
        <f t="shared" si="52"/>
        <v>0</v>
      </c>
      <c r="AM114" s="41">
        <f t="shared" si="42"/>
        <v>0</v>
      </c>
      <c r="AN114" s="41" t="str">
        <f t="shared" si="43"/>
        <v/>
      </c>
      <c r="AO114" s="41">
        <f t="shared" si="59"/>
        <v>0</v>
      </c>
      <c r="AP114" s="48"/>
      <c r="AQ114" s="48"/>
      <c r="AR114" s="48"/>
      <c r="AS114" s="48"/>
      <c r="AT114" s="51">
        <f t="shared" si="53"/>
        <v>110</v>
      </c>
      <c r="AU114" s="49" t="str">
        <f t="shared" si="54"/>
        <v/>
      </c>
      <c r="AV114" s="49" t="str">
        <f t="shared" si="55"/>
        <v/>
      </c>
      <c r="AW114" s="50">
        <f xml:space="preserve"> IF(ISERROR(ROUND((1000*NPV($AT$1,$AV115:$AV$124)-$AW$1*($AU115+NPV($AT$1,$AU116:$AU$124)))/AU115,3)), 0, ROUND((1000*NPV($AT$1,$AV115:$AV$124)-$AW$1*($AU115+NPV($AT$1,$AU116:$AU$124)))/AU115,3))</f>
        <v>0</v>
      </c>
      <c r="AX114" s="50">
        <f>IF(ISERROR(ROUND(MAX(0,1000*NPV($AT$2,$AV115:$AV$124)-$AW$2*($AU115+NPV($AT$2,$AU116:$AU$124)))/AU115,3)), 0, ROUND(MAX(0,1000*NPV($AT$2,$AV115:$AV$124)-$AW$2*($AU115+NPV($AT$2,$AU116:$AU$124)))/AU115,3))</f>
        <v>0</v>
      </c>
    </row>
    <row r="115" spans="1:50" ht="15" x14ac:dyDescent="0.25">
      <c r="A115">
        <v>90</v>
      </c>
      <c r="B115">
        <v>0.338546454290924</v>
      </c>
      <c r="C115">
        <f t="shared" si="61"/>
        <v>0.31823366703346856</v>
      </c>
      <c r="D115" s="60"/>
      <c r="E115" s="5"/>
      <c r="F115" s="5"/>
      <c r="I115" s="40"/>
      <c r="J115" s="41"/>
      <c r="K115" s="41" t="str">
        <f t="shared" si="56"/>
        <v/>
      </c>
      <c r="L115" s="42" t="str">
        <f t="shared" si="57"/>
        <v/>
      </c>
      <c r="M115" s="41" t="str">
        <f t="shared" si="58"/>
        <v/>
      </c>
      <c r="N115" s="43">
        <f t="shared" si="31"/>
        <v>0</v>
      </c>
      <c r="O115" s="44">
        <f t="shared" si="32"/>
        <v>0</v>
      </c>
      <c r="P115" s="41" t="str">
        <f t="shared" si="33"/>
        <v/>
      </c>
      <c r="Q115" s="41" t="str">
        <f t="shared" si="34"/>
        <v/>
      </c>
      <c r="R115" s="48"/>
      <c r="S115" s="44" t="str">
        <f>IF(I115&lt;&gt;"",_xlfn.XLOOKUP(D$4+I115,A$26:A$145,$C$26:$C$145,0) * 1000,"")</f>
        <v/>
      </c>
      <c r="T115" s="52">
        <f t="shared" si="60"/>
        <v>0</v>
      </c>
      <c r="U115" s="53" t="str">
        <f t="shared" si="45"/>
        <v/>
      </c>
      <c r="V115" s="53" t="str">
        <f t="shared" si="46"/>
        <v/>
      </c>
      <c r="W115" s="53" t="str">
        <f t="shared" si="47"/>
        <v/>
      </c>
      <c r="X115" s="46" t="str">
        <f t="shared" si="35"/>
        <v/>
      </c>
      <c r="Y115" s="48"/>
      <c r="Z115" s="41" t="str">
        <f t="shared" si="48"/>
        <v/>
      </c>
      <c r="AA115" s="41" t="str">
        <f t="shared" si="49"/>
        <v/>
      </c>
      <c r="AB115" s="41" t="str">
        <f t="shared" si="36"/>
        <v/>
      </c>
      <c r="AC115" s="41" t="str">
        <f t="shared" si="37"/>
        <v/>
      </c>
      <c r="AD115" s="48"/>
      <c r="AE115" s="41" t="str">
        <f t="shared" si="38"/>
        <v/>
      </c>
      <c r="AF115" s="41"/>
      <c r="AG115" s="41" t="str">
        <f t="shared" si="39"/>
        <v/>
      </c>
      <c r="AH115" s="41" t="str">
        <f t="shared" si="50"/>
        <v/>
      </c>
      <c r="AI115" s="41" t="str">
        <f t="shared" si="51"/>
        <v/>
      </c>
      <c r="AJ115" s="41">
        <f t="shared" si="40"/>
        <v>0</v>
      </c>
      <c r="AK115" s="41" t="str">
        <f t="shared" si="41"/>
        <v/>
      </c>
      <c r="AL115" s="41">
        <f t="shared" si="52"/>
        <v>0</v>
      </c>
      <c r="AM115" s="41">
        <f t="shared" si="42"/>
        <v>0</v>
      </c>
      <c r="AN115" s="41" t="str">
        <f t="shared" si="43"/>
        <v/>
      </c>
      <c r="AO115" s="41">
        <f t="shared" si="59"/>
        <v>0</v>
      </c>
      <c r="AP115" s="48"/>
      <c r="AQ115" s="48"/>
      <c r="AR115" s="48"/>
      <c r="AS115" s="48"/>
      <c r="AT115" s="51">
        <f t="shared" si="53"/>
        <v>111</v>
      </c>
      <c r="AU115" s="49" t="str">
        <f t="shared" si="54"/>
        <v/>
      </c>
      <c r="AV115" s="49" t="str">
        <f t="shared" si="55"/>
        <v/>
      </c>
      <c r="AW115" s="50">
        <f xml:space="preserve"> IF(ISERROR(ROUND((1000*NPV($AT$1,$AV116:$AV$124)-$AW$1*($AU116+NPV($AT$1,$AU117:$AU$124)))/AU116,3)), 0, ROUND((1000*NPV($AT$1,$AV116:$AV$124)-$AW$1*($AU116+NPV($AT$1,$AU117:$AU$124)))/AU116,3))</f>
        <v>0</v>
      </c>
      <c r="AX115" s="50">
        <f>IF(ISERROR(ROUND(MAX(0,1000*NPV($AT$2,$AV116:$AV$124)-$AW$2*($AU116+NPV($AT$2,$AU117:$AU$124)))/AU116,3)), 0, ROUND(MAX(0,1000*NPV($AT$2,$AV116:$AV$124)-$AW$2*($AU116+NPV($AT$2,$AU117:$AU$124)))/AU116,3))</f>
        <v>0</v>
      </c>
    </row>
    <row r="116" spans="1:50" ht="15" x14ac:dyDescent="0.25">
      <c r="A116">
        <v>91</v>
      </c>
      <c r="B116">
        <v>0.36651070304789002</v>
      </c>
      <c r="C116">
        <f t="shared" si="61"/>
        <v>0.34452006086501658</v>
      </c>
      <c r="D116" s="60"/>
      <c r="E116" s="5"/>
      <c r="F116" s="5"/>
      <c r="I116" s="40"/>
      <c r="J116" s="41"/>
      <c r="K116" s="41" t="str">
        <f t="shared" si="56"/>
        <v/>
      </c>
      <c r="L116" s="42" t="str">
        <f t="shared" si="57"/>
        <v/>
      </c>
      <c r="M116" s="41" t="str">
        <f t="shared" si="58"/>
        <v/>
      </c>
      <c r="N116" s="43">
        <f t="shared" si="31"/>
        <v>0</v>
      </c>
      <c r="O116" s="44">
        <f t="shared" si="32"/>
        <v>0</v>
      </c>
      <c r="P116" s="41" t="str">
        <f t="shared" si="33"/>
        <v/>
      </c>
      <c r="Q116" s="41" t="str">
        <f t="shared" si="34"/>
        <v/>
      </c>
      <c r="R116" s="48"/>
      <c r="S116" s="44" t="str">
        <f>IF(I116&lt;&gt;"",_xlfn.XLOOKUP(D$4+I116,A$26:A$145,$C$26:$C$145,0) * 1000,"")</f>
        <v/>
      </c>
      <c r="T116" s="52">
        <f t="shared" si="60"/>
        <v>0</v>
      </c>
      <c r="U116" s="53" t="str">
        <f t="shared" si="45"/>
        <v/>
      </c>
      <c r="V116" s="53" t="str">
        <f t="shared" si="46"/>
        <v/>
      </c>
      <c r="W116" s="53" t="str">
        <f t="shared" si="47"/>
        <v/>
      </c>
      <c r="X116" s="46" t="str">
        <f t="shared" si="35"/>
        <v/>
      </c>
      <c r="Y116" s="48"/>
      <c r="Z116" s="41" t="str">
        <f t="shared" si="48"/>
        <v/>
      </c>
      <c r="AA116" s="41" t="str">
        <f t="shared" si="49"/>
        <v/>
      </c>
      <c r="AB116" s="41" t="str">
        <f t="shared" si="36"/>
        <v/>
      </c>
      <c r="AC116" s="41" t="str">
        <f t="shared" si="37"/>
        <v/>
      </c>
      <c r="AD116" s="48"/>
      <c r="AE116" s="41" t="str">
        <f t="shared" si="38"/>
        <v/>
      </c>
      <c r="AF116" s="41"/>
      <c r="AG116" s="41" t="str">
        <f t="shared" si="39"/>
        <v/>
      </c>
      <c r="AH116" s="41" t="str">
        <f t="shared" si="50"/>
        <v/>
      </c>
      <c r="AI116" s="41" t="str">
        <f t="shared" si="51"/>
        <v/>
      </c>
      <c r="AJ116" s="41">
        <f t="shared" si="40"/>
        <v>0</v>
      </c>
      <c r="AK116" s="41" t="str">
        <f t="shared" si="41"/>
        <v/>
      </c>
      <c r="AL116" s="41">
        <f t="shared" si="52"/>
        <v>0</v>
      </c>
      <c r="AM116" s="41">
        <f t="shared" si="42"/>
        <v>0</v>
      </c>
      <c r="AN116" s="41" t="str">
        <f t="shared" si="43"/>
        <v/>
      </c>
      <c r="AO116" s="41">
        <f t="shared" si="59"/>
        <v>0</v>
      </c>
      <c r="AP116" s="48"/>
      <c r="AQ116" s="48"/>
      <c r="AR116" s="48"/>
      <c r="AS116" s="48"/>
      <c r="AT116" s="51">
        <f t="shared" si="53"/>
        <v>112</v>
      </c>
      <c r="AU116" s="49" t="str">
        <f t="shared" si="54"/>
        <v/>
      </c>
      <c r="AV116" s="49" t="str">
        <f t="shared" si="55"/>
        <v/>
      </c>
      <c r="AW116" s="50">
        <f xml:space="preserve"> IF(ISERROR(ROUND((1000*NPV($AT$1,$AV117:$AV$124)-$AW$1*($AU117+NPV($AT$1,$AU118:$AU$124)))/AU117,3)), 0, ROUND((1000*NPV($AT$1,$AV117:$AV$124)-$AW$1*($AU117+NPV($AT$1,$AU118:$AU$124)))/AU117,3))</f>
        <v>0</v>
      </c>
      <c r="AX116" s="50">
        <f>IF(ISERROR(ROUND(MAX(0,1000*NPV($AT$2,$AV117:$AV$124)-$AW$2*($AU117+NPV($AT$2,$AU118:$AU$124)))/AU117,3)), 0, ROUND(MAX(0,1000*NPV($AT$2,$AV117:$AV$124)-$AW$2*($AU117+NPV($AT$2,$AU118:$AU$124)))/AU117,3))</f>
        <v>0</v>
      </c>
    </row>
    <row r="117" spans="1:50" ht="15" x14ac:dyDescent="0.25">
      <c r="A117">
        <v>92</v>
      </c>
      <c r="B117">
        <v>0.39596185015808499</v>
      </c>
      <c r="C117">
        <f t="shared" si="61"/>
        <v>0.3722041391485999</v>
      </c>
      <c r="D117" s="60"/>
      <c r="E117" s="5"/>
      <c r="F117" s="5"/>
      <c r="I117" s="40"/>
      <c r="J117" s="41"/>
      <c r="K117" s="41" t="str">
        <f t="shared" si="56"/>
        <v/>
      </c>
      <c r="L117" s="42" t="str">
        <f t="shared" si="57"/>
        <v/>
      </c>
      <c r="M117" s="41" t="str">
        <f t="shared" si="58"/>
        <v/>
      </c>
      <c r="N117" s="43">
        <f t="shared" si="31"/>
        <v>0</v>
      </c>
      <c r="O117" s="44">
        <f t="shared" si="32"/>
        <v>0</v>
      </c>
      <c r="P117" s="41" t="str">
        <f t="shared" si="33"/>
        <v/>
      </c>
      <c r="Q117" s="41" t="str">
        <f t="shared" si="34"/>
        <v/>
      </c>
      <c r="R117" s="48"/>
      <c r="S117" s="44" t="str">
        <f>IF(I117&lt;&gt;"",_xlfn.XLOOKUP(D$4+I117,A$26:A$145,$C$26:$C$145,0) * 1000,"")</f>
        <v/>
      </c>
      <c r="T117" s="52">
        <f t="shared" si="60"/>
        <v>0</v>
      </c>
      <c r="U117" s="53" t="str">
        <f t="shared" si="45"/>
        <v/>
      </c>
      <c r="V117" s="53" t="str">
        <f t="shared" si="46"/>
        <v/>
      </c>
      <c r="W117" s="53" t="str">
        <f t="shared" si="47"/>
        <v/>
      </c>
      <c r="X117" s="46" t="str">
        <f t="shared" si="35"/>
        <v/>
      </c>
      <c r="Y117" s="48"/>
      <c r="Z117" s="41" t="str">
        <f t="shared" si="48"/>
        <v/>
      </c>
      <c r="AA117" s="41" t="str">
        <f t="shared" si="49"/>
        <v/>
      </c>
      <c r="AB117" s="41" t="str">
        <f t="shared" si="36"/>
        <v/>
      </c>
      <c r="AC117" s="41" t="str">
        <f t="shared" si="37"/>
        <v/>
      </c>
      <c r="AD117" s="48"/>
      <c r="AE117" s="41" t="str">
        <f t="shared" si="38"/>
        <v/>
      </c>
      <c r="AF117" s="41"/>
      <c r="AG117" s="41" t="str">
        <f t="shared" si="39"/>
        <v/>
      </c>
      <c r="AH117" s="41" t="str">
        <f t="shared" si="50"/>
        <v/>
      </c>
      <c r="AI117" s="41" t="str">
        <f t="shared" si="51"/>
        <v/>
      </c>
      <c r="AJ117" s="41">
        <f t="shared" si="40"/>
        <v>0</v>
      </c>
      <c r="AK117" s="41" t="str">
        <f t="shared" si="41"/>
        <v/>
      </c>
      <c r="AL117" s="41">
        <f t="shared" si="52"/>
        <v>0</v>
      </c>
      <c r="AM117" s="41">
        <f t="shared" si="42"/>
        <v>0</v>
      </c>
      <c r="AN117" s="41" t="str">
        <f t="shared" si="43"/>
        <v/>
      </c>
      <c r="AO117" s="41">
        <f t="shared" si="59"/>
        <v>0</v>
      </c>
      <c r="AP117" s="48"/>
      <c r="AQ117" s="48"/>
      <c r="AR117" s="48"/>
      <c r="AS117" s="48"/>
      <c r="AT117" s="51">
        <f t="shared" si="53"/>
        <v>113</v>
      </c>
      <c r="AU117" s="49" t="str">
        <f t="shared" si="54"/>
        <v/>
      </c>
      <c r="AV117" s="49" t="str">
        <f t="shared" si="55"/>
        <v/>
      </c>
      <c r="AW117" s="50">
        <f xml:space="preserve"> IF(ISERROR(ROUND((1000*NPV($AT$1,$AV118:$AV$124)-$AW$1*($AU118+NPV($AT$1,$AU119:$AU$124)))/AU118,3)), 0, ROUND((1000*NPV($AT$1,$AV118:$AV$124)-$AW$1*($AU118+NPV($AT$1,$AU119:$AU$124)))/AU118,3))</f>
        <v>0</v>
      </c>
      <c r="AX117" s="50">
        <f>IF(ISERROR(ROUND(MAX(0,1000*NPV($AT$2,$AV118:$AV$124)-$AW$2*($AU118+NPV($AT$2,$AU119:$AU$124)))/AU118,3)), 0, ROUND(MAX(0,1000*NPV($AT$2,$AV118:$AV$124)-$AW$2*($AU118+NPV($AT$2,$AU119:$AU$124)))/AU118,3))</f>
        <v>0</v>
      </c>
    </row>
    <row r="118" spans="1:50" ht="15" x14ac:dyDescent="0.25">
      <c r="A118">
        <v>93</v>
      </c>
      <c r="B118">
        <v>0.42599171766504201</v>
      </c>
      <c r="C118">
        <f t="shared" si="61"/>
        <v>0.40043221460513945</v>
      </c>
      <c r="D118" s="60"/>
      <c r="E118" s="5"/>
      <c r="F118" s="5"/>
      <c r="I118" s="40"/>
      <c r="J118" s="41"/>
      <c r="K118" s="41" t="str">
        <f t="shared" si="56"/>
        <v/>
      </c>
      <c r="L118" s="42" t="str">
        <f t="shared" si="57"/>
        <v/>
      </c>
      <c r="M118" s="41" t="str">
        <f t="shared" si="58"/>
        <v/>
      </c>
      <c r="N118" s="43">
        <f t="shared" si="31"/>
        <v>0</v>
      </c>
      <c r="O118" s="44">
        <f t="shared" si="32"/>
        <v>0</v>
      </c>
      <c r="P118" s="41" t="str">
        <f t="shared" si="33"/>
        <v/>
      </c>
      <c r="Q118" s="41" t="str">
        <f t="shared" si="34"/>
        <v/>
      </c>
      <c r="R118" s="48"/>
      <c r="S118" s="44" t="str">
        <f>IF(I118&lt;&gt;"",_xlfn.XLOOKUP(D$4+I118,A$26:A$145,$C$26:$C$145,0) * 1000,"")</f>
        <v/>
      </c>
      <c r="T118" s="52">
        <f t="shared" si="60"/>
        <v>0</v>
      </c>
      <c r="U118" s="53" t="str">
        <f t="shared" si="45"/>
        <v/>
      </c>
      <c r="V118" s="53" t="str">
        <f t="shared" si="46"/>
        <v/>
      </c>
      <c r="W118" s="53" t="str">
        <f t="shared" si="47"/>
        <v/>
      </c>
      <c r="X118" s="46" t="str">
        <f t="shared" si="35"/>
        <v/>
      </c>
      <c r="Y118" s="48"/>
      <c r="Z118" s="41" t="str">
        <f t="shared" si="48"/>
        <v/>
      </c>
      <c r="AA118" s="41" t="str">
        <f t="shared" si="49"/>
        <v/>
      </c>
      <c r="AB118" s="41" t="str">
        <f t="shared" si="36"/>
        <v/>
      </c>
      <c r="AC118" s="41" t="str">
        <f t="shared" si="37"/>
        <v/>
      </c>
      <c r="AD118" s="48"/>
      <c r="AE118" s="41" t="str">
        <f t="shared" si="38"/>
        <v/>
      </c>
      <c r="AF118" s="41"/>
      <c r="AG118" s="41" t="str">
        <f t="shared" si="39"/>
        <v/>
      </c>
      <c r="AH118" s="41" t="str">
        <f t="shared" si="50"/>
        <v/>
      </c>
      <c r="AI118" s="41" t="str">
        <f t="shared" si="51"/>
        <v/>
      </c>
      <c r="AJ118" s="41">
        <f t="shared" si="40"/>
        <v>0</v>
      </c>
      <c r="AK118" s="41" t="str">
        <f t="shared" si="41"/>
        <v/>
      </c>
      <c r="AL118" s="41">
        <f t="shared" si="52"/>
        <v>0</v>
      </c>
      <c r="AM118" s="41">
        <f t="shared" si="42"/>
        <v>0</v>
      </c>
      <c r="AN118" s="41" t="str">
        <f t="shared" si="43"/>
        <v/>
      </c>
      <c r="AO118" s="41">
        <f t="shared" si="59"/>
        <v>0</v>
      </c>
      <c r="AP118" s="48"/>
      <c r="AQ118" s="48"/>
      <c r="AR118" s="48"/>
      <c r="AS118" s="48"/>
      <c r="AT118" s="51">
        <f t="shared" si="53"/>
        <v>114</v>
      </c>
      <c r="AU118" s="49" t="str">
        <f t="shared" si="54"/>
        <v/>
      </c>
      <c r="AV118" s="49" t="str">
        <f t="shared" si="55"/>
        <v/>
      </c>
      <c r="AW118" s="50">
        <f xml:space="preserve"> IF(ISERROR(ROUND((1000*NPV($AT$1,$AV119:$AV$124)-$AW$1*($AU119+NPV($AT$1,$AU120:$AU$124)))/AU119,3)), 0, ROUND((1000*NPV($AT$1,$AV119:$AV$124)-$AW$1*($AU119+NPV($AT$1,$AU120:$AU$124)))/AU119,3))</f>
        <v>0</v>
      </c>
      <c r="AX118" s="50">
        <f>IF(ISERROR(ROUND(MAX(0,1000*NPV($AT$2,$AV119:$AV$124)-$AW$2*($AU119+NPV($AT$2,$AU120:$AU$124)))/AU119,3)), 0, ROUND(MAX(0,1000*NPV($AT$2,$AV119:$AV$124)-$AW$2*($AU119+NPV($AT$2,$AU120:$AU$124)))/AU119,3))</f>
        <v>0</v>
      </c>
    </row>
    <row r="119" spans="1:50" ht="15" x14ac:dyDescent="0.25">
      <c r="A119">
        <v>94</v>
      </c>
      <c r="B119">
        <v>0.45613076116729001</v>
      </c>
      <c r="C119">
        <f t="shared" si="61"/>
        <v>0.42876291549725259</v>
      </c>
      <c r="D119" s="60"/>
      <c r="E119" s="5"/>
      <c r="F119" s="5"/>
      <c r="I119" s="40"/>
      <c r="J119" s="41"/>
      <c r="K119" s="41" t="str">
        <f t="shared" si="56"/>
        <v/>
      </c>
      <c r="L119" s="42" t="str">
        <f t="shared" si="57"/>
        <v/>
      </c>
      <c r="M119" s="41" t="str">
        <f t="shared" si="58"/>
        <v/>
      </c>
      <c r="N119" s="43">
        <f t="shared" si="31"/>
        <v>0</v>
      </c>
      <c r="O119" s="44">
        <f t="shared" si="32"/>
        <v>0</v>
      </c>
      <c r="P119" s="41" t="str">
        <f t="shared" si="33"/>
        <v/>
      </c>
      <c r="Q119" s="41" t="str">
        <f t="shared" si="34"/>
        <v/>
      </c>
      <c r="R119" s="48"/>
      <c r="S119" s="44" t="str">
        <f>IF(I119&lt;&gt;"",_xlfn.XLOOKUP(D$4+I119,A$26:A$145,$C$26:$C$145,0) * 1000,"")</f>
        <v/>
      </c>
      <c r="T119" s="52">
        <f t="shared" si="60"/>
        <v>0</v>
      </c>
      <c r="U119" s="53" t="str">
        <f t="shared" si="45"/>
        <v/>
      </c>
      <c r="V119" s="53" t="str">
        <f t="shared" si="46"/>
        <v/>
      </c>
      <c r="W119" s="53" t="str">
        <f t="shared" si="47"/>
        <v/>
      </c>
      <c r="X119" s="46" t="str">
        <f t="shared" si="35"/>
        <v/>
      </c>
      <c r="Y119" s="48"/>
      <c r="Z119" s="41" t="str">
        <f t="shared" si="48"/>
        <v/>
      </c>
      <c r="AA119" s="41" t="str">
        <f t="shared" si="49"/>
        <v/>
      </c>
      <c r="AB119" s="41" t="str">
        <f t="shared" si="36"/>
        <v/>
      </c>
      <c r="AC119" s="41" t="str">
        <f t="shared" si="37"/>
        <v/>
      </c>
      <c r="AD119" s="48"/>
      <c r="AE119" s="41" t="str">
        <f t="shared" si="38"/>
        <v/>
      </c>
      <c r="AF119" s="41"/>
      <c r="AG119" s="41" t="str">
        <f t="shared" si="39"/>
        <v/>
      </c>
      <c r="AH119" s="41" t="str">
        <f t="shared" si="50"/>
        <v/>
      </c>
      <c r="AI119" s="41" t="str">
        <f t="shared" si="51"/>
        <v/>
      </c>
      <c r="AJ119" s="41">
        <f t="shared" si="40"/>
        <v>0</v>
      </c>
      <c r="AK119" s="41" t="str">
        <f t="shared" si="41"/>
        <v/>
      </c>
      <c r="AL119" s="41">
        <f t="shared" si="52"/>
        <v>0</v>
      </c>
      <c r="AM119" s="41">
        <f t="shared" si="42"/>
        <v>0</v>
      </c>
      <c r="AN119" s="41" t="str">
        <f t="shared" si="43"/>
        <v/>
      </c>
      <c r="AO119" s="41">
        <f t="shared" si="59"/>
        <v>0</v>
      </c>
      <c r="AP119" s="48"/>
      <c r="AQ119" s="48"/>
      <c r="AR119" s="48"/>
      <c r="AS119" s="48"/>
      <c r="AT119" s="51">
        <f t="shared" si="53"/>
        <v>115</v>
      </c>
      <c r="AU119" s="49" t="str">
        <f t="shared" si="54"/>
        <v/>
      </c>
      <c r="AV119" s="49" t="str">
        <f t="shared" si="55"/>
        <v/>
      </c>
      <c r="AW119" s="50">
        <f xml:space="preserve"> IF(ISERROR(ROUND((1000*NPV($AT$1,$AV120:$AV$124)-$AW$1*($AU120+NPV($AT$1,$AU121:$AU$124)))/AU120,3)), 0, ROUND((1000*NPV($AT$1,$AV120:$AV$124)-$AW$1*($AU120+NPV($AT$1,$AU121:$AU$124)))/AU120,3))</f>
        <v>0</v>
      </c>
      <c r="AX119" s="50">
        <f>IF(ISERROR(ROUND(MAX(0,1000*NPV($AT$2,$AV120:$AV$124)-$AW$2*($AU120+NPV($AT$2,$AU121:$AU$124)))/AU120,3)), 0, ROUND(MAX(0,1000*NPV($AT$2,$AV120:$AV$124)-$AW$2*($AU120+NPV($AT$2,$AU121:$AU$124)))/AU120,3))</f>
        <v>0</v>
      </c>
    </row>
    <row r="120" spans="1:50" ht="15" x14ac:dyDescent="0.25">
      <c r="A120">
        <v>95</v>
      </c>
      <c r="B120">
        <v>0.48746995085940698</v>
      </c>
      <c r="C120">
        <f t="shared" si="61"/>
        <v>0.45822175380784252</v>
      </c>
      <c r="D120" s="60"/>
      <c r="E120" s="5"/>
      <c r="F120" s="5"/>
      <c r="I120" s="40"/>
      <c r="J120" s="41"/>
      <c r="K120" s="41" t="str">
        <f t="shared" si="56"/>
        <v/>
      </c>
      <c r="L120" s="42" t="str">
        <f t="shared" si="57"/>
        <v/>
      </c>
      <c r="M120" s="41" t="str">
        <f t="shared" si="58"/>
        <v/>
      </c>
      <c r="N120" s="43">
        <f t="shared" si="31"/>
        <v>0</v>
      </c>
      <c r="O120" s="44">
        <f t="shared" si="32"/>
        <v>0</v>
      </c>
      <c r="P120" s="41" t="str">
        <f t="shared" si="33"/>
        <v/>
      </c>
      <c r="Q120" s="41" t="str">
        <f t="shared" si="34"/>
        <v/>
      </c>
      <c r="R120" s="48"/>
      <c r="S120" s="44" t="str">
        <f>IF(I120&lt;&gt;"",_xlfn.XLOOKUP(D$4+I120,A$26:A$145,$C$26:$C$145,0) * 1000,"")</f>
        <v/>
      </c>
      <c r="T120" s="52">
        <f t="shared" si="60"/>
        <v>0</v>
      </c>
      <c r="U120" s="53" t="str">
        <f t="shared" si="45"/>
        <v/>
      </c>
      <c r="V120" s="53" t="str">
        <f t="shared" si="46"/>
        <v/>
      </c>
      <c r="W120" s="53" t="str">
        <f t="shared" si="47"/>
        <v/>
      </c>
      <c r="X120" s="46" t="str">
        <f t="shared" si="35"/>
        <v/>
      </c>
      <c r="Y120" s="48"/>
      <c r="Z120" s="41" t="str">
        <f t="shared" si="48"/>
        <v/>
      </c>
      <c r="AA120" s="41" t="str">
        <f t="shared" si="49"/>
        <v/>
      </c>
      <c r="AB120" s="41" t="str">
        <f t="shared" si="36"/>
        <v/>
      </c>
      <c r="AC120" s="41" t="str">
        <f t="shared" si="37"/>
        <v/>
      </c>
      <c r="AD120" s="48"/>
      <c r="AE120" s="41" t="str">
        <f t="shared" si="38"/>
        <v/>
      </c>
      <c r="AF120" s="41"/>
      <c r="AG120" s="41" t="str">
        <f t="shared" si="39"/>
        <v/>
      </c>
      <c r="AH120" s="41" t="str">
        <f t="shared" si="50"/>
        <v/>
      </c>
      <c r="AI120" s="41" t="str">
        <f t="shared" si="51"/>
        <v/>
      </c>
      <c r="AJ120" s="41">
        <f t="shared" si="40"/>
        <v>0</v>
      </c>
      <c r="AK120" s="41" t="str">
        <f t="shared" si="41"/>
        <v/>
      </c>
      <c r="AL120" s="41">
        <f t="shared" si="52"/>
        <v>0</v>
      </c>
      <c r="AM120" s="41">
        <f t="shared" si="42"/>
        <v>0</v>
      </c>
      <c r="AN120" s="41" t="str">
        <f t="shared" si="43"/>
        <v/>
      </c>
      <c r="AO120" s="41">
        <f t="shared" si="59"/>
        <v>0</v>
      </c>
      <c r="AP120" s="48"/>
      <c r="AQ120" s="48"/>
      <c r="AR120" s="48"/>
      <c r="AS120" s="48"/>
      <c r="AT120" s="51">
        <f t="shared" si="53"/>
        <v>116</v>
      </c>
      <c r="AU120" s="49" t="str">
        <f t="shared" si="54"/>
        <v/>
      </c>
      <c r="AV120" s="49" t="str">
        <f t="shared" si="55"/>
        <v/>
      </c>
      <c r="AW120" s="50">
        <f xml:space="preserve"> IF(ISERROR(ROUND((1000*NPV($AT$1,$AV121:$AV$124)-$AW$1*($AU121+NPV($AT$1,$AU122:$AU$124)))/AU121,3)), 0, ROUND((1000*NPV($AT$1,$AV121:$AV$124)-$AW$1*($AU121+NPV($AT$1,$AU122:$AU$124)))/AU121,3))</f>
        <v>0</v>
      </c>
      <c r="AX120" s="50">
        <f>IF(ISERROR(ROUND(MAX(0,1000*NPV($AT$2,$AV121:$AV$124)-$AW$2*($AU121+NPV($AT$2,$AU122:$AU$124)))/AU121,3)), 0, ROUND(MAX(0,1000*NPV($AT$2,$AV121:$AV$124)-$AW$2*($AU121+NPV($AT$2,$AU122:$AU$124)))/AU121,3))</f>
        <v>0</v>
      </c>
    </row>
    <row r="121" spans="1:50" ht="15" x14ac:dyDescent="0.25">
      <c r="A121">
        <v>96</v>
      </c>
      <c r="B121">
        <v>0.518631734433733</v>
      </c>
      <c r="C121">
        <f t="shared" si="61"/>
        <v>0.48751383036770901</v>
      </c>
      <c r="D121" s="60"/>
      <c r="E121" s="5"/>
      <c r="F121" s="5"/>
      <c r="I121" s="40"/>
      <c r="J121" s="41"/>
      <c r="K121" s="41" t="str">
        <f t="shared" si="56"/>
        <v/>
      </c>
      <c r="L121" s="42" t="str">
        <f t="shared" si="57"/>
        <v/>
      </c>
      <c r="M121" s="41" t="str">
        <f t="shared" si="58"/>
        <v/>
      </c>
      <c r="N121" s="43">
        <f t="shared" si="31"/>
        <v>0</v>
      </c>
      <c r="O121" s="44">
        <f t="shared" si="32"/>
        <v>0</v>
      </c>
      <c r="P121" s="41" t="str">
        <f t="shared" si="33"/>
        <v/>
      </c>
      <c r="Q121" s="41" t="str">
        <f t="shared" si="34"/>
        <v/>
      </c>
      <c r="R121" s="48"/>
      <c r="S121" s="44" t="str">
        <f>IF(I121&lt;&gt;"",_xlfn.XLOOKUP(D$4+I121,A$26:A$145,$C$26:$C$145,0) * 1000,"")</f>
        <v/>
      </c>
      <c r="T121" s="52">
        <f t="shared" si="60"/>
        <v>0</v>
      </c>
      <c r="U121" s="53" t="str">
        <f t="shared" si="45"/>
        <v/>
      </c>
      <c r="V121" s="53" t="str">
        <f t="shared" si="46"/>
        <v/>
      </c>
      <c r="W121" s="53" t="str">
        <f t="shared" si="47"/>
        <v/>
      </c>
      <c r="X121" s="46" t="str">
        <f t="shared" si="35"/>
        <v/>
      </c>
      <c r="Y121" s="48"/>
      <c r="Z121" s="41" t="str">
        <f t="shared" si="48"/>
        <v/>
      </c>
      <c r="AA121" s="41" t="str">
        <f t="shared" si="49"/>
        <v/>
      </c>
      <c r="AB121" s="41" t="str">
        <f t="shared" si="36"/>
        <v/>
      </c>
      <c r="AC121" s="41" t="str">
        <f t="shared" si="37"/>
        <v/>
      </c>
      <c r="AD121" s="48"/>
      <c r="AE121" s="41" t="str">
        <f t="shared" si="38"/>
        <v/>
      </c>
      <c r="AF121" s="41"/>
      <c r="AG121" s="41" t="str">
        <f t="shared" si="39"/>
        <v/>
      </c>
      <c r="AH121" s="41" t="str">
        <f t="shared" si="50"/>
        <v/>
      </c>
      <c r="AI121" s="41" t="str">
        <f t="shared" si="51"/>
        <v/>
      </c>
      <c r="AJ121" s="41">
        <f t="shared" si="40"/>
        <v>0</v>
      </c>
      <c r="AK121" s="41" t="str">
        <f t="shared" si="41"/>
        <v/>
      </c>
      <c r="AL121" s="41">
        <f t="shared" si="52"/>
        <v>0</v>
      </c>
      <c r="AM121" s="41">
        <f t="shared" si="42"/>
        <v>0</v>
      </c>
      <c r="AN121" s="41" t="str">
        <f t="shared" si="43"/>
        <v/>
      </c>
      <c r="AO121" s="41">
        <f t="shared" si="59"/>
        <v>0</v>
      </c>
      <c r="AP121" s="48"/>
      <c r="AQ121" s="48"/>
      <c r="AR121" s="48"/>
      <c r="AS121" s="48"/>
      <c r="AT121" s="51">
        <f t="shared" si="53"/>
        <v>117</v>
      </c>
      <c r="AU121" s="49" t="str">
        <f t="shared" si="54"/>
        <v/>
      </c>
      <c r="AV121" s="49" t="str">
        <f t="shared" si="55"/>
        <v/>
      </c>
      <c r="AW121" s="50">
        <f xml:space="preserve"> IF(ISERROR(ROUND((1000*NPV($AT$1,$AV122:$AV$124)-$AW$1*($AU122+NPV($AT$1,$AU123:$AU$124)))/AU122,3)), 0, ROUND((1000*NPV($AT$1,$AV122:$AV$124)-$AW$1*($AU122+NPV($AT$1,$AU123:$AU$124)))/AU122,3))</f>
        <v>0</v>
      </c>
      <c r="AX121" s="50">
        <f>IF(ISERROR(ROUND(MAX(0,1000*NPV($AT$2,$AV122:$AV$124)-$AW$2*($AU122+NPV($AT$2,$AU123:$AU$124)))/AU122,3)), 0, ROUND(MAX(0,1000*NPV($AT$2,$AV122:$AV$124)-$AW$2*($AU122+NPV($AT$2,$AU123:$AU$124)))/AU122,3))</f>
        <v>0</v>
      </c>
    </row>
    <row r="122" spans="1:50" ht="15" x14ac:dyDescent="0.25">
      <c r="A122">
        <v>97</v>
      </c>
      <c r="B122">
        <v>0.55045933018953697</v>
      </c>
      <c r="C122">
        <f t="shared" si="61"/>
        <v>0.51743177037816468</v>
      </c>
      <c r="D122" s="60"/>
      <c r="E122" s="5"/>
      <c r="F122" s="5"/>
      <c r="I122" s="40"/>
      <c r="J122" s="41"/>
      <c r="K122" s="41" t="str">
        <f t="shared" si="56"/>
        <v/>
      </c>
      <c r="L122" s="42" t="str">
        <f t="shared" si="57"/>
        <v/>
      </c>
      <c r="M122" s="41" t="str">
        <f t="shared" si="58"/>
        <v/>
      </c>
      <c r="N122" s="43">
        <f t="shared" si="31"/>
        <v>0</v>
      </c>
      <c r="O122" s="44">
        <f t="shared" si="32"/>
        <v>0</v>
      </c>
      <c r="P122" s="41" t="str">
        <f t="shared" si="33"/>
        <v/>
      </c>
      <c r="Q122" s="41" t="str">
        <f t="shared" si="34"/>
        <v/>
      </c>
      <c r="R122" s="48"/>
      <c r="S122" s="44" t="str">
        <f>IF(I122&lt;&gt;"",_xlfn.XLOOKUP(D$4+I122,A$26:A$145,$C$26:$C$145,0) * 1000,"")</f>
        <v/>
      </c>
      <c r="T122" s="52">
        <f t="shared" si="60"/>
        <v>0</v>
      </c>
      <c r="U122" s="53" t="str">
        <f t="shared" si="45"/>
        <v/>
      </c>
      <c r="V122" s="53" t="str">
        <f t="shared" si="46"/>
        <v/>
      </c>
      <c r="W122" s="53" t="str">
        <f t="shared" si="47"/>
        <v/>
      </c>
      <c r="X122" s="46" t="str">
        <f t="shared" si="35"/>
        <v/>
      </c>
      <c r="Y122" s="48"/>
      <c r="Z122" s="41" t="str">
        <f t="shared" si="48"/>
        <v/>
      </c>
      <c r="AA122" s="41" t="str">
        <f t="shared" si="49"/>
        <v/>
      </c>
      <c r="AB122" s="41" t="str">
        <f t="shared" si="36"/>
        <v/>
      </c>
      <c r="AC122" s="41" t="str">
        <f t="shared" si="37"/>
        <v/>
      </c>
      <c r="AD122" s="48"/>
      <c r="AE122" s="41" t="str">
        <f t="shared" si="38"/>
        <v/>
      </c>
      <c r="AF122" s="41"/>
      <c r="AG122" s="41" t="str">
        <f t="shared" si="39"/>
        <v/>
      </c>
      <c r="AH122" s="41" t="str">
        <f t="shared" si="50"/>
        <v/>
      </c>
      <c r="AI122" s="41" t="str">
        <f t="shared" si="51"/>
        <v/>
      </c>
      <c r="AJ122" s="41">
        <f t="shared" si="40"/>
        <v>0</v>
      </c>
      <c r="AK122" s="41" t="str">
        <f t="shared" si="41"/>
        <v/>
      </c>
      <c r="AL122" s="41">
        <f t="shared" si="52"/>
        <v>0</v>
      </c>
      <c r="AM122" s="41">
        <f t="shared" si="42"/>
        <v>0</v>
      </c>
      <c r="AN122" s="41" t="str">
        <f t="shared" si="43"/>
        <v/>
      </c>
      <c r="AO122" s="41">
        <f t="shared" si="59"/>
        <v>0</v>
      </c>
      <c r="AP122" s="48"/>
      <c r="AQ122" s="48"/>
      <c r="AR122" s="48"/>
      <c r="AS122" s="48"/>
      <c r="AT122" s="51">
        <f t="shared" si="53"/>
        <v>118</v>
      </c>
      <c r="AU122" s="49" t="str">
        <f t="shared" si="54"/>
        <v/>
      </c>
      <c r="AV122" s="49" t="str">
        <f t="shared" si="55"/>
        <v/>
      </c>
      <c r="AW122" s="50">
        <f xml:space="preserve"> IF(ISERROR(ROUND((1000*NPV($AT$1,$AV123:$AV$124)-$AW$1*($AU123+NPV($AT$1,$AU124:$AU$124)))/AU123,3)), 0, ROUND((1000*NPV($AT$1,$AV123:$AV$124)-$AW$1*($AU123+NPV($AT$1,$AU124:$AU$124)))/AU123,3))</f>
        <v>0</v>
      </c>
      <c r="AX122" s="50">
        <f>IF(ISERROR(ROUND(MAX(0,1000*NPV($AT$2,$AV123:$AV$124)-$AW$2*($AU123+NPV($AT$2,$AU124:$AU$124)))/AU123,3)), 0, ROUND(MAX(0,1000*NPV($AT$2,$AV123:$AV$124)-$AW$2*($AU123+NPV($AT$2,$AU124:$AU$124)))/AU123,3))</f>
        <v>0</v>
      </c>
    </row>
    <row r="123" spans="1:50" ht="15" x14ac:dyDescent="0.25">
      <c r="A123">
        <v>98</v>
      </c>
      <c r="B123">
        <v>0.582844363484469</v>
      </c>
      <c r="C123">
        <f t="shared" si="61"/>
        <v>0.54787370167540084</v>
      </c>
      <c r="D123" s="60"/>
      <c r="E123" s="5"/>
      <c r="F123" s="5"/>
      <c r="I123" s="40"/>
      <c r="J123" s="41"/>
      <c r="K123" s="41" t="str">
        <f t="shared" si="56"/>
        <v/>
      </c>
      <c r="L123" s="42" t="str">
        <f t="shared" si="57"/>
        <v/>
      </c>
      <c r="M123" s="41" t="str">
        <f t="shared" si="58"/>
        <v/>
      </c>
      <c r="N123" s="43">
        <f t="shared" si="31"/>
        <v>0</v>
      </c>
      <c r="O123" s="44">
        <f t="shared" si="32"/>
        <v>0</v>
      </c>
      <c r="P123" s="41" t="str">
        <f t="shared" si="33"/>
        <v/>
      </c>
      <c r="Q123" s="41" t="str">
        <f t="shared" si="34"/>
        <v/>
      </c>
      <c r="R123" s="48"/>
      <c r="S123" s="44" t="str">
        <f>IF(I123&lt;&gt;"",_xlfn.XLOOKUP(D$4+I123,A$26:A$145,$C$26:$C$145,0) * 1000,"")</f>
        <v/>
      </c>
      <c r="T123" s="52">
        <f t="shared" si="60"/>
        <v>0</v>
      </c>
      <c r="U123" s="53" t="str">
        <f t="shared" si="45"/>
        <v/>
      </c>
      <c r="V123" s="53" t="str">
        <f t="shared" si="46"/>
        <v/>
      </c>
      <c r="W123" s="53" t="str">
        <f t="shared" si="47"/>
        <v/>
      </c>
      <c r="X123" s="46" t="str">
        <f t="shared" si="35"/>
        <v/>
      </c>
      <c r="Y123" s="48"/>
      <c r="Z123" s="41" t="str">
        <f t="shared" si="48"/>
        <v/>
      </c>
      <c r="AA123" s="41" t="str">
        <f t="shared" si="49"/>
        <v/>
      </c>
      <c r="AB123" s="41" t="str">
        <f t="shared" si="36"/>
        <v/>
      </c>
      <c r="AC123" s="41" t="str">
        <f t="shared" si="37"/>
        <v/>
      </c>
      <c r="AD123" s="48"/>
      <c r="AE123" s="41" t="str">
        <f t="shared" si="38"/>
        <v/>
      </c>
      <c r="AF123" s="41"/>
      <c r="AG123" s="41" t="str">
        <f t="shared" si="39"/>
        <v/>
      </c>
      <c r="AH123" s="41" t="str">
        <f t="shared" si="50"/>
        <v/>
      </c>
      <c r="AI123" s="41" t="str">
        <f t="shared" si="51"/>
        <v/>
      </c>
      <c r="AJ123" s="41">
        <f t="shared" si="40"/>
        <v>0</v>
      </c>
      <c r="AK123" s="41" t="str">
        <f t="shared" si="41"/>
        <v/>
      </c>
      <c r="AL123" s="41">
        <f t="shared" si="52"/>
        <v>0</v>
      </c>
      <c r="AM123" s="41">
        <f t="shared" si="42"/>
        <v>0</v>
      </c>
      <c r="AN123" s="41" t="str">
        <f t="shared" si="43"/>
        <v/>
      </c>
      <c r="AO123" s="41">
        <f t="shared" si="59"/>
        <v>0</v>
      </c>
      <c r="AP123" s="48"/>
      <c r="AQ123" s="48"/>
      <c r="AR123" s="48"/>
      <c r="AS123" s="48"/>
      <c r="AT123" s="51">
        <f t="shared" si="53"/>
        <v>119</v>
      </c>
      <c r="AU123" s="49" t="str">
        <f t="shared" si="54"/>
        <v/>
      </c>
      <c r="AV123" s="49" t="str">
        <f t="shared" si="55"/>
        <v/>
      </c>
      <c r="AW123" s="50">
        <f xml:space="preserve"> IF(ISERROR(ROUND((1000*NPV($AT$1,$AV124:$AV$124)-$AW$1*($AU124+NPV($AT$1,$AU$124:$AU125)))/AU124,3)), 0, ROUND((1000*NPV($AT$1,$AV124:$AV$124)-$AW$1*($AU124+NPV($AT$1,$AU$124:$AU125)))/AU124,3))</f>
        <v>0</v>
      </c>
      <c r="AX123" s="50">
        <f>IF(ISERROR(ROUND(MAX(0,1000*NPV($AT$2,$AV124:$AV$124)-$AW$2*($AU124+NPV($AT$2,$AU$124:$AU125)))/AU124,3)), 0, ROUND(MAX(0,1000*NPV($AT$2,$AV124:$AV$124)-$AW$2*($AU124+NPV($AT$2,$AU$124:$AU125)))/AU124,3))</f>
        <v>0</v>
      </c>
    </row>
    <row r="124" spans="1:50" ht="15" x14ac:dyDescent="0.25">
      <c r="A124">
        <v>99</v>
      </c>
      <c r="B124">
        <v>0.61445576440144301</v>
      </c>
      <c r="C124">
        <f t="shared" si="61"/>
        <v>0.57758841853735643</v>
      </c>
      <c r="D124" s="60"/>
      <c r="E124" s="5"/>
      <c r="F124" s="5"/>
      <c r="I124" s="40"/>
      <c r="J124" s="41"/>
      <c r="K124" s="41" t="str">
        <f t="shared" si="56"/>
        <v/>
      </c>
      <c r="L124" s="42" t="str">
        <f t="shared" si="57"/>
        <v/>
      </c>
      <c r="M124" s="41" t="str">
        <f t="shared" si="58"/>
        <v/>
      </c>
      <c r="N124" s="43">
        <f>AX124</f>
        <v>0</v>
      </c>
      <c r="O124" s="44">
        <f>AW124</f>
        <v>0</v>
      </c>
      <c r="P124" s="41" t="str">
        <f t="shared" si="33"/>
        <v/>
      </c>
      <c r="Q124" s="41" t="str">
        <f t="shared" si="34"/>
        <v/>
      </c>
      <c r="R124" s="48"/>
      <c r="S124" s="44" t="str">
        <f>IF(I124&lt;&gt;"",_xlfn.XLOOKUP(D$4+I124,A$26:A$145,$C$26:$C$145,0) * 1000,"")</f>
        <v/>
      </c>
      <c r="T124" s="52">
        <f t="shared" si="60"/>
        <v>0</v>
      </c>
      <c r="U124" s="53" t="str">
        <f t="shared" si="45"/>
        <v/>
      </c>
      <c r="V124" s="53" t="str">
        <f t="shared" si="46"/>
        <v/>
      </c>
      <c r="W124" s="53" t="str">
        <f t="shared" si="47"/>
        <v/>
      </c>
      <c r="X124" s="46" t="str">
        <f t="shared" si="35"/>
        <v/>
      </c>
      <c r="Y124" s="48"/>
      <c r="Z124" s="41" t="str">
        <f t="shared" si="48"/>
        <v/>
      </c>
      <c r="AA124" s="41" t="str">
        <f t="shared" si="49"/>
        <v/>
      </c>
      <c r="AB124" s="41" t="str">
        <f t="shared" si="36"/>
        <v/>
      </c>
      <c r="AC124" s="41" t="str">
        <f t="shared" si="37"/>
        <v/>
      </c>
      <c r="AD124" s="48"/>
      <c r="AE124" s="41" t="str">
        <f t="shared" si="38"/>
        <v/>
      </c>
      <c r="AF124" s="41"/>
      <c r="AG124" s="41" t="str">
        <f t="shared" si="39"/>
        <v/>
      </c>
      <c r="AH124" s="41" t="str">
        <f t="shared" si="50"/>
        <v/>
      </c>
      <c r="AI124" s="41" t="str">
        <f t="shared" si="51"/>
        <v/>
      </c>
      <c r="AJ124" s="41">
        <f t="shared" si="40"/>
        <v>0</v>
      </c>
      <c r="AK124" s="41" t="str">
        <f t="shared" si="41"/>
        <v/>
      </c>
      <c r="AL124" s="41">
        <f t="shared" si="52"/>
        <v>0</v>
      </c>
      <c r="AM124" s="41">
        <f t="shared" si="42"/>
        <v>0</v>
      </c>
      <c r="AN124" s="41" t="str">
        <f t="shared" si="43"/>
        <v/>
      </c>
      <c r="AO124" s="41">
        <f t="shared" si="59"/>
        <v>0</v>
      </c>
      <c r="AP124" s="48"/>
      <c r="AQ124" s="48"/>
      <c r="AR124" s="48"/>
      <c r="AS124" s="48"/>
      <c r="AT124" s="51">
        <f t="shared" si="53"/>
        <v>120</v>
      </c>
      <c r="AU124" s="49" t="str">
        <f t="shared" si="54"/>
        <v/>
      </c>
      <c r="AV124" s="49" t="str">
        <f t="shared" si="55"/>
        <v/>
      </c>
      <c r="AW124" s="50">
        <f xml:space="preserve"> IF(ISERROR(ROUND((1000*NPV($AT$1,$AV$124:$AV125)-$AW$1*($AU125+NPV($AT$1,$AU$124:$AU126)))/AU125,3)), 0, ROUND((1000*NPV($AT$1,$AV$124:$AV125)-$AW$1*($AU125+NPV($AT$1,$AU$124:$AU126)))/AU125,3))</f>
        <v>0</v>
      </c>
      <c r="AX124" s="50">
        <f>IF(ISERROR(ROUND(MAX(0,1000*NPV($AT$2,$AV$124:$AV125)-$AW$2*($AU125+NPV($AT$2,$AU$124:$AU126)))/AU125,3)), 0, ROUND(MAX(0,1000*NPV($AT$2,$AV$124:$AV125)-$AW$2*($AU125+NPV($AT$2,$AU$124:$AU126)))/AU125,3))</f>
        <v>0</v>
      </c>
    </row>
    <row r="125" spans="1:50" x14ac:dyDescent="0.2">
      <c r="A125">
        <v>100</v>
      </c>
      <c r="B125">
        <v>0.64602465586262803</v>
      </c>
      <c r="C125">
        <f t="shared" si="61"/>
        <v>0.60726317651087036</v>
      </c>
      <c r="D125" s="60"/>
      <c r="E125" s="5"/>
      <c r="F125" s="5"/>
    </row>
    <row r="126" spans="1:50" x14ac:dyDescent="0.2">
      <c r="A126">
        <v>101</v>
      </c>
      <c r="B126">
        <v>0.67630452445949596</v>
      </c>
      <c r="C126">
        <f t="shared" si="61"/>
        <v>0.6357262529919262</v>
      </c>
      <c r="D126" s="60"/>
      <c r="E126" s="5"/>
      <c r="F126" s="5"/>
      <c r="K126" s="11"/>
    </row>
    <row r="127" spans="1:50" x14ac:dyDescent="0.2">
      <c r="A127">
        <v>102</v>
      </c>
      <c r="B127">
        <v>0.704634486956774</v>
      </c>
      <c r="C127">
        <f t="shared" si="61"/>
        <v>0.66235641773936749</v>
      </c>
      <c r="D127" s="60"/>
      <c r="E127" s="5"/>
      <c r="F127" s="5"/>
      <c r="S127" s="58"/>
    </row>
    <row r="128" spans="1:50" x14ac:dyDescent="0.2">
      <c r="A128">
        <v>103</v>
      </c>
      <c r="B128">
        <v>0.73216041193155901</v>
      </c>
      <c r="C128">
        <f t="shared" si="61"/>
        <v>0.68823078721566544</v>
      </c>
      <c r="D128" s="60"/>
      <c r="E128" s="5"/>
      <c r="F128" s="5"/>
    </row>
    <row r="129" spans="1:41" ht="15" x14ac:dyDescent="0.25">
      <c r="A129">
        <v>104</v>
      </c>
      <c r="B129">
        <v>0.75864649692312203</v>
      </c>
      <c r="C129">
        <f t="shared" si="61"/>
        <v>0.71312770710773465</v>
      </c>
      <c r="D129" s="60"/>
      <c r="E129" s="5"/>
      <c r="F129" s="5"/>
      <c r="AD129" s="56" t="s">
        <v>56</v>
      </c>
      <c r="AE129" s="57">
        <f t="shared" ref="AE129:AO129" si="62">SUM(AE4:AE124)</f>
        <v>2087538.11483767</v>
      </c>
      <c r="AF129" s="57">
        <f t="shared" si="62"/>
        <v>-626261.434451301</v>
      </c>
      <c r="AG129" s="57">
        <f t="shared" si="62"/>
        <v>-104872.17172303754</v>
      </c>
      <c r="AH129" s="57">
        <f t="shared" si="62"/>
        <v>-2000000.0000000007</v>
      </c>
      <c r="AI129" s="57">
        <f t="shared" si="62"/>
        <v>0</v>
      </c>
      <c r="AJ129" s="57">
        <f t="shared" si="62"/>
        <v>-643595.49133666826</v>
      </c>
      <c r="AK129" s="57">
        <f t="shared" si="62"/>
        <v>3.7367252934602754E-14</v>
      </c>
      <c r="AL129" s="57">
        <f t="shared" si="62"/>
        <v>409136.05708750233</v>
      </c>
      <c r="AM129" s="57">
        <f t="shared" si="62"/>
        <v>-234459.4342491662</v>
      </c>
      <c r="AN129" s="57">
        <f t="shared" si="62"/>
        <v>-6.476889503888164E-18</v>
      </c>
      <c r="AO129" s="57">
        <f t="shared" si="62"/>
        <v>-234459.43424916617</v>
      </c>
    </row>
    <row r="130" spans="1:41" ht="15" x14ac:dyDescent="0.25">
      <c r="A130">
        <v>105</v>
      </c>
      <c r="B130">
        <v>0.78387555384004903</v>
      </c>
      <c r="C130">
        <f t="shared" si="61"/>
        <v>0.73684302060964602</v>
      </c>
      <c r="D130" s="60"/>
      <c r="E130" s="5"/>
      <c r="F130" s="5"/>
      <c r="AD130" s="56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</row>
    <row r="131" spans="1:41" ht="15" x14ac:dyDescent="0.25">
      <c r="A131">
        <v>106</v>
      </c>
      <c r="B131">
        <v>0.80767078957601302</v>
      </c>
      <c r="C131">
        <f t="shared" si="61"/>
        <v>0.75921054220145223</v>
      </c>
      <c r="D131" s="60"/>
      <c r="E131" s="5"/>
      <c r="F131" s="5"/>
      <c r="AD131" s="56" t="str">
        <f>"Present Value at "&amp;TEXT(D6,"0.00%")&amp;":"</f>
        <v>Present Value at 4.00%:</v>
      </c>
      <c r="AE131" s="57">
        <f t="shared" ref="AE131:AO131" si="63">AE4+NPV($D$6,AE5:AE124)</f>
        <v>2087538.11483767</v>
      </c>
      <c r="AF131" s="57">
        <f t="shared" si="63"/>
        <v>-626261.434451301</v>
      </c>
      <c r="AG131" s="57">
        <f t="shared" si="63"/>
        <v>-104786.79645937675</v>
      </c>
      <c r="AH131" s="57">
        <f t="shared" si="63"/>
        <v>-1205039.7228581442</v>
      </c>
      <c r="AI131" s="57">
        <f t="shared" si="63"/>
        <v>0</v>
      </c>
      <c r="AJ131" s="57">
        <f t="shared" si="63"/>
        <v>151450.1610688474</v>
      </c>
      <c r="AK131" s="57">
        <f t="shared" si="63"/>
        <v>-254481.63244428267</v>
      </c>
      <c r="AL131" s="57">
        <f t="shared" si="63"/>
        <v>262431.23521570099</v>
      </c>
      <c r="AM131" s="57">
        <f t="shared" si="63"/>
        <v>159399.76384026511</v>
      </c>
      <c r="AN131" s="57">
        <f t="shared" si="63"/>
        <v>-7949.6027714185475</v>
      </c>
      <c r="AO131" s="57">
        <f t="shared" si="63"/>
        <v>151450.16106884729</v>
      </c>
    </row>
    <row r="132" spans="1:41" ht="15" x14ac:dyDescent="0.25">
      <c r="A132">
        <v>107</v>
      </c>
      <c r="B132">
        <v>0.83005337832274195</v>
      </c>
      <c r="C132">
        <f t="shared" si="61"/>
        <v>0.7802501756233774</v>
      </c>
      <c r="D132" s="60"/>
      <c r="E132" s="5"/>
      <c r="F132" s="5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</row>
    <row r="133" spans="1:41" ht="15" x14ac:dyDescent="0.25">
      <c r="A133">
        <v>108</v>
      </c>
      <c r="B133">
        <v>0.851057297217783</v>
      </c>
      <c r="C133">
        <f t="shared" si="61"/>
        <v>0.79999385938471601</v>
      </c>
      <c r="D133" s="60"/>
      <c r="E133" s="5"/>
      <c r="F133" s="5"/>
      <c r="AD133" s="56" t="str">
        <f>"Present Value at "&amp;TEXT(D7,"0.00%")&amp;":"</f>
        <v>Present Value at 3.00%:</v>
      </c>
      <c r="AE133" s="57">
        <f t="shared" ref="AE133:AO133" si="64">AE4+NPV($D$7,AE5:AE124)</f>
        <v>2087538.11483767</v>
      </c>
      <c r="AF133" s="57">
        <f t="shared" si="64"/>
        <v>-626261.434451301</v>
      </c>
      <c r="AG133" s="57">
        <f t="shared" si="64"/>
        <v>-104804.30388522307</v>
      </c>
      <c r="AH133" s="57">
        <f t="shared" si="64"/>
        <v>-1356666.2679897028</v>
      </c>
      <c r="AI133" s="57">
        <f t="shared" si="64"/>
        <v>0</v>
      </c>
      <c r="AJ133" s="57">
        <f t="shared" si="64"/>
        <v>-193.8914885558188</v>
      </c>
      <c r="AK133" s="57">
        <f t="shared" si="64"/>
        <v>-212061.89568403561</v>
      </c>
      <c r="AL133" s="57">
        <f t="shared" si="64"/>
        <v>291326.97733885102</v>
      </c>
      <c r="AM133" s="57">
        <f t="shared" si="64"/>
        <v>79071.190166260349</v>
      </c>
      <c r="AN133" s="57">
        <f t="shared" si="64"/>
        <v>-6433.3373201029772</v>
      </c>
      <c r="AO133" s="57">
        <f t="shared" si="64"/>
        <v>72637.852846156806</v>
      </c>
    </row>
    <row r="134" spans="1:41" x14ac:dyDescent="0.2">
      <c r="A134">
        <v>109</v>
      </c>
      <c r="B134">
        <v>0.87056397599500501</v>
      </c>
      <c r="C134">
        <f t="shared" si="61"/>
        <v>0.81833013743530469</v>
      </c>
      <c r="D134" s="60"/>
      <c r="E134" s="5"/>
      <c r="F134" s="5"/>
    </row>
    <row r="135" spans="1:41" x14ac:dyDescent="0.2">
      <c r="A135">
        <v>110</v>
      </c>
      <c r="B135">
        <v>0.88849113165173998</v>
      </c>
      <c r="C135">
        <f t="shared" si="61"/>
        <v>0.83518166375263558</v>
      </c>
      <c r="D135" s="60"/>
      <c r="E135" s="5"/>
      <c r="F135" s="5"/>
    </row>
    <row r="136" spans="1:41" x14ac:dyDescent="0.2">
      <c r="A136">
        <v>111</v>
      </c>
      <c r="B136">
        <v>0.90746559038107899</v>
      </c>
      <c r="C136">
        <f t="shared" si="61"/>
        <v>0.85301765495821424</v>
      </c>
      <c r="D136" s="60"/>
      <c r="E136" s="5"/>
      <c r="F136" s="5"/>
    </row>
    <row r="137" spans="1:41" x14ac:dyDescent="0.2">
      <c r="A137">
        <v>112</v>
      </c>
      <c r="B137">
        <v>0.92441462513263395</v>
      </c>
      <c r="C137">
        <f t="shared" si="61"/>
        <v>0.86894974762467592</v>
      </c>
      <c r="D137" s="60"/>
      <c r="E137" s="5"/>
      <c r="F137" s="5"/>
    </row>
    <row r="138" spans="1:41" x14ac:dyDescent="0.2">
      <c r="A138">
        <v>113</v>
      </c>
      <c r="B138">
        <v>0.93939301623983495</v>
      </c>
      <c r="C138">
        <f t="shared" si="61"/>
        <v>0.88302943526544486</v>
      </c>
      <c r="D138" s="60"/>
      <c r="E138" s="5"/>
      <c r="F138" s="5"/>
    </row>
    <row r="139" spans="1:41" x14ac:dyDescent="0.2">
      <c r="A139">
        <v>114</v>
      </c>
      <c r="B139">
        <v>0.95246607427313501</v>
      </c>
      <c r="C139">
        <f t="shared" si="61"/>
        <v>0.89531810981674687</v>
      </c>
      <c r="D139" s="60"/>
      <c r="E139" s="5"/>
      <c r="F139" s="5"/>
    </row>
    <row r="140" spans="1:41" x14ac:dyDescent="0.2">
      <c r="A140">
        <v>115</v>
      </c>
      <c r="B140">
        <v>0.96370889370772805</v>
      </c>
      <c r="C140">
        <f t="shared" si="61"/>
        <v>0.90588636008526435</v>
      </c>
      <c r="D140" s="60"/>
      <c r="E140" s="5"/>
      <c r="F140" s="5"/>
    </row>
    <row r="141" spans="1:41" x14ac:dyDescent="0.2">
      <c r="A141">
        <v>116</v>
      </c>
      <c r="B141">
        <v>0.97325472301267901</v>
      </c>
      <c r="C141">
        <f t="shared" si="61"/>
        <v>0.91485943963191818</v>
      </c>
      <c r="D141" s="60"/>
      <c r="E141" s="5"/>
      <c r="F141" s="5"/>
    </row>
    <row r="142" spans="1:41" x14ac:dyDescent="0.2">
      <c r="A142">
        <v>117</v>
      </c>
      <c r="B142">
        <v>0.98121796639544001</v>
      </c>
      <c r="C142">
        <f t="shared" si="61"/>
        <v>0.92234488841171358</v>
      </c>
      <c r="D142" s="60"/>
      <c r="E142" s="5"/>
      <c r="F142" s="5"/>
    </row>
    <row r="143" spans="1:41" x14ac:dyDescent="0.2">
      <c r="A143">
        <v>118</v>
      </c>
      <c r="B143">
        <v>0.98765766969855795</v>
      </c>
      <c r="C143">
        <f t="shared" si="61"/>
        <v>0.92839820951664442</v>
      </c>
      <c r="D143" s="60"/>
      <c r="E143" s="5"/>
      <c r="F143" s="5"/>
    </row>
    <row r="144" spans="1:41" x14ac:dyDescent="0.2">
      <c r="A144">
        <v>119</v>
      </c>
      <c r="B144">
        <v>0.99264120459572502</v>
      </c>
      <c r="C144">
        <f t="shared" si="61"/>
        <v>0.93308273231998151</v>
      </c>
      <c r="D144" s="60"/>
      <c r="E144" s="5"/>
      <c r="F144" s="5"/>
    </row>
    <row r="145" spans="1:3" x14ac:dyDescent="0.2">
      <c r="A145">
        <v>120</v>
      </c>
      <c r="B145">
        <v>1</v>
      </c>
      <c r="C145">
        <v>1</v>
      </c>
    </row>
  </sheetData>
  <mergeCells count="3">
    <mergeCell ref="AE1:AN1"/>
    <mergeCell ref="S2:X2"/>
    <mergeCell ref="Z2:A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13.2b (2)</vt:lpstr>
      <vt:lpstr>Whole Life Lump Sum</vt:lpstr>
      <vt:lpstr>USE --&gt;</vt:lpstr>
      <vt:lpstr>M_NS </vt:lpstr>
      <vt:lpstr>M_NS_Int</vt:lpstr>
      <vt:lpstr>M_S</vt:lpstr>
      <vt:lpstr>M_S_Int</vt:lpstr>
      <vt:lpstr>FE_NS</vt:lpstr>
      <vt:lpstr>FE_NS_Int</vt:lpstr>
      <vt:lpstr>FE_S </vt:lpstr>
      <vt:lpstr>FE_S _Int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rowley</dc:creator>
  <cp:lastModifiedBy>Samuel Vu</cp:lastModifiedBy>
  <dcterms:created xsi:type="dcterms:W3CDTF">2009-03-21T19:30:56Z</dcterms:created>
  <dcterms:modified xsi:type="dcterms:W3CDTF">2024-03-24T13:30:21Z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